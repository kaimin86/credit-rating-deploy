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khaw\Desktop\credit-rating-deploy\"/>
    </mc:Choice>
  </mc:AlternateContent>
  <bookViews>
    <workbookView xWindow="0" yWindow="0" windowWidth="23040" windowHeight="10632"/>
  </bookViews>
  <sheets>
    <sheet name="before_after" sheetId="2" r:id="rId1"/>
    <sheet name="select_country" sheetId="11" r:id="rId2"/>
    <sheet name="Ratings" sheetId="1" r:id="rId3"/>
    <sheet name="2023_old" sheetId="3" r:id="rId4"/>
    <sheet name="2023_new" sheetId="4" r:id="rId5"/>
    <sheet name="2024_new" sheetId="5" r:id="rId6"/>
    <sheet name="2025_oct_transform" sheetId="6" r:id="rId7"/>
    <sheet name="2025_dec_transform" sheetId="7" r:id="rId8"/>
    <sheet name="2025_oct_raw" sheetId="8" r:id="rId9"/>
    <sheet name="2025_dec_raw" sheetId="9" r:id="rId10"/>
    <sheet name="coefficients" sheetId="10" r:id="rId11"/>
    <sheet name="country_list" sheetId="12" r:id="rId12"/>
  </sheets>
  <definedNames>
    <definedName name="_xlnm._FilterDatabase" localSheetId="0" hidden="1">before_after!$A$1:$O$138</definedName>
    <definedName name="_xlnm._FilterDatabase" localSheetId="2" hidden="1">Ratings!$A$1:$J$138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62913"/>
</workbook>
</file>

<file path=xl/calcChain.xml><?xml version="1.0" encoding="utf-8"?>
<calcChain xmlns="http://schemas.openxmlformats.org/spreadsheetml/2006/main">
  <c r="I43" i="11" l="1"/>
  <c r="I35" i="11"/>
  <c r="I27" i="11"/>
  <c r="G50" i="11"/>
  <c r="I50" i="11" s="1"/>
  <c r="F50" i="11"/>
  <c r="H50" i="11" s="1"/>
  <c r="G49" i="11"/>
  <c r="I49" i="11" s="1"/>
  <c r="F49" i="11"/>
  <c r="H49" i="11" s="1"/>
  <c r="G48" i="11"/>
  <c r="F48" i="11"/>
  <c r="H48" i="11" s="1"/>
  <c r="G47" i="11"/>
  <c r="I47" i="11" s="1"/>
  <c r="G46" i="11"/>
  <c r="I46" i="11" s="1"/>
  <c r="F46" i="11"/>
  <c r="H46" i="11" s="1"/>
  <c r="G45" i="11"/>
  <c r="I45" i="11" s="1"/>
  <c r="F45" i="11"/>
  <c r="H45" i="11" s="1"/>
  <c r="G44" i="11"/>
  <c r="I44" i="11" s="1"/>
  <c r="F44" i="11"/>
  <c r="H44" i="11" s="1"/>
  <c r="G43" i="11"/>
  <c r="F43" i="11"/>
  <c r="G42" i="11"/>
  <c r="I42" i="11" s="1"/>
  <c r="F42" i="11"/>
  <c r="G41" i="11"/>
  <c r="I41" i="11" s="1"/>
  <c r="G40" i="11"/>
  <c r="I40" i="11" s="1"/>
  <c r="F40" i="11"/>
  <c r="H40" i="11" s="1"/>
  <c r="G39" i="11"/>
  <c r="I39" i="11" s="1"/>
  <c r="F39" i="11"/>
  <c r="H39" i="11" s="1"/>
  <c r="G38" i="11"/>
  <c r="I38" i="11" s="1"/>
  <c r="F38" i="11"/>
  <c r="H38" i="11" s="1"/>
  <c r="G37" i="11"/>
  <c r="I37" i="11" s="1"/>
  <c r="F37" i="11"/>
  <c r="H37" i="11" s="1"/>
  <c r="G36" i="11"/>
  <c r="I36" i="11" s="1"/>
  <c r="F36" i="11"/>
  <c r="H36" i="11" s="1"/>
  <c r="G35" i="11"/>
  <c r="F35" i="11"/>
  <c r="H35" i="11" s="1"/>
  <c r="G34" i="11"/>
  <c r="I34" i="11" s="1"/>
  <c r="G33" i="11"/>
  <c r="I33" i="11" s="1"/>
  <c r="F33" i="11"/>
  <c r="H33" i="11" s="1"/>
  <c r="G32" i="11"/>
  <c r="I32" i="11" s="1"/>
  <c r="F32" i="11"/>
  <c r="G31" i="11"/>
  <c r="I31" i="11" s="1"/>
  <c r="G30" i="11"/>
  <c r="I30" i="11" s="1"/>
  <c r="F30" i="11"/>
  <c r="H30" i="11" s="1"/>
  <c r="G29" i="11"/>
  <c r="I29" i="11" s="1"/>
  <c r="F29" i="11"/>
  <c r="H29" i="11" s="1"/>
  <c r="G28" i="11"/>
  <c r="I28" i="11" s="1"/>
  <c r="F28" i="11"/>
  <c r="H28" i="11" s="1"/>
  <c r="G27" i="11"/>
  <c r="F27" i="11"/>
  <c r="H27" i="11" s="1"/>
  <c r="E50" i="11"/>
  <c r="E47" i="11"/>
  <c r="E41" i="11"/>
  <c r="E34" i="11"/>
  <c r="E31" i="11"/>
  <c r="E49" i="11"/>
  <c r="E48" i="11"/>
  <c r="I48" i="11" s="1"/>
  <c r="E46" i="11"/>
  <c r="D46" i="11"/>
  <c r="E45" i="11"/>
  <c r="E44" i="11"/>
  <c r="E43" i="11"/>
  <c r="E42" i="11"/>
  <c r="E40" i="11"/>
  <c r="E39" i="11"/>
  <c r="E38" i="11"/>
  <c r="E37" i="11"/>
  <c r="E36" i="11"/>
  <c r="E35" i="11"/>
  <c r="E33" i="11"/>
  <c r="E32" i="11"/>
  <c r="E30" i="11"/>
  <c r="E29" i="11"/>
  <c r="E28" i="11"/>
  <c r="E27" i="11"/>
  <c r="D50" i="11"/>
  <c r="D49" i="11"/>
  <c r="D48" i="11"/>
  <c r="D45" i="11"/>
  <c r="D44" i="11"/>
  <c r="D43" i="11"/>
  <c r="H43" i="11" s="1"/>
  <c r="D42" i="11"/>
  <c r="H42" i="11" s="1"/>
  <c r="D40" i="11"/>
  <c r="D39" i="11"/>
  <c r="D38" i="11"/>
  <c r="D37" i="11"/>
  <c r="D36" i="11"/>
  <c r="D35" i="11"/>
  <c r="D33" i="11"/>
  <c r="D32" i="11"/>
  <c r="H32" i="11" s="1"/>
  <c r="D30" i="11"/>
  <c r="D29" i="11"/>
  <c r="D28" i="11"/>
  <c r="D27" i="11"/>
  <c r="I20" i="11"/>
  <c r="H9" i="11"/>
  <c r="I9" i="11" s="1"/>
  <c r="H10" i="11"/>
  <c r="I10" i="11" s="1"/>
  <c r="H11" i="11"/>
  <c r="I11" i="11" s="1"/>
  <c r="H12" i="11"/>
  <c r="I12" i="11" s="1"/>
  <c r="H13" i="11"/>
  <c r="I13" i="11" s="1"/>
  <c r="H14" i="11"/>
  <c r="I14" i="11" s="1"/>
  <c r="H15" i="11"/>
  <c r="I15" i="11" s="1"/>
  <c r="H16" i="11"/>
  <c r="I16" i="11" s="1"/>
  <c r="H17" i="11"/>
  <c r="I17" i="11" s="1"/>
  <c r="H18" i="11"/>
  <c r="I18" i="11" s="1"/>
  <c r="J18" i="11" s="1"/>
  <c r="H8" i="11"/>
  <c r="I8" i="11" s="1"/>
  <c r="F20" i="11"/>
  <c r="E9" i="11"/>
  <c r="F9" i="11" s="1"/>
  <c r="E10" i="11"/>
  <c r="F10" i="11" s="1"/>
  <c r="E11" i="11"/>
  <c r="F11" i="11" s="1"/>
  <c r="E12" i="11"/>
  <c r="F12" i="11" s="1"/>
  <c r="E13" i="11"/>
  <c r="F13" i="11" s="1"/>
  <c r="E14" i="11"/>
  <c r="F14" i="11" s="1"/>
  <c r="E15" i="11"/>
  <c r="F15" i="11" s="1"/>
  <c r="E16" i="11"/>
  <c r="F16" i="11" s="1"/>
  <c r="E17" i="11"/>
  <c r="F17" i="11" s="1"/>
  <c r="E18" i="11"/>
  <c r="F18" i="11" s="1"/>
  <c r="E8" i="11"/>
  <c r="F8" i="11" s="1"/>
  <c r="I7" i="11"/>
  <c r="J7" i="11" s="1"/>
  <c r="F7" i="11"/>
  <c r="J9" i="11" l="1"/>
  <c r="J16" i="11"/>
  <c r="J14" i="11"/>
  <c r="J10" i="11"/>
  <c r="J17" i="11"/>
  <c r="J11" i="11"/>
  <c r="J8" i="11"/>
  <c r="I19" i="11"/>
  <c r="J13" i="11"/>
  <c r="F19" i="11"/>
  <c r="J15" i="11"/>
  <c r="J12" i="11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M43" i="2"/>
  <c r="N43" i="2"/>
  <c r="M44" i="2"/>
  <c r="N44" i="2"/>
  <c r="M45" i="2"/>
  <c r="N45" i="2"/>
  <c r="M46" i="2"/>
  <c r="N46" i="2"/>
  <c r="M47" i="2"/>
  <c r="N47" i="2"/>
  <c r="M48" i="2"/>
  <c r="N48" i="2"/>
  <c r="M49" i="2"/>
  <c r="N49" i="2"/>
  <c r="M50" i="2"/>
  <c r="N50" i="2"/>
  <c r="M51" i="2"/>
  <c r="N51" i="2"/>
  <c r="M52" i="2"/>
  <c r="N52" i="2"/>
  <c r="M53" i="2"/>
  <c r="N53" i="2"/>
  <c r="M54" i="2"/>
  <c r="N54" i="2"/>
  <c r="M55" i="2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N66" i="2"/>
  <c r="M67" i="2"/>
  <c r="N67" i="2"/>
  <c r="M68" i="2"/>
  <c r="N68" i="2"/>
  <c r="M69" i="2"/>
  <c r="N69" i="2"/>
  <c r="M70" i="2"/>
  <c r="N70" i="2"/>
  <c r="M71" i="2"/>
  <c r="N71" i="2"/>
  <c r="M72" i="2"/>
  <c r="N72" i="2"/>
  <c r="M73" i="2"/>
  <c r="N73" i="2"/>
  <c r="M74" i="2"/>
  <c r="N74" i="2"/>
  <c r="M75" i="2"/>
  <c r="N75" i="2"/>
  <c r="M76" i="2"/>
  <c r="N76" i="2"/>
  <c r="M77" i="2"/>
  <c r="N77" i="2"/>
  <c r="M78" i="2"/>
  <c r="N78" i="2"/>
  <c r="M79" i="2"/>
  <c r="N79" i="2"/>
  <c r="M80" i="2"/>
  <c r="N80" i="2"/>
  <c r="M81" i="2"/>
  <c r="N81" i="2"/>
  <c r="M82" i="2"/>
  <c r="N82" i="2"/>
  <c r="M83" i="2"/>
  <c r="N83" i="2"/>
  <c r="M84" i="2"/>
  <c r="N84" i="2"/>
  <c r="M85" i="2"/>
  <c r="N85" i="2"/>
  <c r="M86" i="2"/>
  <c r="N86" i="2"/>
  <c r="M87" i="2"/>
  <c r="N87" i="2"/>
  <c r="M88" i="2"/>
  <c r="N88" i="2"/>
  <c r="M89" i="2"/>
  <c r="N89" i="2"/>
  <c r="M90" i="2"/>
  <c r="N90" i="2"/>
  <c r="M91" i="2"/>
  <c r="N91" i="2"/>
  <c r="M92" i="2"/>
  <c r="N92" i="2"/>
  <c r="M93" i="2"/>
  <c r="N93" i="2"/>
  <c r="M94" i="2"/>
  <c r="N94" i="2"/>
  <c r="M95" i="2"/>
  <c r="N95" i="2"/>
  <c r="M96" i="2"/>
  <c r="N96" i="2"/>
  <c r="M97" i="2"/>
  <c r="N97" i="2"/>
  <c r="M98" i="2"/>
  <c r="N98" i="2"/>
  <c r="M99" i="2"/>
  <c r="N99" i="2"/>
  <c r="M100" i="2"/>
  <c r="N100" i="2"/>
  <c r="M101" i="2"/>
  <c r="N101" i="2"/>
  <c r="M102" i="2"/>
  <c r="N102" i="2"/>
  <c r="M103" i="2"/>
  <c r="N103" i="2"/>
  <c r="M104" i="2"/>
  <c r="N104" i="2"/>
  <c r="M105" i="2"/>
  <c r="N105" i="2"/>
  <c r="M106" i="2"/>
  <c r="N106" i="2"/>
  <c r="M107" i="2"/>
  <c r="N107" i="2"/>
  <c r="M108" i="2"/>
  <c r="N108" i="2"/>
  <c r="M109" i="2"/>
  <c r="N109" i="2"/>
  <c r="M110" i="2"/>
  <c r="N110" i="2"/>
  <c r="M111" i="2"/>
  <c r="N111" i="2"/>
  <c r="M112" i="2"/>
  <c r="N112" i="2"/>
  <c r="M113" i="2"/>
  <c r="N113" i="2"/>
  <c r="M114" i="2"/>
  <c r="N114" i="2"/>
  <c r="M115" i="2"/>
  <c r="N115" i="2"/>
  <c r="M116" i="2"/>
  <c r="N116" i="2"/>
  <c r="M117" i="2"/>
  <c r="N117" i="2"/>
  <c r="M118" i="2"/>
  <c r="N118" i="2"/>
  <c r="M119" i="2"/>
  <c r="N119" i="2"/>
  <c r="M120" i="2"/>
  <c r="N120" i="2"/>
  <c r="M121" i="2"/>
  <c r="N121" i="2"/>
  <c r="M122" i="2"/>
  <c r="N122" i="2"/>
  <c r="M123" i="2"/>
  <c r="N123" i="2"/>
  <c r="M124" i="2"/>
  <c r="N124" i="2"/>
  <c r="M125" i="2"/>
  <c r="N125" i="2"/>
  <c r="M126" i="2"/>
  <c r="N126" i="2"/>
  <c r="M127" i="2"/>
  <c r="N127" i="2"/>
  <c r="M128" i="2"/>
  <c r="N128" i="2"/>
  <c r="M129" i="2"/>
  <c r="N129" i="2"/>
  <c r="M130" i="2"/>
  <c r="N130" i="2"/>
  <c r="M131" i="2"/>
  <c r="N131" i="2"/>
  <c r="M132" i="2"/>
  <c r="N132" i="2"/>
  <c r="M133" i="2"/>
  <c r="N133" i="2"/>
  <c r="M134" i="2"/>
  <c r="N134" i="2"/>
  <c r="M135" i="2"/>
  <c r="N135" i="2"/>
  <c r="M136" i="2"/>
  <c r="N136" i="2"/>
  <c r="M137" i="2"/>
  <c r="N137" i="2"/>
  <c r="M138" i="2"/>
  <c r="N138" i="2"/>
  <c r="N2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2" i="2"/>
  <c r="J20" i="11" l="1"/>
  <c r="J19" i="11"/>
  <c r="O123" i="2"/>
  <c r="P123" i="2" s="1"/>
  <c r="O83" i="2"/>
  <c r="P83" i="2" s="1"/>
  <c r="O75" i="2"/>
  <c r="P75" i="2" s="1"/>
  <c r="O67" i="2"/>
  <c r="P67" i="2" s="1"/>
  <c r="O51" i="2"/>
  <c r="P51" i="2" s="1"/>
  <c r="O82" i="2"/>
  <c r="P82" i="2" s="1"/>
  <c r="O18" i="2"/>
  <c r="P18" i="2" s="1"/>
  <c r="O103" i="2"/>
  <c r="P103" i="2" s="1"/>
  <c r="O135" i="2"/>
  <c r="P135" i="2" s="1"/>
  <c r="O127" i="2"/>
  <c r="P127" i="2" s="1"/>
  <c r="O126" i="2"/>
  <c r="P126" i="2" s="1"/>
  <c r="O57" i="2"/>
  <c r="P57" i="2" s="1"/>
  <c r="O114" i="2"/>
  <c r="P114" i="2" s="1"/>
  <c r="O61" i="2"/>
  <c r="P61" i="2" s="1"/>
  <c r="O36" i="2"/>
  <c r="P36" i="2" s="1"/>
  <c r="O130" i="2"/>
  <c r="P130" i="2" s="1"/>
  <c r="O33" i="2"/>
  <c r="P33" i="2" s="1"/>
  <c r="O96" i="2"/>
  <c r="P96" i="2" s="1"/>
  <c r="O72" i="2"/>
  <c r="P72" i="2" s="1"/>
  <c r="O56" i="2"/>
  <c r="P56" i="2" s="1"/>
  <c r="O70" i="2"/>
  <c r="P70" i="2" s="1"/>
  <c r="O125" i="2"/>
  <c r="P125" i="2" s="1"/>
  <c r="O62" i="2"/>
  <c r="P62" i="2" s="1"/>
  <c r="O29" i="2"/>
  <c r="P29" i="2" s="1"/>
  <c r="O131" i="2"/>
  <c r="P131" i="2" s="1"/>
  <c r="O68" i="2"/>
  <c r="P68" i="2" s="1"/>
  <c r="O129" i="2"/>
  <c r="P129" i="2" s="1"/>
  <c r="O3" i="2"/>
  <c r="P3" i="2" s="1"/>
  <c r="O58" i="2"/>
  <c r="P58" i="2" s="1"/>
  <c r="O112" i="2"/>
  <c r="P112" i="2" s="1"/>
  <c r="O65" i="2"/>
  <c r="P65" i="2" s="1"/>
  <c r="O119" i="2"/>
  <c r="P119" i="2" s="1"/>
  <c r="O110" i="2"/>
  <c r="P110" i="2" s="1"/>
  <c r="O102" i="2"/>
  <c r="P102" i="2" s="1"/>
  <c r="O46" i="2"/>
  <c r="P46" i="2" s="1"/>
  <c r="O15" i="2"/>
  <c r="P15" i="2" s="1"/>
  <c r="O22" i="2"/>
  <c r="P22" i="2" s="1"/>
  <c r="O77" i="2"/>
  <c r="P77" i="2" s="1"/>
  <c r="O52" i="2"/>
  <c r="P52" i="2" s="1"/>
  <c r="O138" i="2"/>
  <c r="P138" i="2" s="1"/>
  <c r="O99" i="2"/>
  <c r="P99" i="2" s="1"/>
  <c r="O20" i="2"/>
  <c r="P20" i="2" s="1"/>
  <c r="O19" i="2"/>
  <c r="P19" i="2" s="1"/>
  <c r="O24" i="2"/>
  <c r="P24" i="2" s="1"/>
  <c r="O93" i="2"/>
  <c r="P93" i="2" s="1"/>
  <c r="O6" i="2"/>
  <c r="P6" i="2" s="1"/>
  <c r="O133" i="2"/>
  <c r="P133" i="2" s="1"/>
  <c r="O111" i="2"/>
  <c r="P111" i="2" s="1"/>
  <c r="O88" i="2"/>
  <c r="P88" i="2" s="1"/>
  <c r="O73" i="2"/>
  <c r="P73" i="2" s="1"/>
  <c r="O45" i="2"/>
  <c r="P45" i="2" s="1"/>
  <c r="O30" i="2"/>
  <c r="P30" i="2" s="1"/>
  <c r="O23" i="2"/>
  <c r="P23" i="2" s="1"/>
  <c r="O17" i="2"/>
  <c r="P17" i="2" s="1"/>
  <c r="O10" i="2"/>
  <c r="P10" i="2" s="1"/>
  <c r="O2" i="2"/>
  <c r="P2" i="2" s="1"/>
  <c r="O95" i="2"/>
  <c r="P95" i="2" s="1"/>
  <c r="O59" i="2"/>
  <c r="P59" i="2" s="1"/>
  <c r="O8" i="2"/>
  <c r="P8" i="2" s="1"/>
  <c r="O94" i="2"/>
  <c r="P94" i="2" s="1"/>
  <c r="O101" i="2"/>
  <c r="P101" i="2" s="1"/>
  <c r="O71" i="2"/>
  <c r="P71" i="2" s="1"/>
  <c r="O35" i="2"/>
  <c r="P35" i="2" s="1"/>
  <c r="O78" i="2"/>
  <c r="P78" i="2" s="1"/>
  <c r="O122" i="2"/>
  <c r="P122" i="2" s="1"/>
  <c r="O85" i="2"/>
  <c r="P85" i="2" s="1"/>
  <c r="O41" i="2"/>
  <c r="P41" i="2" s="1"/>
  <c r="O13" i="2"/>
  <c r="P13" i="2" s="1"/>
  <c r="O92" i="2"/>
  <c r="P92" i="2" s="1"/>
  <c r="O113" i="2"/>
  <c r="P113" i="2" s="1"/>
  <c r="O106" i="2"/>
  <c r="P106" i="2" s="1"/>
  <c r="O47" i="2"/>
  <c r="P47" i="2" s="1"/>
  <c r="O25" i="2"/>
  <c r="P25" i="2" s="1"/>
  <c r="O54" i="2"/>
  <c r="P54" i="2" s="1"/>
  <c r="O84" i="2"/>
  <c r="P84" i="2" s="1"/>
  <c r="O16" i="2"/>
  <c r="P16" i="2" s="1"/>
  <c r="O118" i="2"/>
  <c r="P118" i="2" s="1"/>
  <c r="O97" i="2"/>
  <c r="P97" i="2" s="1"/>
  <c r="O91" i="2"/>
  <c r="P91" i="2" s="1"/>
  <c r="O50" i="2"/>
  <c r="P50" i="2" s="1"/>
  <c r="O43" i="2"/>
  <c r="P43" i="2" s="1"/>
  <c r="O117" i="2"/>
  <c r="P117" i="2" s="1"/>
  <c r="O90" i="2"/>
  <c r="P90" i="2" s="1"/>
  <c r="O69" i="2"/>
  <c r="P69" i="2" s="1"/>
  <c r="O49" i="2"/>
  <c r="P49" i="2" s="1"/>
  <c r="O42" i="2"/>
  <c r="P42" i="2" s="1"/>
  <c r="O28" i="2"/>
  <c r="P28" i="2" s="1"/>
  <c r="O21" i="2"/>
  <c r="P21" i="2" s="1"/>
  <c r="O105" i="2"/>
  <c r="P105" i="2" s="1"/>
  <c r="O64" i="2"/>
  <c r="P64" i="2" s="1"/>
  <c r="O137" i="2"/>
  <c r="P137" i="2" s="1"/>
  <c r="O124" i="2"/>
  <c r="P124" i="2" s="1"/>
  <c r="O76" i="2"/>
  <c r="P76" i="2" s="1"/>
  <c r="O55" i="2"/>
  <c r="P55" i="2" s="1"/>
  <c r="O14" i="2"/>
  <c r="P14" i="2" s="1"/>
  <c r="O7" i="2"/>
  <c r="P7" i="2" s="1"/>
  <c r="O116" i="2"/>
  <c r="P116" i="2" s="1"/>
  <c r="O89" i="2"/>
  <c r="P89" i="2" s="1"/>
  <c r="O48" i="2"/>
  <c r="P48" i="2" s="1"/>
  <c r="O34" i="2"/>
  <c r="P34" i="2" s="1"/>
  <c r="O27" i="2"/>
  <c r="P27" i="2" s="1"/>
  <c r="O98" i="2"/>
  <c r="P98" i="2" s="1"/>
  <c r="O115" i="2"/>
  <c r="P115" i="2" s="1"/>
  <c r="O109" i="2"/>
  <c r="P109" i="2" s="1"/>
  <c r="O40" i="2"/>
  <c r="P40" i="2" s="1"/>
  <c r="O26" i="2"/>
  <c r="P26" i="2" s="1"/>
  <c r="O81" i="2"/>
  <c r="P81" i="2" s="1"/>
  <c r="O74" i="2"/>
  <c r="P74" i="2" s="1"/>
  <c r="O108" i="2"/>
  <c r="P108" i="2" s="1"/>
  <c r="O87" i="2"/>
  <c r="P87" i="2" s="1"/>
  <c r="O53" i="2"/>
  <c r="P53" i="2" s="1"/>
  <c r="O39" i="2"/>
  <c r="P39" i="2" s="1"/>
  <c r="O12" i="2"/>
  <c r="P12" i="2" s="1"/>
  <c r="O5" i="2"/>
  <c r="P5" i="2" s="1"/>
  <c r="O121" i="2"/>
  <c r="P121" i="2" s="1"/>
  <c r="O100" i="2"/>
  <c r="P100" i="2" s="1"/>
  <c r="O80" i="2"/>
  <c r="P80" i="2" s="1"/>
  <c r="O60" i="2"/>
  <c r="P60" i="2" s="1"/>
  <c r="O32" i="2"/>
  <c r="P32" i="2" s="1"/>
  <c r="O134" i="2"/>
  <c r="P134" i="2" s="1"/>
  <c r="O128" i="2"/>
  <c r="P128" i="2" s="1"/>
  <c r="O120" i="2"/>
  <c r="P120" i="2" s="1"/>
  <c r="O107" i="2"/>
  <c r="P107" i="2" s="1"/>
  <c r="O86" i="2"/>
  <c r="P86" i="2" s="1"/>
  <c r="O66" i="2"/>
  <c r="P66" i="2" s="1"/>
  <c r="O38" i="2"/>
  <c r="P38" i="2" s="1"/>
  <c r="O11" i="2"/>
  <c r="P11" i="2" s="1"/>
  <c r="O4" i="2"/>
  <c r="P4" i="2" s="1"/>
  <c r="O31" i="2"/>
  <c r="P31" i="2" s="1"/>
  <c r="O44" i="2"/>
  <c r="P44" i="2" s="1"/>
  <c r="O132" i="2"/>
  <c r="P132" i="2" s="1"/>
  <c r="O37" i="2"/>
  <c r="P37" i="2" s="1"/>
  <c r="O63" i="2"/>
  <c r="P63" i="2" s="1"/>
  <c r="O136" i="2"/>
  <c r="P136" i="2" s="1"/>
  <c r="O104" i="2"/>
  <c r="P104" i="2" s="1"/>
  <c r="O79" i="2"/>
  <c r="P79" i="2" s="1"/>
  <c r="O9" i="2"/>
  <c r="P9" i="2" s="1"/>
</calcChain>
</file>

<file path=xl/sharedStrings.xml><?xml version="1.0" encoding="utf-8"?>
<sst xmlns="http://schemas.openxmlformats.org/spreadsheetml/2006/main" count="2669" uniqueCount="338">
  <si>
    <t>name</t>
  </si>
  <si>
    <t>public_rating</t>
  </si>
  <si>
    <t>model_rating</t>
  </si>
  <si>
    <t>Adjustment</t>
  </si>
  <si>
    <t>LS_rating</t>
  </si>
  <si>
    <t>LS_letter</t>
  </si>
  <si>
    <t>distance_lower_bound</t>
  </si>
  <si>
    <t>ERV_Dot</t>
  </si>
  <si>
    <t>in ERV</t>
  </si>
  <si>
    <t>Analyst</t>
  </si>
  <si>
    <t>United States</t>
  </si>
  <si>
    <t>AA-</t>
  </si>
  <si>
    <t xml:space="preserve">                ⚫    </t>
  </si>
  <si>
    <t>No</t>
  </si>
  <si>
    <t>BRIAN HORRIGAN</t>
  </si>
  <si>
    <t>United Kingdom</t>
  </si>
  <si>
    <t xml:space="preserve">       ⚫             </t>
  </si>
  <si>
    <t>JON LEVY</t>
  </si>
  <si>
    <t>Austria</t>
  </si>
  <si>
    <t>Not covered</t>
  </si>
  <si>
    <t>Belgium</t>
  </si>
  <si>
    <t>A+</t>
  </si>
  <si>
    <t xml:space="preserve">                   ⚫ </t>
  </si>
  <si>
    <t>Denmark</t>
  </si>
  <si>
    <t>AAA</t>
  </si>
  <si>
    <t xml:space="preserve">⚫                    </t>
  </si>
  <si>
    <t>France</t>
  </si>
  <si>
    <t xml:space="preserve">        ⚫            </t>
  </si>
  <si>
    <t>Germany</t>
  </si>
  <si>
    <t xml:space="preserve">               ⚫     </t>
  </si>
  <si>
    <t>Italy</t>
  </si>
  <si>
    <t>A</t>
  </si>
  <si>
    <t xml:space="preserve">                  ⚫  </t>
  </si>
  <si>
    <t>Luxembourg</t>
  </si>
  <si>
    <t>AA+</t>
  </si>
  <si>
    <t xml:space="preserve">         ⚫           </t>
  </si>
  <si>
    <t>Netherlands</t>
  </si>
  <si>
    <t xml:space="preserve"> ⚫                   </t>
  </si>
  <si>
    <t>Norway</t>
  </si>
  <si>
    <t>JINGZHOU MENG</t>
  </si>
  <si>
    <t>Sweden</t>
  </si>
  <si>
    <t xml:space="preserve">              ⚫      </t>
  </si>
  <si>
    <t>Switzerland</t>
  </si>
  <si>
    <t>Canada</t>
  </si>
  <si>
    <t>AA</t>
  </si>
  <si>
    <t xml:space="preserve">    ⚫                </t>
  </si>
  <si>
    <t>Japan</t>
  </si>
  <si>
    <t>BO ZHUANG</t>
  </si>
  <si>
    <t>Finland</t>
  </si>
  <si>
    <t xml:space="preserve">            ⚫        </t>
  </si>
  <si>
    <t>Greece</t>
  </si>
  <si>
    <t>BBB-</t>
  </si>
  <si>
    <t>Iceland</t>
  </si>
  <si>
    <t>Ireland</t>
  </si>
  <si>
    <t>Malta</t>
  </si>
  <si>
    <t>A-</t>
  </si>
  <si>
    <t>Portugal</t>
  </si>
  <si>
    <t>Spain</t>
  </si>
  <si>
    <t xml:space="preserve">                 ⚫   </t>
  </si>
  <si>
    <t>Turkey</t>
  </si>
  <si>
    <t>BB</t>
  </si>
  <si>
    <t>Yes</t>
  </si>
  <si>
    <t>HASSAN MALIK</t>
  </si>
  <si>
    <t>Australia</t>
  </si>
  <si>
    <t>KAIMIN KHAW</t>
  </si>
  <si>
    <t>New Zealand</t>
  </si>
  <si>
    <t xml:space="preserve">                    ⚫</t>
  </si>
  <si>
    <t>South Africa</t>
  </si>
  <si>
    <t>BB+</t>
  </si>
  <si>
    <t>Argentina</t>
  </si>
  <si>
    <t>CCC+</t>
  </si>
  <si>
    <t xml:space="preserve">          ⚫          </t>
  </si>
  <si>
    <t>GREGORY HADJIAN</t>
  </si>
  <si>
    <t>Bolivia</t>
  </si>
  <si>
    <t>CCC-</t>
  </si>
  <si>
    <t>Brazil</t>
  </si>
  <si>
    <t>Chile</t>
  </si>
  <si>
    <t xml:space="preserve">           ⚫         </t>
  </si>
  <si>
    <t>Colombia</t>
  </si>
  <si>
    <t>BB-</t>
  </si>
  <si>
    <t>Costa Rica</t>
  </si>
  <si>
    <t>Dominican Republic</t>
  </si>
  <si>
    <t xml:space="preserve">             ⚫       </t>
  </si>
  <si>
    <t>Ecuador</t>
  </si>
  <si>
    <t>El Salvador</t>
  </si>
  <si>
    <t>B-</t>
  </si>
  <si>
    <t>Guatemala</t>
  </si>
  <si>
    <t>Honduras</t>
  </si>
  <si>
    <t>B+</t>
  </si>
  <si>
    <t>Mexico</t>
  </si>
  <si>
    <t>Nicaragua</t>
  </si>
  <si>
    <t xml:space="preserve">     ⚫               </t>
  </si>
  <si>
    <t>Panama</t>
  </si>
  <si>
    <t>Paraguay</t>
  </si>
  <si>
    <t>Peru</t>
  </si>
  <si>
    <t>BBB</t>
  </si>
  <si>
    <t>Uruguay</t>
  </si>
  <si>
    <t>Venezuela</t>
  </si>
  <si>
    <t>D</t>
  </si>
  <si>
    <t>Barbados</t>
  </si>
  <si>
    <t>Belize</t>
  </si>
  <si>
    <t>Jamaica</t>
  </si>
  <si>
    <t>Suriname</t>
  </si>
  <si>
    <t>B</t>
  </si>
  <si>
    <t>Trinidad and Tobago</t>
  </si>
  <si>
    <t>Bahrain</t>
  </si>
  <si>
    <t>RAMSEY ANDRAWIS</t>
  </si>
  <si>
    <t>Cyprus</t>
  </si>
  <si>
    <t xml:space="preserve">      ⚫              </t>
  </si>
  <si>
    <t>Iraq</t>
  </si>
  <si>
    <t>Israel</t>
  </si>
  <si>
    <t>BBB+</t>
  </si>
  <si>
    <t>Jordan</t>
  </si>
  <si>
    <t>Kuwait</t>
  </si>
  <si>
    <t>Lebanon</t>
  </si>
  <si>
    <t>Oman</t>
  </si>
  <si>
    <t>Qatar</t>
  </si>
  <si>
    <t>Saudi Arabia</t>
  </si>
  <si>
    <t>United Arab Emirates</t>
  </si>
  <si>
    <t>Egypt</t>
  </si>
  <si>
    <t>Bangladesh</t>
  </si>
  <si>
    <t>Cambodia</t>
  </si>
  <si>
    <t>Sri Lanka</t>
  </si>
  <si>
    <t>Taiwan</t>
  </si>
  <si>
    <t>Hong Kong</t>
  </si>
  <si>
    <t>India</t>
  </si>
  <si>
    <t>Indonesia</t>
  </si>
  <si>
    <t>Korea</t>
  </si>
  <si>
    <t>HUANI ZHU</t>
  </si>
  <si>
    <t>Lao P.D.R.</t>
  </si>
  <si>
    <t>Macau</t>
  </si>
  <si>
    <t>Malaysia</t>
  </si>
  <si>
    <t>Maldives</t>
  </si>
  <si>
    <t>CC</t>
  </si>
  <si>
    <t>Pakistan</t>
  </si>
  <si>
    <t>Philippines</t>
  </si>
  <si>
    <t>Singapore</t>
  </si>
  <si>
    <t>Thailand</t>
  </si>
  <si>
    <t>Vietnam</t>
  </si>
  <si>
    <t>Algeria</t>
  </si>
  <si>
    <t>Angola</t>
  </si>
  <si>
    <t>SAURABH LELE</t>
  </si>
  <si>
    <t>Botswana</t>
  </si>
  <si>
    <t>Cameroon</t>
  </si>
  <si>
    <t>Cabo Verde</t>
  </si>
  <si>
    <t>Republic of Congo</t>
  </si>
  <si>
    <t>Democratic Republic of the Congo</t>
  </si>
  <si>
    <t xml:space="preserve">   ⚫                 </t>
  </si>
  <si>
    <t>Benin</t>
  </si>
  <si>
    <t>Ethiopia</t>
  </si>
  <si>
    <t>Gabon</t>
  </si>
  <si>
    <t>Ghana</t>
  </si>
  <si>
    <t>Côte d'Ivoire</t>
  </si>
  <si>
    <t>Kenya</t>
  </si>
  <si>
    <t>Lesotho</t>
  </si>
  <si>
    <t>Madagascar</t>
  </si>
  <si>
    <t>Mauritius</t>
  </si>
  <si>
    <t>Morocco</t>
  </si>
  <si>
    <t>Mozambique</t>
  </si>
  <si>
    <t>C</t>
  </si>
  <si>
    <t>Niger</t>
  </si>
  <si>
    <t>CCC</t>
  </si>
  <si>
    <t>Nigeria</t>
  </si>
  <si>
    <t>Rwanda</t>
  </si>
  <si>
    <t>Seychelles</t>
  </si>
  <si>
    <t xml:space="preserve">  ⚫                  </t>
  </si>
  <si>
    <t>Senegal</t>
  </si>
  <si>
    <t>Namibia</t>
  </si>
  <si>
    <t>Tanzania</t>
  </si>
  <si>
    <t>Togo</t>
  </si>
  <si>
    <t>Tunisia</t>
  </si>
  <si>
    <t>Uganda</t>
  </si>
  <si>
    <t>Burkina Faso</t>
  </si>
  <si>
    <t>Zambia</t>
  </si>
  <si>
    <t>Fiji</t>
  </si>
  <si>
    <t>Papua New Guinea</t>
  </si>
  <si>
    <t>Armenia</t>
  </si>
  <si>
    <t>Azerbaijan</t>
  </si>
  <si>
    <t>Belarus</t>
  </si>
  <si>
    <t>Albania</t>
  </si>
  <si>
    <t>Georgia</t>
  </si>
  <si>
    <t>Kazakhstan</t>
  </si>
  <si>
    <t>Kyrgyz Republic</t>
  </si>
  <si>
    <t>Bulgaria</t>
  </si>
  <si>
    <t>Moldova</t>
  </si>
  <si>
    <t>Russia</t>
  </si>
  <si>
    <t>China</t>
  </si>
  <si>
    <t>Ukraine</t>
  </si>
  <si>
    <t>Uzbekistan</t>
  </si>
  <si>
    <t>Czech Republic</t>
  </si>
  <si>
    <t>Slovakia</t>
  </si>
  <si>
    <t>Estonia</t>
  </si>
  <si>
    <t>Latvia</t>
  </si>
  <si>
    <t>Serbia</t>
  </si>
  <si>
    <t>Montenegro</t>
  </si>
  <si>
    <t>Hungary</t>
  </si>
  <si>
    <t>Lithuania</t>
  </si>
  <si>
    <t>Mongolia</t>
  </si>
  <si>
    <t>Croatia</t>
  </si>
  <si>
    <t>Slovenia</t>
  </si>
  <si>
    <t>FYR Macedonia</t>
  </si>
  <si>
    <t>Bosnia and Herzegovina</t>
  </si>
  <si>
    <t>Poland</t>
  </si>
  <si>
    <t>Romania</t>
  </si>
  <si>
    <t>model_rating_dec</t>
  </si>
  <si>
    <t>model_rating_oct</t>
  </si>
  <si>
    <t>model delta (rating notches, -ve = worse, +ve = better)</t>
  </si>
  <si>
    <t>Gov_Factor 2023_old</t>
  </si>
  <si>
    <t>Gov_Factor_2023_new</t>
  </si>
  <si>
    <t>Gov_Factor_2024</t>
  </si>
  <si>
    <t>cc</t>
  </si>
  <si>
    <t>year</t>
  </si>
  <si>
    <t>rating</t>
  </si>
  <si>
    <t>predicted_rating</t>
  </si>
  <si>
    <t>resid</t>
  </si>
  <si>
    <t>wealth_factor</t>
  </si>
  <si>
    <t>size_factor</t>
  </si>
  <si>
    <t>growth_factor</t>
  </si>
  <si>
    <t>inflation_factor</t>
  </si>
  <si>
    <t>default_factor</t>
  </si>
  <si>
    <t>governance_factor</t>
  </si>
  <si>
    <t>fiscalperf_factor</t>
  </si>
  <si>
    <t>govdebt_factor</t>
  </si>
  <si>
    <t>extperf_factor</t>
  </si>
  <si>
    <t>reservebuffer_factor</t>
  </si>
  <si>
    <t>reservestatus_factor</t>
  </si>
  <si>
    <t>ngdp_pc</t>
  </si>
  <si>
    <t>median_ngdp_pc</t>
  </si>
  <si>
    <t>detrend_median_ngdp_pc</t>
  </si>
  <si>
    <t>trend_median_ngdp_pc</t>
  </si>
  <si>
    <t>ngdp</t>
  </si>
  <si>
    <t>median_ngdp</t>
  </si>
  <si>
    <t>detrend_median_ngdp</t>
  </si>
  <si>
    <t>trend_median_ngdp</t>
  </si>
  <si>
    <t>growth_avg</t>
  </si>
  <si>
    <t>inf_avg</t>
  </si>
  <si>
    <t>default_hist</t>
  </si>
  <si>
    <t>default_decay</t>
  </si>
  <si>
    <t>voice_acct</t>
  </si>
  <si>
    <t>pol_stab</t>
  </si>
  <si>
    <t>gov_eff</t>
  </si>
  <si>
    <t>reg_qual</t>
  </si>
  <si>
    <t>rule_law</t>
  </si>
  <si>
    <t>cont_corrupt</t>
  </si>
  <si>
    <t>fb_avg</t>
  </si>
  <si>
    <t>gov_rev_gdp</t>
  </si>
  <si>
    <t>ir_rev</t>
  </si>
  <si>
    <t>gov_debt_gdp</t>
  </si>
  <si>
    <t>cab_avg</t>
  </si>
  <si>
    <t>reserve_gdp</t>
  </si>
  <si>
    <t>import_cover</t>
  </si>
  <si>
    <t>reserve_fx</t>
  </si>
  <si>
    <t>Total Change</t>
  </si>
  <si>
    <t>Method Change</t>
  </si>
  <si>
    <t>Time Change</t>
  </si>
  <si>
    <t>*NOTE ALGERIA REMOVED :)</t>
  </si>
  <si>
    <t>Rating impact (x2.8)</t>
  </si>
  <si>
    <t>pppgdp_pc</t>
  </si>
  <si>
    <t>pppgdp</t>
  </si>
  <si>
    <t>rgdp_g</t>
  </si>
  <si>
    <t>inf</t>
  </si>
  <si>
    <t>fb</t>
  </si>
  <si>
    <t>cab</t>
  </si>
  <si>
    <t>pb</t>
  </si>
  <si>
    <t>ir_gdp</t>
  </si>
  <si>
    <t>gov_debt_rev</t>
  </si>
  <si>
    <t>extdebt_to_reserve</t>
  </si>
  <si>
    <t>extdebt_gdp</t>
  </si>
  <si>
    <t>non_reserve_fx</t>
  </si>
  <si>
    <t>default_last</t>
  </si>
  <si>
    <t>const</t>
  </si>
  <si>
    <t>old</t>
  </si>
  <si>
    <t>new</t>
  </si>
  <si>
    <t>Factor View</t>
  </si>
  <si>
    <t>Raw Variable View</t>
  </si>
  <si>
    <t>Select Country</t>
  </si>
  <si>
    <t>Year</t>
  </si>
  <si>
    <t>Short Name</t>
  </si>
  <si>
    <t>Long Name</t>
  </si>
  <si>
    <t>Coeff</t>
  </si>
  <si>
    <t>Z-Score</t>
  </si>
  <si>
    <t>Rating Impact</t>
  </si>
  <si>
    <t>Model Rating</t>
  </si>
  <si>
    <t>Delta</t>
  </si>
  <si>
    <t>-</t>
  </si>
  <si>
    <t>Constant</t>
  </si>
  <si>
    <t>Wealth (5%)</t>
  </si>
  <si>
    <t>Size (18%)</t>
  </si>
  <si>
    <t>Growth (2%)</t>
  </si>
  <si>
    <t>Inflation (3%)</t>
  </si>
  <si>
    <t>Default History (9%)</t>
  </si>
  <si>
    <t>Governance (32%)</t>
  </si>
  <si>
    <t>Fiscal Performance (7%)</t>
  </si>
  <si>
    <t>Government Debt (10%)</t>
  </si>
  <si>
    <t>External Performance (5%)</t>
  </si>
  <si>
    <t>FX Reserves (4%)</t>
  </si>
  <si>
    <t>Reserve Currency Status (5%)</t>
  </si>
  <si>
    <t>Nominal GDP per capita (US$)</t>
  </si>
  <si>
    <t>Nominal GDP (US$ bil)</t>
  </si>
  <si>
    <t>Average Growth t-5 to t+4 (%)</t>
  </si>
  <si>
    <t>Average Inflation t-5 to t+4 (%)</t>
  </si>
  <si>
    <t>Average of Default History and Default Decay</t>
  </si>
  <si>
    <t>Default history dummy. 1 if ever defaulted before 0 otherwise.</t>
  </si>
  <si>
    <t>Default Decay. 1 at point of default. Decays to 0.5 in 4.3 years.</t>
  </si>
  <si>
    <t>Average of 6 WGI Indicators</t>
  </si>
  <si>
    <t>Voice and Accountability (cross section z-score)</t>
  </si>
  <si>
    <t>Political Stability (cross section z-score)</t>
  </si>
  <si>
    <t>Government Effectiveness (cross section z-score)</t>
  </si>
  <si>
    <t>Regulatory Quality (cross section z-score)</t>
  </si>
  <si>
    <t>Rule of Law (cross section z-score)</t>
  </si>
  <si>
    <t>Control of Corruption (cross section z-score)</t>
  </si>
  <si>
    <t>Average of Fiscal Balance, Govt Rev GDP, Interest to Rev</t>
  </si>
  <si>
    <t>Average of Fiscal Balance 10Y Avg t-5 to t+4 (% of GDP)</t>
  </si>
  <si>
    <t>Government Revenue (% of GDP)</t>
  </si>
  <si>
    <t>Interest Payment (% of Revenue)</t>
  </si>
  <si>
    <t>Government Debt (% of GDP)</t>
  </si>
  <si>
    <t>Average Current Account Balance t-5 to t+4 (% of GDP)</t>
  </si>
  <si>
    <t>Average of FX reserves (% GDP) and Import Cover</t>
  </si>
  <si>
    <t>FX Reserves (% of GDP)</t>
  </si>
  <si>
    <t>FX Reserves (months of imports)</t>
  </si>
  <si>
    <t>Reserve Currency Status (1 = Yes, 0 = No)</t>
  </si>
  <si>
    <t>Factor</t>
  </si>
  <si>
    <t>Constituent Variables</t>
  </si>
  <si>
    <t>Baseline Rating</t>
  </si>
  <si>
    <t>Intercept</t>
  </si>
  <si>
    <t>Wealth (%)</t>
  </si>
  <si>
    <t>check</t>
  </si>
  <si>
    <t>Raw</t>
  </si>
  <si>
    <t>Z-score</t>
  </si>
  <si>
    <t>Comments</t>
  </si>
  <si>
    <t>Driven by smaller fiscal perf coefficient in re-weighting</t>
  </si>
  <si>
    <t>Reweighting of defaut coefficient</t>
  </si>
  <si>
    <t>Due to higher weight to inflation coefficient</t>
  </si>
  <si>
    <t>Sharp improvement in reserve buffers post data update</t>
  </si>
  <si>
    <t>Dec (after WGI changes)</t>
  </si>
  <si>
    <t>Oct (before)</t>
  </si>
  <si>
    <t>Raw Delta</t>
  </si>
  <si>
    <t>Z-Score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</si>
</sst>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onsolas"/>
      <family val="3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CEE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/>
    <xf numFmtId="2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4" fillId="5" borderId="0" xfId="0" applyFont="1" applyFill="1"/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4" fillId="5" borderId="6" xfId="0" applyFont="1" applyFill="1" applyBorder="1"/>
    <xf numFmtId="0" fontId="4" fillId="5" borderId="0" xfId="0" applyFont="1" applyFill="1" applyBorder="1"/>
    <xf numFmtId="0" fontId="4" fillId="5" borderId="7" xfId="0" applyFont="1" applyFill="1" applyBorder="1"/>
    <xf numFmtId="2" fontId="0" fillId="0" borderId="6" xfId="0" applyNumberFormat="1" applyBorder="1" applyAlignment="1">
      <alignment horizontal="center"/>
    </xf>
    <xf numFmtId="0" fontId="0" fillId="0" borderId="0" xfId="0" applyBorder="1"/>
    <xf numFmtId="2" fontId="0" fillId="0" borderId="7" xfId="0" applyNumberFormat="1" applyBorder="1"/>
    <xf numFmtId="2" fontId="0" fillId="0" borderId="8" xfId="0" applyNumberFormat="1" applyBorder="1" applyAlignment="1">
      <alignment horizontal="center"/>
    </xf>
    <xf numFmtId="0" fontId="0" fillId="0" borderId="9" xfId="0" applyBorder="1"/>
    <xf numFmtId="0" fontId="4" fillId="5" borderId="11" xfId="0" applyFont="1" applyFill="1" applyBorder="1"/>
    <xf numFmtId="0" fontId="0" fillId="0" borderId="12" xfId="0" applyBorder="1"/>
    <xf numFmtId="0" fontId="0" fillId="0" borderId="13" xfId="0" applyBorder="1"/>
    <xf numFmtId="0" fontId="4" fillId="5" borderId="5" xfId="0" applyFont="1" applyFill="1" applyBorder="1"/>
    <xf numFmtId="0" fontId="3" fillId="7" borderId="14" xfId="0" applyFont="1" applyFill="1" applyBorder="1"/>
    <xf numFmtId="0" fontId="0" fillId="7" borderId="15" xfId="0" applyFill="1" applyBorder="1"/>
    <xf numFmtId="0" fontId="0" fillId="7" borderId="14" xfId="0" applyFill="1" applyBorder="1"/>
    <xf numFmtId="0" fontId="7" fillId="0" borderId="0" xfId="0" applyFont="1" applyAlignment="1">
      <alignment horizontal="center"/>
    </xf>
    <xf numFmtId="0" fontId="3" fillId="0" borderId="7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0" fillId="0" borderId="0" xfId="0" applyBorder="1" applyAlignment="1">
      <alignment horizontal="right"/>
    </xf>
    <xf numFmtId="2" fontId="0" fillId="7" borderId="2" xfId="0" applyNumberFormat="1" applyFill="1" applyBorder="1"/>
    <xf numFmtId="0" fontId="5" fillId="0" borderId="0" xfId="0" applyFont="1"/>
    <xf numFmtId="2" fontId="5" fillId="0" borderId="0" xfId="0" applyNumberFormat="1" applyFont="1"/>
    <xf numFmtId="2" fontId="0" fillId="0" borderId="0" xfId="0" applyNumberFormat="1" applyBorder="1"/>
    <xf numFmtId="2" fontId="0" fillId="0" borderId="12" xfId="0" applyNumberFormat="1" applyBorder="1"/>
    <xf numFmtId="0" fontId="0" fillId="0" borderId="0" xfId="0" applyFont="1" applyAlignment="1">
      <alignment horizontal="center"/>
    </xf>
    <xf numFmtId="2" fontId="5" fillId="0" borderId="4" xfId="0" applyNumberFormat="1" applyFont="1" applyFill="1" applyBorder="1"/>
    <xf numFmtId="0" fontId="3" fillId="0" borderId="15" xfId="0" applyFont="1" applyBorder="1"/>
    <xf numFmtId="0" fontId="3" fillId="0" borderId="15" xfId="0" applyFont="1" applyFill="1" applyBorder="1"/>
    <xf numFmtId="0" fontId="3" fillId="0" borderId="4" xfId="0" applyFont="1" applyBorder="1"/>
    <xf numFmtId="0" fontId="3" fillId="3" borderId="2" xfId="0" applyFont="1" applyFill="1" applyBorder="1"/>
    <xf numFmtId="0" fontId="3" fillId="3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11" xfId="0" applyBorder="1"/>
    <xf numFmtId="0" fontId="3" fillId="6" borderId="14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right" indent="1"/>
    </xf>
    <xf numFmtId="2" fontId="0" fillId="0" borderId="14" xfId="0" applyNumberFormat="1" applyBorder="1"/>
    <xf numFmtId="1" fontId="0" fillId="0" borderId="14" xfId="0" applyNumberFormat="1" applyBorder="1"/>
    <xf numFmtId="2" fontId="0" fillId="0" borderId="8" xfId="0" applyNumberFormat="1" applyBorder="1"/>
    <xf numFmtId="2" fontId="0" fillId="0" borderId="6" xfId="0" applyNumberFormat="1" applyBorder="1"/>
    <xf numFmtId="1" fontId="0" fillId="0" borderId="6" xfId="0" applyNumberFormat="1" applyBorder="1"/>
    <xf numFmtId="1" fontId="0" fillId="0" borderId="2" xfId="0" applyNumberFormat="1" applyBorder="1"/>
    <xf numFmtId="2" fontId="0" fillId="0" borderId="16" xfId="0" applyNumberFormat="1" applyBorder="1"/>
    <xf numFmtId="2" fontId="0" fillId="0" borderId="2" xfId="0" applyNumberFormat="1" applyBorder="1"/>
    <xf numFmtId="2" fontId="0" fillId="0" borderId="10" xfId="0" applyNumberFormat="1" applyBorder="1"/>
    <xf numFmtId="3" fontId="0" fillId="0" borderId="14" xfId="0" applyNumberFormat="1" applyBorder="1"/>
    <xf numFmtId="1" fontId="0" fillId="0" borderId="8" xfId="0" applyNumberFormat="1" applyBorder="1"/>
    <xf numFmtId="3" fontId="0" fillId="0" borderId="2" xfId="0" applyNumberFormat="1" applyBorder="1"/>
    <xf numFmtId="0" fontId="0" fillId="0" borderId="11" xfId="0" applyBorder="1" applyAlignment="1">
      <alignment horizontal="right"/>
    </xf>
    <xf numFmtId="1" fontId="0" fillId="0" borderId="12" xfId="0" applyNumberFormat="1" applyBorder="1"/>
    <xf numFmtId="1" fontId="0" fillId="0" borderId="13" xfId="0" applyNumberFormat="1" applyBorder="1"/>
    <xf numFmtId="2" fontId="0" fillId="0" borderId="13" xfId="0" applyNumberFormat="1" applyBorder="1"/>
    <xf numFmtId="0" fontId="0" fillId="0" borderId="12" xfId="0" applyBorder="1" applyAlignment="1">
      <alignment horizontal="right"/>
    </xf>
    <xf numFmtId="0" fontId="0" fillId="0" borderId="2" xfId="0" applyBorder="1" applyAlignment="1">
      <alignment horizontal="right"/>
    </xf>
    <xf numFmtId="2" fontId="0" fillId="0" borderId="11" xfId="0" applyNumberFormat="1" applyBorder="1"/>
    <xf numFmtId="0" fontId="3" fillId="3" borderId="11" xfId="0" applyFont="1" applyFill="1" applyBorder="1" applyAlignment="1">
      <alignment vertical="top"/>
    </xf>
    <xf numFmtId="0" fontId="0" fillId="4" borderId="12" xfId="0" applyFill="1" applyBorder="1"/>
    <xf numFmtId="2" fontId="3" fillId="3" borderId="11" xfId="0" applyNumberFormat="1" applyFont="1" applyFill="1" applyBorder="1" applyAlignment="1">
      <alignment vertical="top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3" fillId="3" borderId="11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2" fontId="0" fillId="0" borderId="9" xfId="0" applyNumberFormat="1" applyBorder="1"/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SCorp">
  <a:themeElements>
    <a:clrScheme name="NewLSTheme">
      <a:dk1>
        <a:srgbClr val="000000"/>
      </a:dk1>
      <a:lt1>
        <a:srgbClr val="FFFFFF"/>
      </a:lt1>
      <a:dk2>
        <a:srgbClr val="7F7F7F"/>
      </a:dk2>
      <a:lt2>
        <a:srgbClr val="5DA9DD"/>
      </a:lt2>
      <a:accent1>
        <a:srgbClr val="1A3B73"/>
      </a:accent1>
      <a:accent2>
        <a:srgbClr val="91929B"/>
      </a:accent2>
      <a:accent3>
        <a:srgbClr val="EF7622"/>
      </a:accent3>
      <a:accent4>
        <a:srgbClr val="B6CEE4"/>
      </a:accent4>
      <a:accent5>
        <a:srgbClr val="DFD666"/>
      </a:accent5>
      <a:accent6>
        <a:srgbClr val="B21740"/>
      </a:accent6>
      <a:hlink>
        <a:srgbClr val="9EA0D0"/>
      </a:hlink>
      <a:folHlink>
        <a:srgbClr val="5A226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Q141"/>
  <sheetViews>
    <sheetView tabSelected="1" workbookViewId="0">
      <selection activeCell="A13" sqref="A13"/>
    </sheetView>
  </sheetViews>
  <sheetFormatPr defaultRowHeight="14.4" outlineLevelCol="1" x14ac:dyDescent="0.3"/>
  <cols>
    <col min="1" max="1" width="29.21875" bestFit="1" customWidth="1"/>
    <col min="2" max="2" width="11.44140625" bestFit="1" customWidth="1"/>
    <col min="3" max="3" width="16" customWidth="1"/>
    <col min="4" max="4" width="16.33203125" bestFit="1" customWidth="1"/>
    <col min="5" max="5" width="27.88671875" customWidth="1"/>
    <col min="6" max="6" width="12" hidden="1" customWidth="1" outlineLevel="1"/>
    <col min="7" max="8" width="8.88671875" hidden="1" customWidth="1" outlineLevel="1"/>
    <col min="9" max="9" width="16.88671875" hidden="1" customWidth="1" outlineLevel="1"/>
    <col min="10" max="10" width="18.88671875" hidden="1" customWidth="1" outlineLevel="1"/>
    <col min="11" max="11" width="20.33203125" hidden="1" customWidth="1" outlineLevel="1"/>
    <col min="12" max="12" width="15.6640625" hidden="1" customWidth="1" outlineLevel="1"/>
    <col min="13" max="13" width="8.88671875" collapsed="1"/>
    <col min="16" max="16" width="10.6640625" customWidth="1"/>
    <col min="17" max="17" width="36.33203125" customWidth="1"/>
  </cols>
  <sheetData>
    <row r="1" spans="1:17" ht="40.799999999999997" customHeight="1" x14ac:dyDescent="0.3">
      <c r="A1" s="75" t="s">
        <v>0</v>
      </c>
      <c r="B1" s="77" t="s">
        <v>1</v>
      </c>
      <c r="C1" s="75" t="s">
        <v>205</v>
      </c>
      <c r="D1" s="75" t="s">
        <v>204</v>
      </c>
      <c r="E1" s="80" t="s">
        <v>206</v>
      </c>
      <c r="F1" s="75" t="s">
        <v>3</v>
      </c>
      <c r="G1" s="75" t="s">
        <v>4</v>
      </c>
      <c r="H1" s="75" t="s">
        <v>5</v>
      </c>
      <c r="I1" s="75" t="s">
        <v>9</v>
      </c>
      <c r="J1" s="81" t="s">
        <v>207</v>
      </c>
      <c r="K1" s="82" t="s">
        <v>208</v>
      </c>
      <c r="L1" s="83" t="s">
        <v>209</v>
      </c>
      <c r="M1" s="85" t="s">
        <v>253</v>
      </c>
      <c r="N1" s="86" t="s">
        <v>254</v>
      </c>
      <c r="O1" s="86" t="s">
        <v>252</v>
      </c>
      <c r="P1" s="87" t="s">
        <v>256</v>
      </c>
      <c r="Q1" s="80" t="s">
        <v>329</v>
      </c>
    </row>
    <row r="2" spans="1:17" x14ac:dyDescent="0.3">
      <c r="A2" s="22" t="s">
        <v>10</v>
      </c>
      <c r="B2" s="38">
        <v>21</v>
      </c>
      <c r="C2" s="78">
        <v>18.856549391747318</v>
      </c>
      <c r="D2" s="78">
        <v>18.705976997167749</v>
      </c>
      <c r="E2" s="78">
        <f>D2-C2</f>
        <v>-0.15057239457956939</v>
      </c>
      <c r="F2" s="22">
        <v>0</v>
      </c>
      <c r="G2" s="38">
        <v>18.705976997167749</v>
      </c>
      <c r="H2" s="22" t="s">
        <v>11</v>
      </c>
      <c r="I2" s="22" t="s">
        <v>14</v>
      </c>
      <c r="J2" s="59">
        <v>0.90987171206692075</v>
      </c>
      <c r="K2" s="37">
        <v>0.83764433318187137</v>
      </c>
      <c r="L2" s="18">
        <v>0.82855756119354007</v>
      </c>
      <c r="M2" s="59">
        <f>K2-J2</f>
        <v>-7.2227378885049376E-2</v>
      </c>
      <c r="N2" s="37">
        <f>L2-K2</f>
        <v>-9.0867719883312992E-3</v>
      </c>
      <c r="O2" s="37">
        <f>M2+N2</f>
        <v>-8.1314150873380675E-2</v>
      </c>
      <c r="P2" s="18">
        <f>O2*2.804471</f>
        <v>-0.22804317801402077</v>
      </c>
      <c r="Q2" s="22"/>
    </row>
    <row r="3" spans="1:17" x14ac:dyDescent="0.3">
      <c r="A3" s="22" t="s">
        <v>15</v>
      </c>
      <c r="B3" s="38">
        <v>19.333333333333329</v>
      </c>
      <c r="C3" s="78">
        <v>19.33286027083431</v>
      </c>
      <c r="D3" s="78">
        <v>19.153396474737619</v>
      </c>
      <c r="E3" s="78">
        <f t="shared" ref="E3:E66" si="0">D3-C3</f>
        <v>-0.17946379609669094</v>
      </c>
      <c r="F3" s="22">
        <v>0</v>
      </c>
      <c r="G3" s="38">
        <v>19.153396474737619</v>
      </c>
      <c r="H3" s="22" t="s">
        <v>11</v>
      </c>
      <c r="I3" s="22" t="s">
        <v>17</v>
      </c>
      <c r="J3" s="59">
        <v>1.1678865398034659</v>
      </c>
      <c r="K3" s="37">
        <v>1.1126804820554139</v>
      </c>
      <c r="L3" s="18">
        <v>1.0991730695809541</v>
      </c>
      <c r="M3" s="59">
        <f t="shared" ref="M3:M66" si="1">K3-J3</f>
        <v>-5.5206057748051984E-2</v>
      </c>
      <c r="N3" s="37">
        <f t="shared" ref="N3:N66" si="2">L3-K3</f>
        <v>-1.3507412474459857E-2</v>
      </c>
      <c r="O3" s="37">
        <f t="shared" ref="O3:O66" si="3">M3+N3</f>
        <v>-6.8713470222511841E-2</v>
      </c>
      <c r="P3" s="18">
        <f t="shared" ref="P3:P66" si="4">O3*2.804471</f>
        <v>-0.19270493454839799</v>
      </c>
      <c r="Q3" s="22"/>
    </row>
    <row r="4" spans="1:17" x14ac:dyDescent="0.3">
      <c r="A4" s="22" t="s">
        <v>18</v>
      </c>
      <c r="B4" s="38">
        <v>20.666666666666671</v>
      </c>
      <c r="C4" s="78">
        <v>18.75096374320449</v>
      </c>
      <c r="D4" s="78">
        <v>18.72397204883865</v>
      </c>
      <c r="E4" s="78">
        <f t="shared" si="0"/>
        <v>-2.6991694365840146E-2</v>
      </c>
      <c r="F4" s="22">
        <v>0</v>
      </c>
      <c r="G4" s="38">
        <v>18.72397204883865</v>
      </c>
      <c r="H4" s="22" t="s">
        <v>11</v>
      </c>
      <c r="I4" s="22" t="s">
        <v>19</v>
      </c>
      <c r="J4" s="59">
        <v>1.2393601875000799</v>
      </c>
      <c r="K4" s="37">
        <v>1.305337522664936</v>
      </c>
      <c r="L4" s="18">
        <v>1.233462943901114</v>
      </c>
      <c r="M4" s="59">
        <f t="shared" si="1"/>
        <v>6.5977335164856044E-2</v>
      </c>
      <c r="N4" s="37">
        <f t="shared" si="2"/>
        <v>-7.1874578763821972E-2</v>
      </c>
      <c r="O4" s="37">
        <f t="shared" si="3"/>
        <v>-5.8972435989659289E-3</v>
      </c>
      <c r="P4" s="18">
        <f t="shared" si="4"/>
        <v>-1.6538648653235576E-2</v>
      </c>
      <c r="Q4" s="22"/>
    </row>
    <row r="5" spans="1:17" x14ac:dyDescent="0.3">
      <c r="A5" s="22" t="s">
        <v>20</v>
      </c>
      <c r="B5" s="38">
        <v>19</v>
      </c>
      <c r="C5" s="78">
        <v>17.424721331284228</v>
      </c>
      <c r="D5" s="78">
        <v>17.541836821887738</v>
      </c>
      <c r="E5" s="78">
        <f t="shared" si="0"/>
        <v>0.1171154906035099</v>
      </c>
      <c r="F5" s="22">
        <v>0</v>
      </c>
      <c r="G5" s="38">
        <v>17.541836821887738</v>
      </c>
      <c r="H5" s="22" t="s">
        <v>21</v>
      </c>
      <c r="I5" s="22" t="s">
        <v>19</v>
      </c>
      <c r="J5" s="59">
        <v>1.021882541251298</v>
      </c>
      <c r="K5" s="37">
        <v>1.0734132482295831</v>
      </c>
      <c r="L5" s="18">
        <v>1.0532288020410681</v>
      </c>
      <c r="M5" s="59">
        <f t="shared" si="1"/>
        <v>5.1530706978285101E-2</v>
      </c>
      <c r="N5" s="37">
        <f t="shared" si="2"/>
        <v>-2.0184446188515004E-2</v>
      </c>
      <c r="O5" s="37">
        <f t="shared" si="3"/>
        <v>3.1346260789770097E-2</v>
      </c>
      <c r="P5" s="18">
        <f t="shared" si="4"/>
        <v>8.7909679343347327E-2</v>
      </c>
      <c r="Q5" s="22"/>
    </row>
    <row r="6" spans="1:17" x14ac:dyDescent="0.3">
      <c r="A6" s="22" t="s">
        <v>23</v>
      </c>
      <c r="B6" s="38">
        <v>22</v>
      </c>
      <c r="C6" s="78">
        <v>23.32583687921252</v>
      </c>
      <c r="D6" s="78">
        <v>23.25188328883797</v>
      </c>
      <c r="E6" s="78">
        <f t="shared" si="0"/>
        <v>-7.3953590374550515E-2</v>
      </c>
      <c r="F6" s="22">
        <v>0</v>
      </c>
      <c r="G6" s="38">
        <v>22</v>
      </c>
      <c r="H6" s="22" t="s">
        <v>24</v>
      </c>
      <c r="I6" s="22" t="s">
        <v>19</v>
      </c>
      <c r="J6" s="59">
        <v>1.7698904223026399</v>
      </c>
      <c r="K6" s="37">
        <v>1.850360388174253</v>
      </c>
      <c r="L6" s="18">
        <v>1.79281389083965</v>
      </c>
      <c r="M6" s="59">
        <f t="shared" si="1"/>
        <v>8.0469965871613036E-2</v>
      </c>
      <c r="N6" s="37">
        <f t="shared" si="2"/>
        <v>-5.7546497334602931E-2</v>
      </c>
      <c r="O6" s="37">
        <f t="shared" si="3"/>
        <v>2.2923468537010105E-2</v>
      </c>
      <c r="P6" s="18">
        <f t="shared" si="4"/>
        <v>6.4288202731457272E-2</v>
      </c>
      <c r="Q6" s="22"/>
    </row>
    <row r="7" spans="1:17" x14ac:dyDescent="0.3">
      <c r="A7" s="22" t="s">
        <v>26</v>
      </c>
      <c r="B7" s="38">
        <v>18.666666666666671</v>
      </c>
      <c r="C7" s="78">
        <v>18.393059112438841</v>
      </c>
      <c r="D7" s="78">
        <v>17.913243227580899</v>
      </c>
      <c r="E7" s="78">
        <f t="shared" si="0"/>
        <v>-0.47981588485794191</v>
      </c>
      <c r="F7" s="22">
        <v>0.2</v>
      </c>
      <c r="G7" s="38">
        <v>18.113243227580899</v>
      </c>
      <c r="H7" s="22" t="s">
        <v>21</v>
      </c>
      <c r="I7" s="22" t="s">
        <v>17</v>
      </c>
      <c r="J7" s="59">
        <v>0.94904983699918388</v>
      </c>
      <c r="K7" s="37">
        <v>0.90804670755678585</v>
      </c>
      <c r="L7" s="18">
        <v>0.80220623391074675</v>
      </c>
      <c r="M7" s="59">
        <f t="shared" si="1"/>
        <v>-4.1003129442398034E-2</v>
      </c>
      <c r="N7" s="37">
        <f t="shared" si="2"/>
        <v>-0.1058404736460391</v>
      </c>
      <c r="O7" s="37">
        <f t="shared" si="3"/>
        <v>-0.14684360308843714</v>
      </c>
      <c r="P7" s="18">
        <f t="shared" si="4"/>
        <v>-0.41181862639703237</v>
      </c>
      <c r="Q7" s="22"/>
    </row>
    <row r="8" spans="1:17" x14ac:dyDescent="0.3">
      <c r="A8" s="22" t="s">
        <v>28</v>
      </c>
      <c r="B8" s="38">
        <v>22</v>
      </c>
      <c r="C8" s="78">
        <v>21.285506171828651</v>
      </c>
      <c r="D8" s="78">
        <v>21.331575696039561</v>
      </c>
      <c r="E8" s="78">
        <f t="shared" si="0"/>
        <v>4.6069524210910373E-2</v>
      </c>
      <c r="F8" s="22">
        <v>0.4</v>
      </c>
      <c r="G8" s="38">
        <v>21.73157569603956</v>
      </c>
      <c r="H8" s="22" t="s">
        <v>24</v>
      </c>
      <c r="I8" s="22" t="s">
        <v>17</v>
      </c>
      <c r="J8" s="59">
        <v>1.267290829888857</v>
      </c>
      <c r="K8" s="37">
        <v>1.355090560626282</v>
      </c>
      <c r="L8" s="18">
        <v>1.301273441953797</v>
      </c>
      <c r="M8" s="59">
        <f t="shared" si="1"/>
        <v>8.7799730737424975E-2</v>
      </c>
      <c r="N8" s="37">
        <f t="shared" si="2"/>
        <v>-5.3817118672484954E-2</v>
      </c>
      <c r="O8" s="37">
        <f t="shared" si="3"/>
        <v>3.3982612064940021E-2</v>
      </c>
      <c r="P8" s="18">
        <f t="shared" si="4"/>
        <v>9.5303250040374404E-2</v>
      </c>
      <c r="Q8" s="22"/>
    </row>
    <row r="9" spans="1:17" x14ac:dyDescent="0.3">
      <c r="A9" s="22" t="s">
        <v>30</v>
      </c>
      <c r="B9" s="38">
        <v>14.33333333333333</v>
      </c>
      <c r="C9" s="78">
        <v>16.48874007468266</v>
      </c>
      <c r="D9" s="78">
        <v>16.57560540753866</v>
      </c>
      <c r="E9" s="78">
        <f t="shared" si="0"/>
        <v>8.6865332856000066E-2</v>
      </c>
      <c r="F9" s="22">
        <v>0</v>
      </c>
      <c r="G9" s="38">
        <v>16.57560540753866</v>
      </c>
      <c r="H9" s="22" t="s">
        <v>31</v>
      </c>
      <c r="I9" s="22" t="s">
        <v>17</v>
      </c>
      <c r="J9" s="59">
        <v>0.54432527887520954</v>
      </c>
      <c r="K9" s="37">
        <v>0.61277350460082347</v>
      </c>
      <c r="L9" s="18">
        <v>0.54514429009264853</v>
      </c>
      <c r="M9" s="59">
        <f t="shared" si="1"/>
        <v>6.8448225725613931E-2</v>
      </c>
      <c r="N9" s="37">
        <f t="shared" si="2"/>
        <v>-6.762921450817494E-2</v>
      </c>
      <c r="O9" s="37">
        <f t="shared" si="3"/>
        <v>8.1901121743899186E-4</v>
      </c>
      <c r="P9" s="18">
        <f t="shared" si="4"/>
        <v>2.296893207982347E-3</v>
      </c>
      <c r="Q9" s="22"/>
    </row>
    <row r="10" spans="1:17" x14ac:dyDescent="0.3">
      <c r="A10" s="22" t="s">
        <v>33</v>
      </c>
      <c r="B10" s="38">
        <v>22</v>
      </c>
      <c r="C10" s="78">
        <v>21.038680308498201</v>
      </c>
      <c r="D10" s="78">
        <v>21.067220234557809</v>
      </c>
      <c r="E10" s="78">
        <f t="shared" si="0"/>
        <v>2.8539926059607978E-2</v>
      </c>
      <c r="F10" s="22">
        <v>0</v>
      </c>
      <c r="G10" s="38">
        <v>21.067220234557809</v>
      </c>
      <c r="H10" s="22" t="s">
        <v>34</v>
      </c>
      <c r="I10" s="22" t="s">
        <v>19</v>
      </c>
      <c r="J10" s="59">
        <v>1.6981915782777419</v>
      </c>
      <c r="K10" s="37">
        <v>1.730863239142882</v>
      </c>
      <c r="L10" s="18">
        <v>1.72860949703705</v>
      </c>
      <c r="M10" s="59">
        <f t="shared" si="1"/>
        <v>3.2671660865140062E-2</v>
      </c>
      <c r="N10" s="37">
        <f t="shared" si="2"/>
        <v>-2.2537421058319573E-3</v>
      </c>
      <c r="O10" s="37">
        <f t="shared" si="3"/>
        <v>3.0417918759308105E-2</v>
      </c>
      <c r="P10" s="18">
        <f t="shared" si="4"/>
        <v>8.5306171040835557E-2</v>
      </c>
      <c r="Q10" s="22"/>
    </row>
    <row r="11" spans="1:17" x14ac:dyDescent="0.3">
      <c r="A11" s="22" t="s">
        <v>36</v>
      </c>
      <c r="B11" s="38">
        <v>22</v>
      </c>
      <c r="C11" s="78">
        <v>21.516544562485091</v>
      </c>
      <c r="D11" s="78">
        <v>21.456200315069971</v>
      </c>
      <c r="E11" s="78">
        <f t="shared" si="0"/>
        <v>-6.0344247415120122E-2</v>
      </c>
      <c r="F11" s="22">
        <v>0</v>
      </c>
      <c r="G11" s="38">
        <v>21.456200315069971</v>
      </c>
      <c r="H11" s="22" t="s">
        <v>34</v>
      </c>
      <c r="I11" s="22" t="s">
        <v>19</v>
      </c>
      <c r="J11" s="59">
        <v>1.4952929352448201</v>
      </c>
      <c r="K11" s="37">
        <v>1.5334097923167149</v>
      </c>
      <c r="L11" s="18">
        <v>1.4922353840535569</v>
      </c>
      <c r="M11" s="59">
        <f t="shared" si="1"/>
        <v>3.8116857071894827E-2</v>
      </c>
      <c r="N11" s="37">
        <f t="shared" si="2"/>
        <v>-4.1174408263157991E-2</v>
      </c>
      <c r="O11" s="37">
        <f t="shared" si="3"/>
        <v>-3.0575511912631637E-3</v>
      </c>
      <c r="P11" s="18">
        <f t="shared" si="4"/>
        <v>-8.574813646912996E-3</v>
      </c>
      <c r="Q11" s="22"/>
    </row>
    <row r="12" spans="1:17" x14ac:dyDescent="0.3">
      <c r="A12" s="22" t="s">
        <v>38</v>
      </c>
      <c r="B12" s="38">
        <v>22</v>
      </c>
      <c r="C12" s="78">
        <v>23.834110759616159</v>
      </c>
      <c r="D12" s="78">
        <v>23.741085147534619</v>
      </c>
      <c r="E12" s="78">
        <f t="shared" si="0"/>
        <v>-9.3025612081540032E-2</v>
      </c>
      <c r="F12" s="22">
        <v>0</v>
      </c>
      <c r="G12" s="38">
        <v>22</v>
      </c>
      <c r="H12" s="22" t="s">
        <v>24</v>
      </c>
      <c r="I12" s="22" t="s">
        <v>39</v>
      </c>
      <c r="J12" s="59">
        <v>1.655148192585215</v>
      </c>
      <c r="K12" s="37">
        <v>1.7129825869944599</v>
      </c>
      <c r="L12" s="18">
        <v>1.697291123218519</v>
      </c>
      <c r="M12" s="59">
        <f t="shared" si="1"/>
        <v>5.7834394409244982E-2</v>
      </c>
      <c r="N12" s="37">
        <f t="shared" si="2"/>
        <v>-1.5691463775940884E-2</v>
      </c>
      <c r="O12" s="37">
        <f t="shared" si="3"/>
        <v>4.2142930633304099E-2</v>
      </c>
      <c r="P12" s="18">
        <f t="shared" si="4"/>
        <v>0.11818862681611297</v>
      </c>
      <c r="Q12" s="22"/>
    </row>
    <row r="13" spans="1:17" x14ac:dyDescent="0.3">
      <c r="A13" s="22" t="s">
        <v>40</v>
      </c>
      <c r="B13" s="38">
        <v>22</v>
      </c>
      <c r="C13" s="78">
        <v>21.825525852521221</v>
      </c>
      <c r="D13" s="78">
        <v>21.812877017464668</v>
      </c>
      <c r="E13" s="78">
        <f t="shared" si="0"/>
        <v>-1.2648835056552343E-2</v>
      </c>
      <c r="F13" s="22">
        <v>0</v>
      </c>
      <c r="G13" s="38">
        <v>21.812877017464668</v>
      </c>
      <c r="H13" s="22" t="s">
        <v>24</v>
      </c>
      <c r="I13" s="22" t="s">
        <v>39</v>
      </c>
      <c r="J13" s="59">
        <v>1.52081558251142</v>
      </c>
      <c r="K13" s="37">
        <v>1.5655746104228021</v>
      </c>
      <c r="L13" s="18">
        <v>1.5488989226393679</v>
      </c>
      <c r="M13" s="59">
        <f t="shared" si="1"/>
        <v>4.4759027911382088E-2</v>
      </c>
      <c r="N13" s="37">
        <f t="shared" si="2"/>
        <v>-1.6675687783434201E-2</v>
      </c>
      <c r="O13" s="37">
        <f t="shared" si="3"/>
        <v>2.8083340127947887E-2</v>
      </c>
      <c r="P13" s="18">
        <f t="shared" si="4"/>
        <v>7.8758912971966133E-2</v>
      </c>
      <c r="Q13" s="22"/>
    </row>
    <row r="14" spans="1:17" x14ac:dyDescent="0.3">
      <c r="A14" s="22" t="s">
        <v>42</v>
      </c>
      <c r="B14" s="38">
        <v>22</v>
      </c>
      <c r="C14" s="78">
        <v>23.457717470568589</v>
      </c>
      <c r="D14" s="78">
        <v>23.173670729623371</v>
      </c>
      <c r="E14" s="78">
        <f t="shared" si="0"/>
        <v>-0.28404674094521809</v>
      </c>
      <c r="F14" s="22">
        <v>0</v>
      </c>
      <c r="G14" s="38">
        <v>22</v>
      </c>
      <c r="H14" s="22" t="s">
        <v>24</v>
      </c>
      <c r="I14" s="22" t="s">
        <v>19</v>
      </c>
      <c r="J14" s="59">
        <v>1.728927329399903</v>
      </c>
      <c r="K14" s="37">
        <v>1.7179179651262979</v>
      </c>
      <c r="L14" s="18">
        <v>1.6539223494989359</v>
      </c>
      <c r="M14" s="59">
        <f t="shared" si="1"/>
        <v>-1.1009364273605105E-2</v>
      </c>
      <c r="N14" s="37">
        <f t="shared" si="2"/>
        <v>-6.3995615627362001E-2</v>
      </c>
      <c r="O14" s="37">
        <f t="shared" si="3"/>
        <v>-7.5004979900967106E-2</v>
      </c>
      <c r="P14" s="18">
        <f t="shared" si="4"/>
        <v>-0.21034929098784511</v>
      </c>
      <c r="Q14" s="22"/>
    </row>
    <row r="15" spans="1:17" x14ac:dyDescent="0.3">
      <c r="A15" s="22" t="s">
        <v>43</v>
      </c>
      <c r="B15" s="38">
        <v>21.666666666666671</v>
      </c>
      <c r="C15" s="78">
        <v>19.78411461353139</v>
      </c>
      <c r="D15" s="78">
        <v>19.59369365251289</v>
      </c>
      <c r="E15" s="78">
        <f t="shared" si="0"/>
        <v>-0.19042096101849992</v>
      </c>
      <c r="F15" s="22">
        <v>0.7</v>
      </c>
      <c r="G15" s="38">
        <v>20.293693652512889</v>
      </c>
      <c r="H15" s="22" t="s">
        <v>44</v>
      </c>
      <c r="I15" s="22" t="s">
        <v>39</v>
      </c>
      <c r="J15" s="59">
        <v>1.402255839364678</v>
      </c>
      <c r="K15" s="37">
        <v>1.3792743874782749</v>
      </c>
      <c r="L15" s="18">
        <v>1.3396778496451791</v>
      </c>
      <c r="M15" s="59">
        <f t="shared" si="1"/>
        <v>-2.2981451886403104E-2</v>
      </c>
      <c r="N15" s="37">
        <f t="shared" si="2"/>
        <v>-3.9596537833095802E-2</v>
      </c>
      <c r="O15" s="37">
        <f t="shared" si="3"/>
        <v>-6.2577989719498905E-2</v>
      </c>
      <c r="P15" s="18">
        <f t="shared" si="4"/>
        <v>-0.1754981574066328</v>
      </c>
      <c r="Q15" s="22"/>
    </row>
    <row r="16" spans="1:17" x14ac:dyDescent="0.3">
      <c r="A16" s="22" t="s">
        <v>46</v>
      </c>
      <c r="B16" s="38">
        <v>17.666666666666671</v>
      </c>
      <c r="C16" s="78">
        <v>18.15177799990699</v>
      </c>
      <c r="D16" s="78">
        <v>18.45310204113985</v>
      </c>
      <c r="E16" s="78">
        <f t="shared" si="0"/>
        <v>0.30132404123285994</v>
      </c>
      <c r="F16" s="22">
        <v>0</v>
      </c>
      <c r="G16" s="38">
        <v>18.45310204113985</v>
      </c>
      <c r="H16" s="22" t="s">
        <v>21</v>
      </c>
      <c r="I16" s="22" t="s">
        <v>47</v>
      </c>
      <c r="J16" s="59">
        <v>1.310967693719113</v>
      </c>
      <c r="K16" s="37">
        <v>1.414623641462778</v>
      </c>
      <c r="L16" s="18">
        <v>1.3951450814669999</v>
      </c>
      <c r="M16" s="59">
        <f t="shared" si="1"/>
        <v>0.10365594774366493</v>
      </c>
      <c r="N16" s="37">
        <f t="shared" si="2"/>
        <v>-1.9478559995778078E-2</v>
      </c>
      <c r="O16" s="37">
        <f t="shared" si="3"/>
        <v>8.4177387747886856E-2</v>
      </c>
      <c r="P16" s="18">
        <f t="shared" si="4"/>
        <v>0.23607304279470398</v>
      </c>
      <c r="Q16" s="22"/>
    </row>
    <row r="17" spans="1:17" x14ac:dyDescent="0.3">
      <c r="A17" s="22" t="s">
        <v>48</v>
      </c>
      <c r="B17" s="38">
        <v>20.666666666666671</v>
      </c>
      <c r="C17" s="78">
        <v>19.620265532150601</v>
      </c>
      <c r="D17" s="78">
        <v>19.92351730451686</v>
      </c>
      <c r="E17" s="78">
        <f t="shared" si="0"/>
        <v>0.30325177236625933</v>
      </c>
      <c r="F17" s="22">
        <v>0</v>
      </c>
      <c r="G17" s="38">
        <v>19.92351730451686</v>
      </c>
      <c r="H17" s="22" t="s">
        <v>44</v>
      </c>
      <c r="I17" s="22" t="s">
        <v>19</v>
      </c>
      <c r="J17" s="59">
        <v>1.65504693900521</v>
      </c>
      <c r="K17" s="37">
        <v>1.733760792576964</v>
      </c>
      <c r="L17" s="18">
        <v>1.773061090225561</v>
      </c>
      <c r="M17" s="59">
        <f t="shared" si="1"/>
        <v>7.8713853571753978E-2</v>
      </c>
      <c r="N17" s="37">
        <f t="shared" si="2"/>
        <v>3.9300297648596993E-2</v>
      </c>
      <c r="O17" s="37">
        <f t="shared" si="3"/>
        <v>0.11801415122035097</v>
      </c>
      <c r="P17" s="18">
        <f t="shared" si="4"/>
        <v>0.33096726468708892</v>
      </c>
      <c r="Q17" s="22"/>
    </row>
    <row r="18" spans="1:17" x14ac:dyDescent="0.3">
      <c r="A18" s="22" t="s">
        <v>50</v>
      </c>
      <c r="B18" s="38">
        <v>13.33333333333333</v>
      </c>
      <c r="C18" s="78">
        <v>13.07511989008912</v>
      </c>
      <c r="D18" s="78">
        <v>13.083407784304139</v>
      </c>
      <c r="E18" s="78">
        <f t="shared" si="0"/>
        <v>8.2878942150195201E-3</v>
      </c>
      <c r="F18" s="22">
        <v>0</v>
      </c>
      <c r="G18" s="38">
        <v>13.083407784304139</v>
      </c>
      <c r="H18" s="22" t="s">
        <v>51</v>
      </c>
      <c r="I18" s="22" t="s">
        <v>19</v>
      </c>
      <c r="J18" s="59">
        <v>0.2494178433316348</v>
      </c>
      <c r="K18" s="37">
        <v>0.31372086452279779</v>
      </c>
      <c r="L18" s="18">
        <v>0.21362142657096739</v>
      </c>
      <c r="M18" s="59">
        <f t="shared" si="1"/>
        <v>6.430302119116299E-2</v>
      </c>
      <c r="N18" s="37">
        <f t="shared" si="2"/>
        <v>-0.10009943795183041</v>
      </c>
      <c r="O18" s="37">
        <f t="shared" si="3"/>
        <v>-3.5796416760667416E-2</v>
      </c>
      <c r="P18" s="18">
        <f t="shared" si="4"/>
        <v>-0.10039001270920571</v>
      </c>
      <c r="Q18" s="22"/>
    </row>
    <row r="19" spans="1:17" x14ac:dyDescent="0.3">
      <c r="A19" s="22" t="s">
        <v>52</v>
      </c>
      <c r="B19" s="38">
        <v>17.666666666666671</v>
      </c>
      <c r="C19" s="78">
        <v>17.449564753190099</v>
      </c>
      <c r="D19" s="78">
        <v>17.487681244544088</v>
      </c>
      <c r="E19" s="78">
        <f t="shared" si="0"/>
        <v>3.811649135398909E-2</v>
      </c>
      <c r="F19" s="22">
        <v>0</v>
      </c>
      <c r="G19" s="38">
        <v>17.487681244544088</v>
      </c>
      <c r="H19" s="22" t="s">
        <v>31</v>
      </c>
      <c r="I19" s="22" t="s">
        <v>19</v>
      </c>
      <c r="J19" s="59">
        <v>1.437122027044953</v>
      </c>
      <c r="K19" s="37">
        <v>1.4566050139276681</v>
      </c>
      <c r="L19" s="18">
        <v>1.482979284085165</v>
      </c>
      <c r="M19" s="59">
        <f t="shared" si="1"/>
        <v>1.9482986882715103E-2</v>
      </c>
      <c r="N19" s="37">
        <f t="shared" si="2"/>
        <v>2.6374270157496937E-2</v>
      </c>
      <c r="O19" s="37">
        <f t="shared" si="3"/>
        <v>4.5857257040212041E-2</v>
      </c>
      <c r="P19" s="18">
        <f t="shared" si="4"/>
        <v>0.12860534750882049</v>
      </c>
      <c r="Q19" s="22"/>
    </row>
    <row r="20" spans="1:17" x14ac:dyDescent="0.3">
      <c r="A20" s="22" t="s">
        <v>53</v>
      </c>
      <c r="B20" s="38">
        <v>19.666666666666671</v>
      </c>
      <c r="C20" s="78">
        <v>21.606811814275261</v>
      </c>
      <c r="D20" s="78">
        <v>21.545088419686781</v>
      </c>
      <c r="E20" s="78">
        <f t="shared" si="0"/>
        <v>-6.1723394588479863E-2</v>
      </c>
      <c r="F20" s="22">
        <v>0</v>
      </c>
      <c r="G20" s="38">
        <v>21.545088419686781</v>
      </c>
      <c r="H20" s="22" t="s">
        <v>24</v>
      </c>
      <c r="I20" s="22" t="s">
        <v>19</v>
      </c>
      <c r="J20" s="59">
        <v>1.464936415538026</v>
      </c>
      <c r="K20" s="37">
        <v>1.4999374469830291</v>
      </c>
      <c r="L20" s="18">
        <v>1.4550861557790129</v>
      </c>
      <c r="M20" s="59">
        <f t="shared" si="1"/>
        <v>3.5001031445003106E-2</v>
      </c>
      <c r="N20" s="37">
        <f t="shared" si="2"/>
        <v>-4.4851291204016208E-2</v>
      </c>
      <c r="O20" s="37">
        <f t="shared" si="3"/>
        <v>-9.8502597590131025E-3</v>
      </c>
      <c r="P20" s="18">
        <f t="shared" si="4"/>
        <v>-2.7624767836619234E-2</v>
      </c>
      <c r="Q20" s="22"/>
    </row>
    <row r="21" spans="1:17" x14ac:dyDescent="0.3">
      <c r="A21" s="22" t="s">
        <v>54</v>
      </c>
      <c r="B21" s="38">
        <v>17</v>
      </c>
      <c r="C21" s="78">
        <v>15.56402471488274</v>
      </c>
      <c r="D21" s="78">
        <v>15.69306348343634</v>
      </c>
      <c r="E21" s="78">
        <f t="shared" si="0"/>
        <v>0.12903876855360075</v>
      </c>
      <c r="F21" s="22">
        <v>0</v>
      </c>
      <c r="G21" s="38">
        <v>15.69306348343634</v>
      </c>
      <c r="H21" s="22" t="s">
        <v>55</v>
      </c>
      <c r="I21" s="22" t="s">
        <v>19</v>
      </c>
      <c r="J21" s="59">
        <v>0.51106105554388803</v>
      </c>
      <c r="K21" s="37">
        <v>0.61684923116606727</v>
      </c>
      <c r="L21" s="18">
        <v>0.52806562710443328</v>
      </c>
      <c r="M21" s="59">
        <f t="shared" si="1"/>
        <v>0.10578817562217924</v>
      </c>
      <c r="N21" s="37">
        <f t="shared" si="2"/>
        <v>-8.8783604061633992E-2</v>
      </c>
      <c r="O21" s="37">
        <f t="shared" si="3"/>
        <v>1.7004571560545245E-2</v>
      </c>
      <c r="P21" s="18">
        <f t="shared" si="4"/>
        <v>4.7688827808973884E-2</v>
      </c>
      <c r="Q21" s="22"/>
    </row>
    <row r="22" spans="1:17" x14ac:dyDescent="0.3">
      <c r="A22" s="22" t="s">
        <v>56</v>
      </c>
      <c r="B22" s="38">
        <v>17</v>
      </c>
      <c r="C22" s="78">
        <v>16.790909738014111</v>
      </c>
      <c r="D22" s="78">
        <v>16.771424951812602</v>
      </c>
      <c r="E22" s="78">
        <f t="shared" si="0"/>
        <v>-1.9484786201509507E-2</v>
      </c>
      <c r="F22" s="22">
        <v>0</v>
      </c>
      <c r="G22" s="38">
        <v>16.771424951812602</v>
      </c>
      <c r="H22" s="22" t="s">
        <v>31</v>
      </c>
      <c r="I22" s="22" t="s">
        <v>19</v>
      </c>
      <c r="J22" s="59">
        <v>0.82534139022546815</v>
      </c>
      <c r="K22" s="37">
        <v>0.86835878812333622</v>
      </c>
      <c r="L22" s="18">
        <v>0.80303542549617868</v>
      </c>
      <c r="M22" s="59">
        <f t="shared" si="1"/>
        <v>4.301739789786807E-2</v>
      </c>
      <c r="N22" s="37">
        <f t="shared" si="2"/>
        <v>-6.5323362627157544E-2</v>
      </c>
      <c r="O22" s="37">
        <f t="shared" si="3"/>
        <v>-2.2305964729289474E-2</v>
      </c>
      <c r="P22" s="18">
        <f t="shared" si="4"/>
        <v>-6.2556431210315178E-2</v>
      </c>
      <c r="Q22" s="22"/>
    </row>
    <row r="23" spans="1:17" x14ac:dyDescent="0.3">
      <c r="A23" s="22" t="s">
        <v>57</v>
      </c>
      <c r="B23" s="38">
        <v>17</v>
      </c>
      <c r="C23" s="78">
        <v>17.592001808379241</v>
      </c>
      <c r="D23" s="78">
        <v>17.65874044691807</v>
      </c>
      <c r="E23" s="78">
        <f t="shared" si="0"/>
        <v>6.6738638538829775E-2</v>
      </c>
      <c r="F23" s="22">
        <v>0</v>
      </c>
      <c r="G23" s="38">
        <v>17.65874044691807</v>
      </c>
      <c r="H23" s="22" t="s">
        <v>21</v>
      </c>
      <c r="I23" s="22" t="s">
        <v>39</v>
      </c>
      <c r="J23" s="59">
        <v>0.62668272432006578</v>
      </c>
      <c r="K23" s="37">
        <v>0.6807565745449784</v>
      </c>
      <c r="L23" s="18">
        <v>0.63766260414745901</v>
      </c>
      <c r="M23" s="59">
        <f t="shared" si="1"/>
        <v>5.4073850224912623E-2</v>
      </c>
      <c r="N23" s="37">
        <f t="shared" si="2"/>
        <v>-4.3093970397519388E-2</v>
      </c>
      <c r="O23" s="37">
        <f t="shared" si="3"/>
        <v>1.0979879827393235E-2</v>
      </c>
      <c r="P23" s="18">
        <f t="shared" si="4"/>
        <v>3.0792754559409333E-2</v>
      </c>
      <c r="Q23" s="22"/>
    </row>
    <row r="24" spans="1:17" x14ac:dyDescent="0.3">
      <c r="A24" s="76" t="s">
        <v>59</v>
      </c>
      <c r="B24" s="38">
        <v>10</v>
      </c>
      <c r="C24" s="78">
        <v>12.005381106972211</v>
      </c>
      <c r="D24" s="78">
        <v>11.604822128627569</v>
      </c>
      <c r="E24" s="78">
        <f t="shared" si="0"/>
        <v>-0.40055897834464105</v>
      </c>
      <c r="F24" s="22">
        <v>-0.5</v>
      </c>
      <c r="G24" s="38">
        <v>11.104822128627569</v>
      </c>
      <c r="H24" s="22" t="s">
        <v>60</v>
      </c>
      <c r="I24" s="22" t="s">
        <v>62</v>
      </c>
      <c r="J24" s="59">
        <v>-0.80655186241241539</v>
      </c>
      <c r="K24" s="37">
        <v>-0.84427835039826482</v>
      </c>
      <c r="L24" s="18">
        <v>-0.8849121258135928</v>
      </c>
      <c r="M24" s="59">
        <f t="shared" si="1"/>
        <v>-3.7726487985849433E-2</v>
      </c>
      <c r="N24" s="37">
        <f t="shared" si="2"/>
        <v>-4.0633775415327977E-2</v>
      </c>
      <c r="O24" s="37">
        <f t="shared" si="3"/>
        <v>-7.836026340117741E-2</v>
      </c>
      <c r="P24" s="18">
        <f t="shared" si="4"/>
        <v>-0.21975908626096341</v>
      </c>
      <c r="Q24" s="22" t="s">
        <v>332</v>
      </c>
    </row>
    <row r="25" spans="1:17" x14ac:dyDescent="0.3">
      <c r="A25" s="22" t="s">
        <v>63</v>
      </c>
      <c r="B25" s="38">
        <v>22</v>
      </c>
      <c r="C25" s="78">
        <v>21.398344970654179</v>
      </c>
      <c r="D25" s="78">
        <v>21.263648472711569</v>
      </c>
      <c r="E25" s="78">
        <f t="shared" si="0"/>
        <v>-0.13469649794260974</v>
      </c>
      <c r="F25" s="22">
        <v>0.3</v>
      </c>
      <c r="G25" s="38">
        <v>21.56364847271157</v>
      </c>
      <c r="H25" s="22" t="s">
        <v>24</v>
      </c>
      <c r="I25" s="22" t="s">
        <v>64</v>
      </c>
      <c r="J25" s="59">
        <v>1.5236769997935771</v>
      </c>
      <c r="K25" s="37">
        <v>1.5355528434810419</v>
      </c>
      <c r="L25" s="18">
        <v>1.498328395151761</v>
      </c>
      <c r="M25" s="59">
        <f t="shared" si="1"/>
        <v>1.187584368746486E-2</v>
      </c>
      <c r="N25" s="37">
        <f t="shared" si="2"/>
        <v>-3.7224448329280957E-2</v>
      </c>
      <c r="O25" s="37">
        <f t="shared" si="3"/>
        <v>-2.5348604641816097E-2</v>
      </c>
      <c r="P25" s="18">
        <f t="shared" si="4"/>
        <v>-7.108942660843863E-2</v>
      </c>
      <c r="Q25" s="22"/>
    </row>
    <row r="26" spans="1:17" x14ac:dyDescent="0.3">
      <c r="A26" s="22" t="s">
        <v>65</v>
      </c>
      <c r="B26" s="38">
        <v>21.333333333333329</v>
      </c>
      <c r="C26" s="78">
        <v>20.14683247201339</v>
      </c>
      <c r="D26" s="78">
        <v>20.017220738999409</v>
      </c>
      <c r="E26" s="78">
        <f t="shared" si="0"/>
        <v>-0.12961173301398077</v>
      </c>
      <c r="F26" s="22">
        <v>0.5</v>
      </c>
      <c r="G26" s="38">
        <v>20.517220738999409</v>
      </c>
      <c r="H26" s="22" t="s">
        <v>34</v>
      </c>
      <c r="I26" s="22" t="s">
        <v>64</v>
      </c>
      <c r="J26" s="59">
        <v>1.7121728387818109</v>
      </c>
      <c r="K26" s="37">
        <v>1.7186520311466611</v>
      </c>
      <c r="L26" s="18">
        <v>1.681742860926025</v>
      </c>
      <c r="M26" s="59">
        <f t="shared" si="1"/>
        <v>6.4791923648501726E-3</v>
      </c>
      <c r="N26" s="37">
        <f t="shared" si="2"/>
        <v>-3.6909170220636112E-2</v>
      </c>
      <c r="O26" s="37">
        <f t="shared" si="3"/>
        <v>-3.0429977855785939E-2</v>
      </c>
      <c r="P26" s="18">
        <f t="shared" si="4"/>
        <v>-8.533999042719384E-2</v>
      </c>
      <c r="Q26" s="22"/>
    </row>
    <row r="27" spans="1:17" x14ac:dyDescent="0.3">
      <c r="A27" s="22" t="s">
        <v>67</v>
      </c>
      <c r="B27" s="38">
        <v>10.33333333333333</v>
      </c>
      <c r="C27" s="78">
        <v>11.835041459746281</v>
      </c>
      <c r="D27" s="78">
        <v>11.937094137676279</v>
      </c>
      <c r="E27" s="78">
        <f t="shared" si="0"/>
        <v>0.10205267792999884</v>
      </c>
      <c r="F27" s="22">
        <v>0.5</v>
      </c>
      <c r="G27" s="38">
        <v>12.437094137676279</v>
      </c>
      <c r="H27" s="22" t="s">
        <v>68</v>
      </c>
      <c r="I27" s="22" t="s">
        <v>62</v>
      </c>
      <c r="J27" s="59">
        <v>-0.29585497123713922</v>
      </c>
      <c r="K27" s="37">
        <v>-0.29134366891941538</v>
      </c>
      <c r="L27" s="18">
        <v>-0.28694899259449608</v>
      </c>
      <c r="M27" s="59">
        <f t="shared" si="1"/>
        <v>4.511302317723842E-3</v>
      </c>
      <c r="N27" s="37">
        <f t="shared" si="2"/>
        <v>4.3946763249192999E-3</v>
      </c>
      <c r="O27" s="37">
        <f t="shared" si="3"/>
        <v>8.905978642643142E-3</v>
      </c>
      <c r="P27" s="18">
        <f t="shared" si="4"/>
        <v>2.4976558829912055E-2</v>
      </c>
      <c r="Q27" s="22"/>
    </row>
    <row r="28" spans="1:17" x14ac:dyDescent="0.3">
      <c r="A28" s="22" t="s">
        <v>69</v>
      </c>
      <c r="B28" s="38">
        <v>5.6666666666666679</v>
      </c>
      <c r="C28" s="78">
        <v>8.5183683761032469</v>
      </c>
      <c r="D28" s="78">
        <v>8.5219662893995807</v>
      </c>
      <c r="E28" s="78">
        <f t="shared" si="0"/>
        <v>3.5979132963337435E-3</v>
      </c>
      <c r="F28" s="22">
        <v>-2.5</v>
      </c>
      <c r="G28" s="38">
        <v>6.0219662893995807</v>
      </c>
      <c r="H28" s="22" t="s">
        <v>70</v>
      </c>
      <c r="I28" s="22" t="s">
        <v>72</v>
      </c>
      <c r="J28" s="59">
        <v>-0.40125152768504441</v>
      </c>
      <c r="K28" s="37">
        <v>-0.29255747317619352</v>
      </c>
      <c r="L28" s="18">
        <v>-0.26466683824310711</v>
      </c>
      <c r="M28" s="59">
        <f t="shared" si="1"/>
        <v>0.10869405450885089</v>
      </c>
      <c r="N28" s="37">
        <f t="shared" si="2"/>
        <v>2.7890634933086411E-2</v>
      </c>
      <c r="O28" s="37">
        <f t="shared" si="3"/>
        <v>0.1365846894419373</v>
      </c>
      <c r="P28" s="18">
        <f t="shared" si="4"/>
        <v>0.38304780058391935</v>
      </c>
      <c r="Q28" s="22"/>
    </row>
    <row r="29" spans="1:17" x14ac:dyDescent="0.3">
      <c r="A29" s="76" t="s">
        <v>73</v>
      </c>
      <c r="B29" s="38">
        <v>3.6666666666666679</v>
      </c>
      <c r="C29" s="78">
        <v>5.8755298865392529</v>
      </c>
      <c r="D29" s="78">
        <v>6.3757781224976213</v>
      </c>
      <c r="E29" s="78">
        <f t="shared" si="0"/>
        <v>0.50024823595836843</v>
      </c>
      <c r="F29" s="22">
        <v>-2.75</v>
      </c>
      <c r="G29" s="38">
        <v>3.6257781224976209</v>
      </c>
      <c r="H29" s="22" t="s">
        <v>74</v>
      </c>
      <c r="I29" s="22" t="s">
        <v>72</v>
      </c>
      <c r="J29" s="59">
        <v>-0.99291646007805179</v>
      </c>
      <c r="K29" s="37">
        <v>-1.00562552166237</v>
      </c>
      <c r="L29" s="18">
        <v>-1.134089379193356</v>
      </c>
      <c r="M29" s="59">
        <f t="shared" si="1"/>
        <v>-1.2709061584318171E-2</v>
      </c>
      <c r="N29" s="37">
        <f t="shared" si="2"/>
        <v>-0.12846385753098599</v>
      </c>
      <c r="O29" s="37">
        <f t="shared" si="3"/>
        <v>-0.14117291911530416</v>
      </c>
      <c r="P29" s="18">
        <f t="shared" si="4"/>
        <v>-0.39591535764421615</v>
      </c>
      <c r="Q29" s="22" t="s">
        <v>333</v>
      </c>
    </row>
    <row r="30" spans="1:17" x14ac:dyDescent="0.3">
      <c r="A30" s="22" t="s">
        <v>75</v>
      </c>
      <c r="B30" s="38">
        <v>11.33333333333333</v>
      </c>
      <c r="C30" s="78">
        <v>12.724257155984461</v>
      </c>
      <c r="D30" s="78">
        <v>12.78366323103543</v>
      </c>
      <c r="E30" s="78">
        <f t="shared" si="0"/>
        <v>5.9406075050969065E-2</v>
      </c>
      <c r="F30" s="22">
        <v>-1</v>
      </c>
      <c r="G30" s="38">
        <v>11.78366323103543</v>
      </c>
      <c r="H30" s="22" t="s">
        <v>68</v>
      </c>
      <c r="I30" s="22" t="s">
        <v>72</v>
      </c>
      <c r="J30" s="59">
        <v>-0.48766702834522663</v>
      </c>
      <c r="K30" s="37">
        <v>-0.50865033751889455</v>
      </c>
      <c r="L30" s="18">
        <v>-0.48553159749378522</v>
      </c>
      <c r="M30" s="59">
        <f t="shared" si="1"/>
        <v>-2.0983309173667919E-2</v>
      </c>
      <c r="N30" s="37">
        <f t="shared" si="2"/>
        <v>2.311874002510933E-2</v>
      </c>
      <c r="O30" s="37">
        <f t="shared" si="3"/>
        <v>2.1354308514414111E-3</v>
      </c>
      <c r="P30" s="18">
        <f t="shared" si="4"/>
        <v>5.9887538953727459E-3</v>
      </c>
      <c r="Q30" s="22"/>
    </row>
    <row r="31" spans="1:17" x14ac:dyDescent="0.3">
      <c r="A31" s="22" t="s">
        <v>76</v>
      </c>
      <c r="B31" s="38">
        <v>16.666666666666671</v>
      </c>
      <c r="C31" s="78">
        <v>15.923478732668791</v>
      </c>
      <c r="D31" s="78">
        <v>15.965810659826669</v>
      </c>
      <c r="E31" s="78">
        <f t="shared" si="0"/>
        <v>4.2331927157878368E-2</v>
      </c>
      <c r="F31" s="22">
        <v>0</v>
      </c>
      <c r="G31" s="38">
        <v>15.965810659826669</v>
      </c>
      <c r="H31" s="22" t="s">
        <v>55</v>
      </c>
      <c r="I31" s="22" t="s">
        <v>72</v>
      </c>
      <c r="J31" s="59">
        <v>0.62328808978243944</v>
      </c>
      <c r="K31" s="37">
        <v>0.6620221839942253</v>
      </c>
      <c r="L31" s="18">
        <v>0.66084981231862294</v>
      </c>
      <c r="M31" s="59">
        <f t="shared" si="1"/>
        <v>3.8734094211785863E-2</v>
      </c>
      <c r="N31" s="37">
        <f t="shared" si="2"/>
        <v>-1.1723716756023572E-3</v>
      </c>
      <c r="O31" s="37">
        <f t="shared" si="3"/>
        <v>3.7561722536183506E-2</v>
      </c>
      <c r="P31" s="18">
        <f t="shared" si="4"/>
        <v>0.1053407615627731</v>
      </c>
      <c r="Q31" s="22"/>
    </row>
    <row r="32" spans="1:17" x14ac:dyDescent="0.3">
      <c r="A32" s="22" t="s">
        <v>78</v>
      </c>
      <c r="B32" s="38">
        <v>12</v>
      </c>
      <c r="C32" s="78">
        <v>12.133574228073041</v>
      </c>
      <c r="D32" s="78">
        <v>11.80176376181157</v>
      </c>
      <c r="E32" s="78">
        <f t="shared" si="0"/>
        <v>-0.33181046626147115</v>
      </c>
      <c r="F32" s="22">
        <v>-1.5</v>
      </c>
      <c r="G32" s="38">
        <v>10.30176376181157</v>
      </c>
      <c r="H32" s="22" t="s">
        <v>79</v>
      </c>
      <c r="I32" s="22" t="s">
        <v>72</v>
      </c>
      <c r="J32" s="59">
        <v>-0.41284554999491951</v>
      </c>
      <c r="K32" s="37">
        <v>-0.48023923163654669</v>
      </c>
      <c r="L32" s="18">
        <v>-0.54717886156225093</v>
      </c>
      <c r="M32" s="59">
        <f t="shared" si="1"/>
        <v>-6.7393681641627179E-2</v>
      </c>
      <c r="N32" s="37">
        <f t="shared" si="2"/>
        <v>-6.6939629925704236E-2</v>
      </c>
      <c r="O32" s="37">
        <f t="shared" si="3"/>
        <v>-0.13433331156733141</v>
      </c>
      <c r="P32" s="18">
        <f t="shared" si="4"/>
        <v>-0.37673387662454549</v>
      </c>
      <c r="Q32" s="22"/>
    </row>
    <row r="33" spans="1:17" x14ac:dyDescent="0.3">
      <c r="A33" s="22" t="s">
        <v>80</v>
      </c>
      <c r="B33" s="38">
        <v>10.66666666666667</v>
      </c>
      <c r="C33" s="78">
        <v>13.75966349033143</v>
      </c>
      <c r="D33" s="78">
        <v>14.06224571741871</v>
      </c>
      <c r="E33" s="78">
        <f t="shared" si="0"/>
        <v>0.30258222708727978</v>
      </c>
      <c r="F33" s="22">
        <v>-1.25</v>
      </c>
      <c r="G33" s="38">
        <v>12.81224571741871</v>
      </c>
      <c r="H33" s="22" t="s">
        <v>51</v>
      </c>
      <c r="I33" s="22" t="s">
        <v>72</v>
      </c>
      <c r="J33" s="59">
        <v>0.54861199126050308</v>
      </c>
      <c r="K33" s="37">
        <v>0.65229290792802297</v>
      </c>
      <c r="L33" s="18">
        <v>0.62275775585523652</v>
      </c>
      <c r="M33" s="59">
        <f t="shared" si="1"/>
        <v>0.10368091666751988</v>
      </c>
      <c r="N33" s="37">
        <f t="shared" si="2"/>
        <v>-2.9535152072786452E-2</v>
      </c>
      <c r="O33" s="37">
        <f t="shared" si="3"/>
        <v>7.4145764594733432E-2</v>
      </c>
      <c r="P33" s="18">
        <f t="shared" si="4"/>
        <v>0.20793964657875666</v>
      </c>
      <c r="Q33" s="22"/>
    </row>
    <row r="34" spans="1:17" x14ac:dyDescent="0.3">
      <c r="A34" s="22" t="s">
        <v>81</v>
      </c>
      <c r="B34" s="38">
        <v>10.66666666666667</v>
      </c>
      <c r="C34" s="78">
        <v>11.84614963358365</v>
      </c>
      <c r="D34" s="78">
        <v>12.09164770312662</v>
      </c>
      <c r="E34" s="78">
        <f t="shared" si="0"/>
        <v>0.24549806954297004</v>
      </c>
      <c r="F34" s="22">
        <v>-0.25</v>
      </c>
      <c r="G34" s="38">
        <v>11.84164770312662</v>
      </c>
      <c r="H34" s="22" t="s">
        <v>68</v>
      </c>
      <c r="I34" s="22" t="s">
        <v>72</v>
      </c>
      <c r="J34" s="59">
        <v>-0.1132081288615038</v>
      </c>
      <c r="K34" s="37">
        <v>-0.16774064767703761</v>
      </c>
      <c r="L34" s="18">
        <v>-5.8754813725127621E-2</v>
      </c>
      <c r="M34" s="59">
        <f t="shared" si="1"/>
        <v>-5.4532518815533809E-2</v>
      </c>
      <c r="N34" s="37">
        <f t="shared" si="2"/>
        <v>0.10898583395191</v>
      </c>
      <c r="O34" s="37">
        <f t="shared" si="3"/>
        <v>5.445331513637619E-2</v>
      </c>
      <c r="P34" s="18">
        <f t="shared" si="4"/>
        <v>0.15271274315382807</v>
      </c>
      <c r="Q34" s="22"/>
    </row>
    <row r="35" spans="1:17" x14ac:dyDescent="0.3">
      <c r="A35" s="76" t="s">
        <v>83</v>
      </c>
      <c r="B35" s="38">
        <v>5.6666666666666679</v>
      </c>
      <c r="C35" s="78">
        <v>8.7027359829554172</v>
      </c>
      <c r="D35" s="78">
        <v>8.399959367475768</v>
      </c>
      <c r="E35" s="78">
        <f t="shared" si="0"/>
        <v>-0.30277661547964918</v>
      </c>
      <c r="F35" s="22">
        <v>-2.75</v>
      </c>
      <c r="G35" s="38">
        <v>5.649959367475768</v>
      </c>
      <c r="H35" s="22" t="s">
        <v>70</v>
      </c>
      <c r="I35" s="22" t="s">
        <v>72</v>
      </c>
      <c r="J35" s="59">
        <v>-0.76690151746735369</v>
      </c>
      <c r="K35" s="37">
        <v>-0.70641765223271868</v>
      </c>
      <c r="L35" s="18">
        <v>-0.82496176829785572</v>
      </c>
      <c r="M35" s="59">
        <f t="shared" si="1"/>
        <v>6.0483865234635004E-2</v>
      </c>
      <c r="N35" s="37">
        <f t="shared" si="2"/>
        <v>-0.11854411606513704</v>
      </c>
      <c r="O35" s="37">
        <f t="shared" si="3"/>
        <v>-5.8060250830502036E-2</v>
      </c>
      <c r="P35" s="18">
        <f t="shared" si="4"/>
        <v>-0.16282828970686888</v>
      </c>
      <c r="Q35" s="22" t="s">
        <v>331</v>
      </c>
    </row>
    <row r="36" spans="1:17" x14ac:dyDescent="0.3">
      <c r="A36" s="22" t="s">
        <v>84</v>
      </c>
      <c r="B36" s="38">
        <v>7</v>
      </c>
      <c r="C36" s="78">
        <v>6.2972929892226421</v>
      </c>
      <c r="D36" s="78">
        <v>5.7739379311958778</v>
      </c>
      <c r="E36" s="78">
        <f t="shared" si="0"/>
        <v>-0.5233550580267643</v>
      </c>
      <c r="F36" s="22">
        <v>0.75</v>
      </c>
      <c r="G36" s="38">
        <v>6.5239379311958778</v>
      </c>
      <c r="H36" s="22" t="s">
        <v>85</v>
      </c>
      <c r="I36" s="22" t="s">
        <v>72</v>
      </c>
      <c r="J36" s="59">
        <v>-0.4763735947240284</v>
      </c>
      <c r="K36" s="37">
        <v>-0.59835747551515428</v>
      </c>
      <c r="L36" s="18">
        <v>-0.62679651864956953</v>
      </c>
      <c r="M36" s="59">
        <f t="shared" si="1"/>
        <v>-0.12198388079112588</v>
      </c>
      <c r="N36" s="37">
        <f t="shared" si="2"/>
        <v>-2.8439043134415254E-2</v>
      </c>
      <c r="O36" s="37">
        <f t="shared" si="3"/>
        <v>-0.15042292392554113</v>
      </c>
      <c r="P36" s="18">
        <f t="shared" si="4"/>
        <v>-0.42185672788438627</v>
      </c>
      <c r="Q36" s="22"/>
    </row>
    <row r="37" spans="1:17" x14ac:dyDescent="0.3">
      <c r="A37" s="22" t="s">
        <v>86</v>
      </c>
      <c r="B37" s="38">
        <v>12</v>
      </c>
      <c r="C37" s="78">
        <v>10.68970401838909</v>
      </c>
      <c r="D37" s="78">
        <v>10.96966575560427</v>
      </c>
      <c r="E37" s="78">
        <f t="shared" si="0"/>
        <v>0.2799617372151797</v>
      </c>
      <c r="F37" s="22">
        <v>1</v>
      </c>
      <c r="G37" s="38">
        <v>11.96966575560427</v>
      </c>
      <c r="H37" s="22" t="s">
        <v>68</v>
      </c>
      <c r="I37" s="22" t="s">
        <v>72</v>
      </c>
      <c r="J37" s="59">
        <v>-0.93160878685046911</v>
      </c>
      <c r="K37" s="37">
        <v>-0.92804607507136783</v>
      </c>
      <c r="L37" s="18">
        <v>-0.88361184137446858</v>
      </c>
      <c r="M37" s="59">
        <f t="shared" si="1"/>
        <v>3.5627117791012797E-3</v>
      </c>
      <c r="N37" s="37">
        <f t="shared" si="2"/>
        <v>4.443423369689925E-2</v>
      </c>
      <c r="O37" s="37">
        <f t="shared" si="3"/>
        <v>4.799694547600053E-2</v>
      </c>
      <c r="P37" s="18">
        <f t="shared" si="4"/>
        <v>0.13460604167602469</v>
      </c>
      <c r="Q37" s="22"/>
    </row>
    <row r="38" spans="1:17" x14ac:dyDescent="0.3">
      <c r="A38" s="22" t="s">
        <v>87</v>
      </c>
      <c r="B38" s="38">
        <v>9.5</v>
      </c>
      <c r="C38" s="78">
        <v>8.9685337363786388</v>
      </c>
      <c r="D38" s="78">
        <v>8.8087696307000964</v>
      </c>
      <c r="E38" s="78">
        <f t="shared" si="0"/>
        <v>-0.15976410567854238</v>
      </c>
      <c r="F38" s="22">
        <v>0</v>
      </c>
      <c r="G38" s="38">
        <v>8.8087696307000964</v>
      </c>
      <c r="H38" s="22" t="s">
        <v>88</v>
      </c>
      <c r="I38" s="22" t="s">
        <v>72</v>
      </c>
      <c r="J38" s="59">
        <v>-0.99174470856638308</v>
      </c>
      <c r="K38" s="37">
        <v>-1.021610136923216</v>
      </c>
      <c r="L38" s="18">
        <v>-1.083916887980775</v>
      </c>
      <c r="M38" s="59">
        <f t="shared" si="1"/>
        <v>-2.9865428356832924E-2</v>
      </c>
      <c r="N38" s="37">
        <f t="shared" si="2"/>
        <v>-6.2306751057559007E-2</v>
      </c>
      <c r="O38" s="37">
        <f t="shared" si="3"/>
        <v>-9.217217941439193E-2</v>
      </c>
      <c r="P38" s="18">
        <f t="shared" si="4"/>
        <v>-0.25849420417445912</v>
      </c>
      <c r="Q38" s="22"/>
    </row>
    <row r="39" spans="1:17" x14ac:dyDescent="0.3">
      <c r="A39" s="22" t="s">
        <v>89</v>
      </c>
      <c r="B39" s="38">
        <v>13.66666666666667</v>
      </c>
      <c r="C39" s="78">
        <v>12.53422359082469</v>
      </c>
      <c r="D39" s="78">
        <v>12.265758333823049</v>
      </c>
      <c r="E39" s="78">
        <f t="shared" si="0"/>
        <v>-0.26846525700164037</v>
      </c>
      <c r="F39" s="22">
        <v>0.5</v>
      </c>
      <c r="G39" s="38">
        <v>12.765758333823049</v>
      </c>
      <c r="H39" s="22" t="s">
        <v>51</v>
      </c>
      <c r="I39" s="22" t="s">
        <v>72</v>
      </c>
      <c r="J39" s="59">
        <v>-0.71266744165126983</v>
      </c>
      <c r="K39" s="37">
        <v>-0.75577650610983838</v>
      </c>
      <c r="L39" s="18">
        <v>-0.84145676617463294</v>
      </c>
      <c r="M39" s="59">
        <f t="shared" si="1"/>
        <v>-4.3109064458568547E-2</v>
      </c>
      <c r="N39" s="37">
        <f t="shared" si="2"/>
        <v>-8.5680260064794567E-2</v>
      </c>
      <c r="O39" s="37">
        <f t="shared" si="3"/>
        <v>-0.12878932452336311</v>
      </c>
      <c r="P39" s="18">
        <f t="shared" si="4"/>
        <v>-0.36118592573536068</v>
      </c>
      <c r="Q39" s="22"/>
    </row>
    <row r="40" spans="1:17" x14ac:dyDescent="0.3">
      <c r="A40" s="22" t="s">
        <v>90</v>
      </c>
      <c r="B40" s="38">
        <v>8.3333333333333339</v>
      </c>
      <c r="C40" s="78">
        <v>6.7228111188249162</v>
      </c>
      <c r="D40" s="78">
        <v>6.2452880007992606</v>
      </c>
      <c r="E40" s="78">
        <f t="shared" si="0"/>
        <v>-0.47752311802565561</v>
      </c>
      <c r="F40" s="22">
        <v>0</v>
      </c>
      <c r="G40" s="38">
        <v>6.2452880007992606</v>
      </c>
      <c r="H40" s="22" t="s">
        <v>70</v>
      </c>
      <c r="I40" s="22" t="s">
        <v>19</v>
      </c>
      <c r="J40" s="59">
        <v>-1.294462772505113</v>
      </c>
      <c r="K40" s="37">
        <v>-1.3557762214971401</v>
      </c>
      <c r="L40" s="18">
        <v>-1.440928388212793</v>
      </c>
      <c r="M40" s="59">
        <f t="shared" si="1"/>
        <v>-6.1313448992027064E-2</v>
      </c>
      <c r="N40" s="37">
        <f t="shared" si="2"/>
        <v>-8.5152166715652955E-2</v>
      </c>
      <c r="O40" s="37">
        <f t="shared" si="3"/>
        <v>-0.14646561570768002</v>
      </c>
      <c r="P40" s="18">
        <f t="shared" si="4"/>
        <v>-0.41075857174933306</v>
      </c>
      <c r="Q40" s="22"/>
    </row>
    <row r="41" spans="1:17" x14ac:dyDescent="0.3">
      <c r="A41" s="22" t="s">
        <v>92</v>
      </c>
      <c r="B41" s="38">
        <v>12.66666666666667</v>
      </c>
      <c r="C41" s="78">
        <v>11.67595389615588</v>
      </c>
      <c r="D41" s="78">
        <v>11.875908798304989</v>
      </c>
      <c r="E41" s="78">
        <f t="shared" si="0"/>
        <v>0.19995490214910916</v>
      </c>
      <c r="F41" s="22">
        <v>-0.1</v>
      </c>
      <c r="G41" s="38">
        <v>11.775908798304989</v>
      </c>
      <c r="H41" s="22" t="s">
        <v>68</v>
      </c>
      <c r="I41" s="22" t="s">
        <v>72</v>
      </c>
      <c r="J41" s="59">
        <v>-0.2193855270252506</v>
      </c>
      <c r="K41" s="37">
        <v>-0.16141604718591371</v>
      </c>
      <c r="L41" s="18">
        <v>-0.165712710474023</v>
      </c>
      <c r="M41" s="59">
        <f t="shared" si="1"/>
        <v>5.7969479839336896E-2</v>
      </c>
      <c r="N41" s="37">
        <f t="shared" si="2"/>
        <v>-4.2966632881092925E-3</v>
      </c>
      <c r="O41" s="37">
        <f t="shared" si="3"/>
        <v>5.3672816551227603E-2</v>
      </c>
      <c r="P41" s="18">
        <f t="shared" si="4"/>
        <v>0.15052385750623781</v>
      </c>
      <c r="Q41" s="22"/>
    </row>
    <row r="42" spans="1:17" x14ac:dyDescent="0.3">
      <c r="A42" s="22" t="s">
        <v>93</v>
      </c>
      <c r="B42" s="38">
        <v>12.33333333333333</v>
      </c>
      <c r="C42" s="78">
        <v>10.48949734921545</v>
      </c>
      <c r="D42" s="78">
        <v>10.379036461976449</v>
      </c>
      <c r="E42" s="78">
        <f t="shared" si="0"/>
        <v>-0.11046088723900027</v>
      </c>
      <c r="F42" s="22">
        <v>2.25</v>
      </c>
      <c r="G42" s="38">
        <v>12.629036461976449</v>
      </c>
      <c r="H42" s="22" t="s">
        <v>51</v>
      </c>
      <c r="I42" s="22" t="s">
        <v>72</v>
      </c>
      <c r="J42" s="59">
        <v>-0.53916181172523336</v>
      </c>
      <c r="K42" s="37">
        <v>-0.59654359447244731</v>
      </c>
      <c r="L42" s="18">
        <v>-0.60531441946583897</v>
      </c>
      <c r="M42" s="59">
        <f t="shared" si="1"/>
        <v>-5.738178274721395E-2</v>
      </c>
      <c r="N42" s="37">
        <f t="shared" si="2"/>
        <v>-8.7708249933916571E-3</v>
      </c>
      <c r="O42" s="37">
        <f t="shared" si="3"/>
        <v>-6.6152607740605607E-2</v>
      </c>
      <c r="P42" s="18">
        <f t="shared" si="4"/>
        <v>-0.18552306998290394</v>
      </c>
      <c r="Q42" s="22"/>
    </row>
    <row r="43" spans="1:17" x14ac:dyDescent="0.3">
      <c r="A43" s="22" t="s">
        <v>94</v>
      </c>
      <c r="B43" s="38">
        <v>14</v>
      </c>
      <c r="C43" s="78">
        <v>12.80918522455552</v>
      </c>
      <c r="D43" s="78">
        <v>12.78646263971932</v>
      </c>
      <c r="E43" s="78">
        <f t="shared" si="0"/>
        <v>-2.272258483620071E-2</v>
      </c>
      <c r="F43" s="22">
        <v>0.75</v>
      </c>
      <c r="G43" s="38">
        <v>13.53646263971932</v>
      </c>
      <c r="H43" s="22" t="s">
        <v>95</v>
      </c>
      <c r="I43" s="22" t="s">
        <v>72</v>
      </c>
      <c r="J43" s="59">
        <v>-0.52640664597349185</v>
      </c>
      <c r="K43" s="37">
        <v>-0.51966761124617367</v>
      </c>
      <c r="L43" s="18">
        <v>-0.54809909546631219</v>
      </c>
      <c r="M43" s="59">
        <f t="shared" si="1"/>
        <v>6.7390347273181828E-3</v>
      </c>
      <c r="N43" s="37">
        <f t="shared" si="2"/>
        <v>-2.8431484220138525E-2</v>
      </c>
      <c r="O43" s="37">
        <f t="shared" si="3"/>
        <v>-2.1692449492820343E-2</v>
      </c>
      <c r="P43" s="18">
        <f t="shared" si="4"/>
        <v>-6.0835845521579356E-2</v>
      </c>
      <c r="Q43" s="22"/>
    </row>
    <row r="44" spans="1:17" x14ac:dyDescent="0.3">
      <c r="A44" s="22" t="s">
        <v>96</v>
      </c>
      <c r="B44" s="38">
        <v>14.66666666666667</v>
      </c>
      <c r="C44" s="78">
        <v>13.89036803231421</v>
      </c>
      <c r="D44" s="78">
        <v>13.867453872610159</v>
      </c>
      <c r="E44" s="78">
        <f t="shared" si="0"/>
        <v>-2.2914159704050974E-2</v>
      </c>
      <c r="F44" s="22">
        <v>0</v>
      </c>
      <c r="G44" s="38">
        <v>13.867453872610159</v>
      </c>
      <c r="H44" s="22" t="s">
        <v>95</v>
      </c>
      <c r="I44" s="22" t="s">
        <v>72</v>
      </c>
      <c r="J44" s="59">
        <v>0.93445806544285848</v>
      </c>
      <c r="K44" s="37">
        <v>1.008123537685317</v>
      </c>
      <c r="L44" s="18">
        <v>0.97591836625735551</v>
      </c>
      <c r="M44" s="59">
        <f t="shared" si="1"/>
        <v>7.3665472242458563E-2</v>
      </c>
      <c r="N44" s="37">
        <f t="shared" si="2"/>
        <v>-3.2205171427961532E-2</v>
      </c>
      <c r="O44" s="37">
        <f t="shared" si="3"/>
        <v>4.1460300814497031E-2</v>
      </c>
      <c r="P44" s="18">
        <f t="shared" si="4"/>
        <v>0.11627421128553329</v>
      </c>
      <c r="Q44" s="22"/>
    </row>
    <row r="45" spans="1:17" x14ac:dyDescent="0.3">
      <c r="A45" s="22" t="s">
        <v>97</v>
      </c>
      <c r="B45" s="38">
        <v>1</v>
      </c>
      <c r="C45" s="78">
        <v>-0.80261715153609403</v>
      </c>
      <c r="D45" s="78">
        <v>-1.1667272363614409</v>
      </c>
      <c r="E45" s="78">
        <f t="shared" si="0"/>
        <v>-0.3641100848253469</v>
      </c>
      <c r="F45" s="22">
        <v>0</v>
      </c>
      <c r="G45" s="38">
        <v>1</v>
      </c>
      <c r="H45" s="22" t="s">
        <v>98</v>
      </c>
      <c r="I45" s="22" t="s">
        <v>72</v>
      </c>
      <c r="J45" s="59">
        <v>-2.0540952880611441</v>
      </c>
      <c r="K45" s="37">
        <v>-2.0267007442564942</v>
      </c>
      <c r="L45" s="18">
        <v>-2.179960594994482</v>
      </c>
      <c r="M45" s="59">
        <f t="shared" si="1"/>
        <v>2.7394543804649896E-2</v>
      </c>
      <c r="N45" s="37">
        <f t="shared" si="2"/>
        <v>-0.15325985073798787</v>
      </c>
      <c r="O45" s="37">
        <f t="shared" si="3"/>
        <v>-0.12586530693333797</v>
      </c>
      <c r="P45" s="18">
        <f t="shared" si="4"/>
        <v>-0.35298560320064526</v>
      </c>
      <c r="Q45" s="22"/>
    </row>
    <row r="46" spans="1:17" x14ac:dyDescent="0.3">
      <c r="A46" s="22" t="s">
        <v>99</v>
      </c>
      <c r="B46" s="38">
        <v>8.3333333333333339</v>
      </c>
      <c r="C46" s="78">
        <v>9.4886257057965455</v>
      </c>
      <c r="D46" s="78">
        <v>9.5286984807141053</v>
      </c>
      <c r="E46" s="78">
        <f t="shared" si="0"/>
        <v>4.0072774917559784E-2</v>
      </c>
      <c r="F46" s="22">
        <v>-0.75</v>
      </c>
      <c r="G46" s="38">
        <v>8.7786984807141053</v>
      </c>
      <c r="H46" s="22" t="s">
        <v>88</v>
      </c>
      <c r="I46" s="22" t="s">
        <v>72</v>
      </c>
      <c r="J46" s="59">
        <v>0.74263615954251538</v>
      </c>
      <c r="K46" s="37">
        <v>0.78029593422233001</v>
      </c>
      <c r="L46" s="18">
        <v>0.78480037887282295</v>
      </c>
      <c r="M46" s="59">
        <f t="shared" si="1"/>
        <v>3.7659774679814628E-2</v>
      </c>
      <c r="N46" s="37">
        <f t="shared" si="2"/>
        <v>4.5044446504929336E-3</v>
      </c>
      <c r="O46" s="37">
        <f t="shared" si="3"/>
        <v>4.2164219330307562E-2</v>
      </c>
      <c r="P46" s="18">
        <f t="shared" si="4"/>
        <v>0.11824833034948698</v>
      </c>
      <c r="Q46" s="22"/>
    </row>
    <row r="47" spans="1:17" x14ac:dyDescent="0.3">
      <c r="A47" s="22" t="s">
        <v>100</v>
      </c>
      <c r="B47" s="38">
        <v>6.5</v>
      </c>
      <c r="C47" s="78">
        <v>6.0014045904703472</v>
      </c>
      <c r="D47" s="78">
        <v>6.0312687946614458</v>
      </c>
      <c r="E47" s="78">
        <f t="shared" si="0"/>
        <v>2.9864204191098587E-2</v>
      </c>
      <c r="F47" s="22">
        <v>0</v>
      </c>
      <c r="G47" s="38">
        <v>6.0312687946614458</v>
      </c>
      <c r="H47" s="22" t="s">
        <v>70</v>
      </c>
      <c r="I47" s="22" t="s">
        <v>19</v>
      </c>
      <c r="J47" s="59">
        <v>-0.2655621839552702</v>
      </c>
      <c r="K47" s="37">
        <v>-0.2082707347418232</v>
      </c>
      <c r="L47" s="18">
        <v>-0.22331691151771349</v>
      </c>
      <c r="M47" s="59">
        <f t="shared" si="1"/>
        <v>5.7291449213447004E-2</v>
      </c>
      <c r="N47" s="37">
        <f t="shared" si="2"/>
        <v>-1.5046176775890291E-2</v>
      </c>
      <c r="O47" s="37">
        <f t="shared" si="3"/>
        <v>4.2245272437556713E-2</v>
      </c>
      <c r="P47" s="18">
        <f t="shared" si="4"/>
        <v>0.11847564143822711</v>
      </c>
      <c r="Q47" s="22"/>
    </row>
    <row r="48" spans="1:17" x14ac:dyDescent="0.3">
      <c r="A48" s="22" t="s">
        <v>101</v>
      </c>
      <c r="B48" s="38">
        <v>10</v>
      </c>
      <c r="C48" s="78">
        <v>9.850152056934828</v>
      </c>
      <c r="D48" s="78">
        <v>9.6633731509280008</v>
      </c>
      <c r="E48" s="78">
        <f t="shared" si="0"/>
        <v>-0.18677890600682723</v>
      </c>
      <c r="F48" s="22">
        <v>0</v>
      </c>
      <c r="G48" s="38">
        <v>9.6633731509280008</v>
      </c>
      <c r="H48" s="22" t="s">
        <v>79</v>
      </c>
      <c r="I48" s="22" t="s">
        <v>72</v>
      </c>
      <c r="J48" s="59">
        <v>4.7451696527488207E-2</v>
      </c>
      <c r="K48" s="37">
        <v>1.8364471012776329E-2</v>
      </c>
      <c r="L48" s="18">
        <v>1.377560501022768E-2</v>
      </c>
      <c r="M48" s="59">
        <f t="shared" si="1"/>
        <v>-2.9087225514711879E-2</v>
      </c>
      <c r="N48" s="37">
        <f t="shared" si="2"/>
        <v>-4.5888660025486493E-3</v>
      </c>
      <c r="O48" s="37">
        <f t="shared" si="3"/>
        <v>-3.3676091517260531E-2</v>
      </c>
      <c r="P48" s="18">
        <f t="shared" si="4"/>
        <v>-9.4443622053503151E-2</v>
      </c>
      <c r="Q48" s="22"/>
    </row>
    <row r="49" spans="1:17" x14ac:dyDescent="0.3">
      <c r="A49" s="22" t="s">
        <v>102</v>
      </c>
      <c r="B49" s="38">
        <v>4.3333333333333321</v>
      </c>
      <c r="C49" s="78">
        <v>4.1080690407913583</v>
      </c>
      <c r="D49" s="78">
        <v>3.8711840564951681</v>
      </c>
      <c r="E49" s="78">
        <f t="shared" si="0"/>
        <v>-0.2368849842961902</v>
      </c>
      <c r="F49" s="22">
        <v>4</v>
      </c>
      <c r="G49" s="38">
        <v>7.8711840564951681</v>
      </c>
      <c r="H49" s="22" t="s">
        <v>103</v>
      </c>
      <c r="I49" s="22" t="s">
        <v>72</v>
      </c>
      <c r="J49" s="59">
        <v>-0.42867314217605063</v>
      </c>
      <c r="K49" s="37">
        <v>-0.41056942813784292</v>
      </c>
      <c r="L49" s="18">
        <v>-0.44851907202948199</v>
      </c>
      <c r="M49" s="59">
        <f t="shared" si="1"/>
        <v>1.8103714038207708E-2</v>
      </c>
      <c r="N49" s="37">
        <f t="shared" si="2"/>
        <v>-3.7949643891639073E-2</v>
      </c>
      <c r="O49" s="37">
        <f t="shared" si="3"/>
        <v>-1.9845929853431366E-2</v>
      </c>
      <c r="P49" s="18">
        <f t="shared" si="4"/>
        <v>-5.5657334741982513E-2</v>
      </c>
      <c r="Q49" s="22"/>
    </row>
    <row r="50" spans="1:17" x14ac:dyDescent="0.3">
      <c r="A50" s="22" t="s">
        <v>104</v>
      </c>
      <c r="B50" s="38">
        <v>12</v>
      </c>
      <c r="C50" s="78">
        <v>11.450469694618359</v>
      </c>
      <c r="D50" s="78">
        <v>11.43096517193727</v>
      </c>
      <c r="E50" s="78">
        <f t="shared" si="0"/>
        <v>-1.9504522681089043E-2</v>
      </c>
      <c r="F50" s="22">
        <v>-2</v>
      </c>
      <c r="G50" s="38">
        <v>9.4309651719372702</v>
      </c>
      <c r="H50" s="22" t="s">
        <v>88</v>
      </c>
      <c r="I50" s="22" t="s">
        <v>72</v>
      </c>
      <c r="J50" s="59">
        <v>-0.13024385135621991</v>
      </c>
      <c r="K50" s="37">
        <v>-0.1523903445680613</v>
      </c>
      <c r="L50" s="18">
        <v>-0.1868898726970229</v>
      </c>
      <c r="M50" s="59">
        <f t="shared" si="1"/>
        <v>-2.2146493211841395E-2</v>
      </c>
      <c r="N50" s="37">
        <f t="shared" si="2"/>
        <v>-3.4499528128961593E-2</v>
      </c>
      <c r="O50" s="37">
        <f t="shared" si="3"/>
        <v>-5.6646021340802988E-2</v>
      </c>
      <c r="P50" s="18">
        <f t="shared" si="4"/>
        <v>-0.15886212411566308</v>
      </c>
      <c r="Q50" s="22"/>
    </row>
    <row r="51" spans="1:17" x14ac:dyDescent="0.3">
      <c r="A51" s="22" t="s">
        <v>105</v>
      </c>
      <c r="B51" s="38">
        <v>8.6666666666666661</v>
      </c>
      <c r="C51" s="78">
        <v>9.2754157004655795</v>
      </c>
      <c r="D51" s="78">
        <v>9.4645042283588978</v>
      </c>
      <c r="E51" s="78">
        <f t="shared" si="0"/>
        <v>0.18908852789331831</v>
      </c>
      <c r="F51" s="22">
        <v>-1.6</v>
      </c>
      <c r="G51" s="38">
        <v>7.8645042283588982</v>
      </c>
      <c r="H51" s="22" t="s">
        <v>103</v>
      </c>
      <c r="I51" s="22" t="s">
        <v>106</v>
      </c>
      <c r="J51" s="59">
        <v>-6.0723412256376043E-2</v>
      </c>
      <c r="K51" s="37">
        <v>-0.15604792021964861</v>
      </c>
      <c r="L51" s="18">
        <v>-0.11510513385401799</v>
      </c>
      <c r="M51" s="59">
        <f t="shared" si="1"/>
        <v>-9.5324507963272576E-2</v>
      </c>
      <c r="N51" s="37">
        <f t="shared" si="2"/>
        <v>4.0942786365630618E-2</v>
      </c>
      <c r="O51" s="37">
        <f t="shared" si="3"/>
        <v>-5.4381721597641958E-2</v>
      </c>
      <c r="P51" s="18">
        <f t="shared" si="4"/>
        <v>-0.15251196115066054</v>
      </c>
      <c r="Q51" s="22"/>
    </row>
    <row r="52" spans="1:17" x14ac:dyDescent="0.3">
      <c r="A52" s="22" t="s">
        <v>107</v>
      </c>
      <c r="B52" s="38">
        <v>16</v>
      </c>
      <c r="C52" s="78">
        <v>13.21060805796697</v>
      </c>
      <c r="D52" s="78">
        <v>13.1954244267507</v>
      </c>
      <c r="E52" s="78">
        <f t="shared" si="0"/>
        <v>-1.5183631216270754E-2</v>
      </c>
      <c r="F52" s="22">
        <v>0</v>
      </c>
      <c r="G52" s="38">
        <v>13.1954244267507</v>
      </c>
      <c r="H52" s="22" t="s">
        <v>51</v>
      </c>
      <c r="I52" s="22" t="s">
        <v>19</v>
      </c>
      <c r="J52" s="59">
        <v>0.53826036054498905</v>
      </c>
      <c r="K52" s="37">
        <v>0.59652394263199471</v>
      </c>
      <c r="L52" s="18">
        <v>0.57076968979633735</v>
      </c>
      <c r="M52" s="59">
        <f t="shared" si="1"/>
        <v>5.8263582087005661E-2</v>
      </c>
      <c r="N52" s="37">
        <f t="shared" si="2"/>
        <v>-2.5754252835657354E-2</v>
      </c>
      <c r="O52" s="37">
        <f t="shared" si="3"/>
        <v>3.2509329251348307E-2</v>
      </c>
      <c r="P52" s="18">
        <f t="shared" si="4"/>
        <v>9.117147111485803E-2</v>
      </c>
      <c r="Q52" s="22"/>
    </row>
    <row r="53" spans="1:17" x14ac:dyDescent="0.3">
      <c r="A53" s="22" t="s">
        <v>109</v>
      </c>
      <c r="B53" s="38">
        <v>6.6666666666666679</v>
      </c>
      <c r="C53" s="78">
        <v>8.3744908772730984</v>
      </c>
      <c r="D53" s="78">
        <v>9.1987044688786845</v>
      </c>
      <c r="E53" s="78">
        <f t="shared" si="0"/>
        <v>0.82421359160558616</v>
      </c>
      <c r="F53" s="22">
        <v>0</v>
      </c>
      <c r="G53" s="38">
        <v>9.1987044688786845</v>
      </c>
      <c r="H53" s="22" t="s">
        <v>88</v>
      </c>
      <c r="I53" s="22" t="s">
        <v>106</v>
      </c>
      <c r="J53" s="59">
        <v>-1.89661659414805</v>
      </c>
      <c r="K53" s="37">
        <v>-1.836940170994326</v>
      </c>
      <c r="L53" s="18">
        <v>-1.6459670048334041</v>
      </c>
      <c r="M53" s="59">
        <f t="shared" si="1"/>
        <v>5.9676423153723901E-2</v>
      </c>
      <c r="N53" s="37">
        <f t="shared" si="2"/>
        <v>0.19097316616092197</v>
      </c>
      <c r="O53" s="37">
        <f t="shared" si="3"/>
        <v>0.25064958931464587</v>
      </c>
      <c r="P53" s="18">
        <f t="shared" si="4"/>
        <v>0.70293950439483421</v>
      </c>
      <c r="Q53" s="22"/>
    </row>
    <row r="54" spans="1:17" x14ac:dyDescent="0.3">
      <c r="A54" s="22" t="s">
        <v>110</v>
      </c>
      <c r="B54" s="38">
        <v>16.333333333333329</v>
      </c>
      <c r="C54" s="78">
        <v>16.2339095339726</v>
      </c>
      <c r="D54" s="78">
        <v>16.199873674021759</v>
      </c>
      <c r="E54" s="78">
        <f t="shared" si="0"/>
        <v>-3.4035859950840575E-2</v>
      </c>
      <c r="F54" s="22">
        <v>-0.7</v>
      </c>
      <c r="G54" s="38">
        <v>15.49987367402176</v>
      </c>
      <c r="H54" s="22" t="s">
        <v>111</v>
      </c>
      <c r="I54" s="22" t="s">
        <v>106</v>
      </c>
      <c r="J54" s="59">
        <v>0.35653165883800431</v>
      </c>
      <c r="K54" s="37">
        <v>0.40551721002007213</v>
      </c>
      <c r="L54" s="18">
        <v>0.34566270471110172</v>
      </c>
      <c r="M54" s="59">
        <f t="shared" si="1"/>
        <v>4.8985551182067821E-2</v>
      </c>
      <c r="N54" s="37">
        <f t="shared" si="2"/>
        <v>-5.9854505308970407E-2</v>
      </c>
      <c r="O54" s="37">
        <f t="shared" si="3"/>
        <v>-1.0868954126902586E-2</v>
      </c>
      <c r="P54" s="18">
        <f t="shared" si="4"/>
        <v>-3.048166664922862E-2</v>
      </c>
      <c r="Q54" s="22"/>
    </row>
    <row r="55" spans="1:17" x14ac:dyDescent="0.3">
      <c r="A55" s="22" t="s">
        <v>112</v>
      </c>
      <c r="B55" s="38">
        <v>10</v>
      </c>
      <c r="C55" s="78">
        <v>9.9350719530097216</v>
      </c>
      <c r="D55" s="78">
        <v>9.9644322752401262</v>
      </c>
      <c r="E55" s="78">
        <f t="shared" si="0"/>
        <v>2.9360322230404634E-2</v>
      </c>
      <c r="F55" s="22">
        <v>-0.4</v>
      </c>
      <c r="G55" s="38">
        <v>9.5644322752401258</v>
      </c>
      <c r="H55" s="22" t="s">
        <v>79</v>
      </c>
      <c r="I55" s="22" t="s">
        <v>106</v>
      </c>
      <c r="J55" s="59">
        <v>-0.18831597336588829</v>
      </c>
      <c r="K55" s="37">
        <v>-0.21216037509772889</v>
      </c>
      <c r="L55" s="18">
        <v>-0.2190589380806402</v>
      </c>
      <c r="M55" s="59">
        <f t="shared" si="1"/>
        <v>-2.3844401731840603E-2</v>
      </c>
      <c r="N55" s="37">
        <f t="shared" si="2"/>
        <v>-6.8985629829113049E-3</v>
      </c>
      <c r="O55" s="37">
        <f t="shared" si="3"/>
        <v>-3.0742964714751908E-2</v>
      </c>
      <c r="P55" s="18">
        <f t="shared" si="4"/>
        <v>-8.6217752996544994E-2</v>
      </c>
      <c r="Q55" s="22"/>
    </row>
    <row r="56" spans="1:17" x14ac:dyDescent="0.3">
      <c r="A56" s="76" t="s">
        <v>113</v>
      </c>
      <c r="B56" s="38">
        <v>18.333333333333329</v>
      </c>
      <c r="C56" s="78">
        <v>19.524027891716411</v>
      </c>
      <c r="D56" s="78">
        <v>19.20378403482599</v>
      </c>
      <c r="E56" s="78">
        <f t="shared" si="0"/>
        <v>-0.32024385689042134</v>
      </c>
      <c r="F56" s="22">
        <v>-2.5</v>
      </c>
      <c r="G56" s="38">
        <v>16.70378403482599</v>
      </c>
      <c r="H56" s="22" t="s">
        <v>31</v>
      </c>
      <c r="I56" s="22" t="s">
        <v>106</v>
      </c>
      <c r="J56" s="59">
        <v>-4.9126405227669097E-2</v>
      </c>
      <c r="K56" s="37">
        <v>-4.5539889814163292E-2</v>
      </c>
      <c r="L56" s="18">
        <v>-4.292536624108656E-2</v>
      </c>
      <c r="M56" s="59">
        <f t="shared" si="1"/>
        <v>3.5865154135058044E-3</v>
      </c>
      <c r="N56" s="37">
        <f t="shared" si="2"/>
        <v>2.6145235730767324E-3</v>
      </c>
      <c r="O56" s="37">
        <f t="shared" si="3"/>
        <v>6.2010389865825369E-3</v>
      </c>
      <c r="P56" s="18">
        <f t="shared" si="4"/>
        <v>1.7390634007740113E-2</v>
      </c>
      <c r="Q56" s="22" t="s">
        <v>330</v>
      </c>
    </row>
    <row r="57" spans="1:17" x14ac:dyDescent="0.3">
      <c r="A57" s="22" t="s">
        <v>114</v>
      </c>
      <c r="B57" s="38">
        <v>1.3333333333333319</v>
      </c>
      <c r="C57" s="78">
        <v>-1.8741457999165969</v>
      </c>
      <c r="D57" s="78">
        <v>-1.7799974343076761</v>
      </c>
      <c r="E57" s="78">
        <f t="shared" si="0"/>
        <v>9.4148365608920814E-2</v>
      </c>
      <c r="F57" s="22">
        <v>0</v>
      </c>
      <c r="G57" s="38">
        <v>1</v>
      </c>
      <c r="H57" s="22" t="s">
        <v>98</v>
      </c>
      <c r="I57" s="22" t="s">
        <v>106</v>
      </c>
      <c r="J57" s="59">
        <v>-1.5066692216325659</v>
      </c>
      <c r="K57" s="37">
        <v>-1.385451758215938</v>
      </c>
      <c r="L57" s="18">
        <v>-1.424885871875883</v>
      </c>
      <c r="M57" s="59">
        <f t="shared" si="1"/>
        <v>0.12121746341662787</v>
      </c>
      <c r="N57" s="37">
        <f t="shared" si="2"/>
        <v>-3.943411365994498E-2</v>
      </c>
      <c r="O57" s="37">
        <f t="shared" si="3"/>
        <v>8.1783349756682888E-2</v>
      </c>
      <c r="P57" s="18">
        <f t="shared" si="4"/>
        <v>0.22935903267547422</v>
      </c>
      <c r="Q57" s="22"/>
    </row>
    <row r="58" spans="1:17" x14ac:dyDescent="0.3">
      <c r="A58" s="22" t="s">
        <v>115</v>
      </c>
      <c r="B58" s="38">
        <v>12.66666666666667</v>
      </c>
      <c r="C58" s="78">
        <v>14.13625418828684</v>
      </c>
      <c r="D58" s="78">
        <v>14.53341609483542</v>
      </c>
      <c r="E58" s="78">
        <f t="shared" si="0"/>
        <v>0.39716190654858075</v>
      </c>
      <c r="F58" s="22">
        <v>-0.7</v>
      </c>
      <c r="G58" s="38">
        <v>13.833416094835419</v>
      </c>
      <c r="H58" s="22" t="s">
        <v>95</v>
      </c>
      <c r="I58" s="22" t="s">
        <v>106</v>
      </c>
      <c r="J58" s="59">
        <v>3.157847196277605E-2</v>
      </c>
      <c r="K58" s="37">
        <v>6.1802917166508708E-2</v>
      </c>
      <c r="L58" s="18">
        <v>0.18166453252933709</v>
      </c>
      <c r="M58" s="59">
        <f t="shared" si="1"/>
        <v>3.0224445203732658E-2</v>
      </c>
      <c r="N58" s="37">
        <f t="shared" si="2"/>
        <v>0.11986161536282838</v>
      </c>
      <c r="O58" s="37">
        <f t="shared" si="3"/>
        <v>0.15008606056656104</v>
      </c>
      <c r="P58" s="18">
        <f t="shared" si="4"/>
        <v>0.42091200436316401</v>
      </c>
      <c r="Q58" s="22"/>
    </row>
    <row r="59" spans="1:17" x14ac:dyDescent="0.3">
      <c r="A59" s="22" t="s">
        <v>116</v>
      </c>
      <c r="B59" s="38">
        <v>20</v>
      </c>
      <c r="C59" s="78">
        <v>17.460297803712141</v>
      </c>
      <c r="D59" s="78">
        <v>17.23035764020851</v>
      </c>
      <c r="E59" s="78">
        <f t="shared" si="0"/>
        <v>-0.22994016350363111</v>
      </c>
      <c r="F59" s="22">
        <v>3.5</v>
      </c>
      <c r="G59" s="38">
        <v>20.73035764020851</v>
      </c>
      <c r="H59" s="22" t="s">
        <v>34</v>
      </c>
      <c r="I59" s="22" t="s">
        <v>106</v>
      </c>
      <c r="J59" s="59">
        <v>0.53384236855443135</v>
      </c>
      <c r="K59" s="37">
        <v>0.47838402441009559</v>
      </c>
      <c r="L59" s="18">
        <v>0.46299916286326959</v>
      </c>
      <c r="M59" s="59">
        <f t="shared" si="1"/>
        <v>-5.5458344144335758E-2</v>
      </c>
      <c r="N59" s="37">
        <f t="shared" si="2"/>
        <v>-1.5384861546826001E-2</v>
      </c>
      <c r="O59" s="37">
        <f t="shared" si="3"/>
        <v>-7.0843205691161759E-2</v>
      </c>
      <c r="P59" s="18">
        <f t="shared" si="4"/>
        <v>-0.19867771590789809</v>
      </c>
      <c r="Q59" s="22"/>
    </row>
    <row r="60" spans="1:17" x14ac:dyDescent="0.3">
      <c r="A60" s="22" t="s">
        <v>117</v>
      </c>
      <c r="B60" s="38">
        <v>18.333333333333329</v>
      </c>
      <c r="C60" s="78">
        <v>16.261999921398441</v>
      </c>
      <c r="D60" s="78">
        <v>16.361500721087161</v>
      </c>
      <c r="E60" s="78">
        <f t="shared" si="0"/>
        <v>9.950079968871961E-2</v>
      </c>
      <c r="F60" s="22">
        <v>0.2</v>
      </c>
      <c r="G60" s="38">
        <v>16.56150072108716</v>
      </c>
      <c r="H60" s="22" t="s">
        <v>31</v>
      </c>
      <c r="I60" s="22" t="s">
        <v>106</v>
      </c>
      <c r="J60" s="59">
        <v>-7.2493144025945366E-2</v>
      </c>
      <c r="K60" s="37">
        <v>-0.16582077327246619</v>
      </c>
      <c r="L60" s="18">
        <v>-2.9632787576382859E-2</v>
      </c>
      <c r="M60" s="59">
        <f t="shared" si="1"/>
        <v>-9.3327629246520827E-2</v>
      </c>
      <c r="N60" s="37">
        <f t="shared" si="2"/>
        <v>0.13618798569608334</v>
      </c>
      <c r="O60" s="37">
        <f t="shared" si="3"/>
        <v>4.2860356449562514E-2</v>
      </c>
      <c r="P60" s="18">
        <f t="shared" si="4"/>
        <v>0.12020062671246103</v>
      </c>
      <c r="Q60" s="22"/>
    </row>
    <row r="61" spans="1:17" x14ac:dyDescent="0.3">
      <c r="A61" s="22" t="s">
        <v>118</v>
      </c>
      <c r="B61" s="38">
        <v>19.666666666666671</v>
      </c>
      <c r="C61" s="78">
        <v>18.61434779521548</v>
      </c>
      <c r="D61" s="78">
        <v>18.471338433893632</v>
      </c>
      <c r="E61" s="78">
        <f t="shared" si="0"/>
        <v>-0.14300936132184816</v>
      </c>
      <c r="F61" s="22">
        <v>2.4</v>
      </c>
      <c r="G61" s="38">
        <v>20.87133843389363</v>
      </c>
      <c r="H61" s="22" t="s">
        <v>34</v>
      </c>
      <c r="I61" s="22" t="s">
        <v>106</v>
      </c>
      <c r="J61" s="59">
        <v>0.58998504623557957</v>
      </c>
      <c r="K61" s="37">
        <v>0.51296365897359208</v>
      </c>
      <c r="L61" s="18">
        <v>0.55720414298250287</v>
      </c>
      <c r="M61" s="59">
        <f t="shared" si="1"/>
        <v>-7.7021387261987484E-2</v>
      </c>
      <c r="N61" s="37">
        <f t="shared" si="2"/>
        <v>4.4240484008910785E-2</v>
      </c>
      <c r="O61" s="37">
        <f t="shared" si="3"/>
        <v>-3.2780903253076699E-2</v>
      </c>
      <c r="P61" s="18">
        <f t="shared" si="4"/>
        <v>-9.1933092527059265E-2</v>
      </c>
      <c r="Q61" s="22"/>
    </row>
    <row r="62" spans="1:17" x14ac:dyDescent="0.3">
      <c r="A62" s="22" t="s">
        <v>119</v>
      </c>
      <c r="B62" s="38">
        <v>7.3333333333333339</v>
      </c>
      <c r="C62" s="78">
        <v>6.9080552675877351</v>
      </c>
      <c r="D62" s="78">
        <v>6.7979197616785694</v>
      </c>
      <c r="E62" s="78">
        <f t="shared" si="0"/>
        <v>-0.11013550590916577</v>
      </c>
      <c r="F62" s="22">
        <v>0.5</v>
      </c>
      <c r="G62" s="38">
        <v>7.2979197616785694</v>
      </c>
      <c r="H62" s="22" t="s">
        <v>85</v>
      </c>
      <c r="I62" s="22" t="s">
        <v>106</v>
      </c>
      <c r="J62" s="59">
        <v>-0.93805545796393164</v>
      </c>
      <c r="K62" s="37">
        <v>-1.0581596975992871</v>
      </c>
      <c r="L62" s="18">
        <v>-1.067243432856964</v>
      </c>
      <c r="M62" s="59">
        <f t="shared" si="1"/>
        <v>-0.12010423963535544</v>
      </c>
      <c r="N62" s="37">
        <f t="shared" si="2"/>
        <v>-9.083735257676917E-3</v>
      </c>
      <c r="O62" s="37">
        <f t="shared" si="3"/>
        <v>-0.12918797489303235</v>
      </c>
      <c r="P62" s="18">
        <f t="shared" si="4"/>
        <v>-0.36230392913623732</v>
      </c>
      <c r="Q62" s="22"/>
    </row>
    <row r="63" spans="1:17" x14ac:dyDescent="0.3">
      <c r="A63" s="22" t="s">
        <v>120</v>
      </c>
      <c r="B63" s="38">
        <v>8.6666666666666661</v>
      </c>
      <c r="C63" s="78">
        <v>9.7222356783292305</v>
      </c>
      <c r="D63" s="78">
        <v>9.0610353158332657</v>
      </c>
      <c r="E63" s="78">
        <f t="shared" si="0"/>
        <v>-0.66120036249596481</v>
      </c>
      <c r="F63" s="22">
        <v>0</v>
      </c>
      <c r="G63" s="38">
        <v>9.0610353158332657</v>
      </c>
      <c r="H63" s="22" t="s">
        <v>88</v>
      </c>
      <c r="I63" s="22" t="s">
        <v>19</v>
      </c>
      <c r="J63" s="59">
        <v>-1.0830267217986811</v>
      </c>
      <c r="K63" s="37">
        <v>-1.249175207444466</v>
      </c>
      <c r="L63" s="18">
        <v>-1.3545824746805879</v>
      </c>
      <c r="M63" s="59">
        <f t="shared" si="1"/>
        <v>-0.16614848564578488</v>
      </c>
      <c r="N63" s="37">
        <f t="shared" si="2"/>
        <v>-0.10540726723612193</v>
      </c>
      <c r="O63" s="37">
        <f t="shared" si="3"/>
        <v>-0.27155575288190681</v>
      </c>
      <c r="P63" s="18">
        <f t="shared" si="4"/>
        <v>-0.76157023384047406</v>
      </c>
      <c r="Q63" s="22"/>
    </row>
    <row r="64" spans="1:17" x14ac:dyDescent="0.3">
      <c r="A64" s="22" t="s">
        <v>121</v>
      </c>
      <c r="B64" s="38">
        <v>8</v>
      </c>
      <c r="C64" s="78">
        <v>9.3636396723051796</v>
      </c>
      <c r="D64" s="78">
        <v>9.201030658348488</v>
      </c>
      <c r="E64" s="78">
        <f t="shared" si="0"/>
        <v>-0.16260901395669158</v>
      </c>
      <c r="F64" s="22">
        <v>0</v>
      </c>
      <c r="G64" s="38">
        <v>9.201030658348488</v>
      </c>
      <c r="H64" s="22" t="s">
        <v>88</v>
      </c>
      <c r="I64" s="22" t="s">
        <v>19</v>
      </c>
      <c r="J64" s="59">
        <v>-0.96351665305688805</v>
      </c>
      <c r="K64" s="37">
        <v>-1.038250517521665</v>
      </c>
      <c r="L64" s="18">
        <v>-1.044502303076537</v>
      </c>
      <c r="M64" s="59">
        <f t="shared" si="1"/>
        <v>-7.4733864464776922E-2</v>
      </c>
      <c r="N64" s="37">
        <f t="shared" si="2"/>
        <v>-6.2517855548720469E-3</v>
      </c>
      <c r="O64" s="37">
        <f t="shared" si="3"/>
        <v>-8.0985650019648969E-2</v>
      </c>
      <c r="P64" s="18">
        <f t="shared" si="4"/>
        <v>-0.22712190689625497</v>
      </c>
      <c r="Q64" s="22"/>
    </row>
    <row r="65" spans="1:17" x14ac:dyDescent="0.3">
      <c r="A65" s="22" t="s">
        <v>122</v>
      </c>
      <c r="B65" s="38">
        <v>6</v>
      </c>
      <c r="C65" s="78">
        <v>4.2059002423632492</v>
      </c>
      <c r="D65" s="78">
        <v>4.3422831312120067</v>
      </c>
      <c r="E65" s="78">
        <f t="shared" si="0"/>
        <v>0.13638288884875749</v>
      </c>
      <c r="F65" s="22">
        <v>1.6</v>
      </c>
      <c r="G65" s="38">
        <v>5.9422831312120064</v>
      </c>
      <c r="H65" s="22" t="s">
        <v>70</v>
      </c>
      <c r="I65" s="22" t="s">
        <v>64</v>
      </c>
      <c r="J65" s="59">
        <v>-0.54734987896581588</v>
      </c>
      <c r="K65" s="37">
        <v>-0.64219159947941995</v>
      </c>
      <c r="L65" s="18">
        <v>-0.50437757210264256</v>
      </c>
      <c r="M65" s="59">
        <f t="shared" si="1"/>
        <v>-9.4841720513604066E-2</v>
      </c>
      <c r="N65" s="37">
        <f t="shared" si="2"/>
        <v>0.13781402737677739</v>
      </c>
      <c r="O65" s="37">
        <f t="shared" si="3"/>
        <v>4.2972306863173326E-2</v>
      </c>
      <c r="P65" s="18">
        <f t="shared" si="4"/>
        <v>0.12051458840087056</v>
      </c>
      <c r="Q65" s="22"/>
    </row>
    <row r="66" spans="1:17" x14ac:dyDescent="0.3">
      <c r="A66" s="22" t="s">
        <v>123</v>
      </c>
      <c r="B66" s="38">
        <v>20</v>
      </c>
      <c r="C66" s="78">
        <v>20.623549914622771</v>
      </c>
      <c r="D66" s="78">
        <v>20.484869814075111</v>
      </c>
      <c r="E66" s="78">
        <f t="shared" si="0"/>
        <v>-0.13868010054765989</v>
      </c>
      <c r="F66" s="22">
        <v>0</v>
      </c>
      <c r="G66" s="38">
        <v>20.484869814075111</v>
      </c>
      <c r="H66" s="22" t="s">
        <v>44</v>
      </c>
      <c r="I66" s="22" t="s">
        <v>19</v>
      </c>
      <c r="J66" s="59">
        <v>1.1580946013788871</v>
      </c>
      <c r="K66" s="37">
        <v>1.1739868969706739</v>
      </c>
      <c r="L66" s="18">
        <v>1.145807940676989</v>
      </c>
      <c r="M66" s="59">
        <f t="shared" si="1"/>
        <v>1.5892295591786842E-2</v>
      </c>
      <c r="N66" s="37">
        <f t="shared" si="2"/>
        <v>-2.8178956293684942E-2</v>
      </c>
      <c r="O66" s="37">
        <f t="shared" si="3"/>
        <v>-1.22866607018981E-2</v>
      </c>
      <c r="P66" s="18">
        <f t="shared" si="4"/>
        <v>-3.4457583625312864E-2</v>
      </c>
      <c r="Q66" s="22"/>
    </row>
    <row r="67" spans="1:17" x14ac:dyDescent="0.3">
      <c r="A67" s="22" t="s">
        <v>124</v>
      </c>
      <c r="B67" s="38">
        <v>19.666666666666671</v>
      </c>
      <c r="C67" s="78">
        <v>19.837178888851341</v>
      </c>
      <c r="D67" s="78">
        <v>19.647102630402099</v>
      </c>
      <c r="E67" s="78">
        <f t="shared" ref="E67:E129" si="5">D67-C67</f>
        <v>-0.19007625844924192</v>
      </c>
      <c r="F67" s="22">
        <v>0</v>
      </c>
      <c r="G67" s="38">
        <v>19.647102630402099</v>
      </c>
      <c r="H67" s="22" t="s">
        <v>44</v>
      </c>
      <c r="I67" s="22" t="s">
        <v>47</v>
      </c>
      <c r="J67" s="59">
        <v>0.99749118600043429</v>
      </c>
      <c r="K67" s="37">
        <v>0.88260572697671835</v>
      </c>
      <c r="L67" s="18">
        <v>0.95702897320602676</v>
      </c>
      <c r="M67" s="59">
        <f t="shared" ref="M67:M129" si="6">K67-J67</f>
        <v>-0.11488545902371594</v>
      </c>
      <c r="N67" s="37">
        <f t="shared" ref="N67:N129" si="7">L67-K67</f>
        <v>7.4423246229308404E-2</v>
      </c>
      <c r="O67" s="37">
        <f t="shared" ref="O67:O129" si="8">M67+N67</f>
        <v>-4.0462212794407537E-2</v>
      </c>
      <c r="P67" s="18">
        <f t="shared" ref="P67:P130" si="9">O67*2.804471</f>
        <v>-0.1134751023777449</v>
      </c>
      <c r="Q67" s="22"/>
    </row>
    <row r="68" spans="1:17" x14ac:dyDescent="0.3">
      <c r="A68" s="22" t="s">
        <v>125</v>
      </c>
      <c r="B68" s="38">
        <v>13.33333333333333</v>
      </c>
      <c r="C68" s="78">
        <v>13.34398402846888</v>
      </c>
      <c r="D68" s="78">
        <v>13.070944746193341</v>
      </c>
      <c r="E68" s="78">
        <f t="shared" si="5"/>
        <v>-0.27303928227553875</v>
      </c>
      <c r="F68" s="22">
        <v>0.5</v>
      </c>
      <c r="G68" s="38">
        <v>13.570944746193341</v>
      </c>
      <c r="H68" s="22" t="s">
        <v>95</v>
      </c>
      <c r="I68" s="22" t="s">
        <v>64</v>
      </c>
      <c r="J68" s="59">
        <v>-0.25306154364617578</v>
      </c>
      <c r="K68" s="37">
        <v>-0.40097809036085708</v>
      </c>
      <c r="L68" s="18">
        <v>-0.36074266827553059</v>
      </c>
      <c r="M68" s="59">
        <f t="shared" si="6"/>
        <v>-0.1479165467146813</v>
      </c>
      <c r="N68" s="37">
        <f t="shared" si="7"/>
        <v>4.0235422085326489E-2</v>
      </c>
      <c r="O68" s="37">
        <f t="shared" si="8"/>
        <v>-0.10768112462935481</v>
      </c>
      <c r="P68" s="18">
        <f t="shared" si="9"/>
        <v>-0.30198859127041128</v>
      </c>
      <c r="Q68" s="22"/>
    </row>
    <row r="69" spans="1:17" x14ac:dyDescent="0.3">
      <c r="A69" s="22" t="s">
        <v>126</v>
      </c>
      <c r="B69" s="38">
        <v>14</v>
      </c>
      <c r="C69" s="78">
        <v>14.255890373890701</v>
      </c>
      <c r="D69" s="78">
        <v>13.583488226102521</v>
      </c>
      <c r="E69" s="78">
        <f t="shared" si="5"/>
        <v>-0.67240214778817986</v>
      </c>
      <c r="F69" s="22">
        <v>-0.4</v>
      </c>
      <c r="G69" s="38">
        <v>13.18348822610252</v>
      </c>
      <c r="H69" s="22" t="s">
        <v>51</v>
      </c>
      <c r="I69" s="22" t="s">
        <v>64</v>
      </c>
      <c r="J69" s="59">
        <v>-0.1779162557169707</v>
      </c>
      <c r="K69" s="37">
        <v>-0.28903447589007508</v>
      </c>
      <c r="L69" s="18">
        <v>-0.41539517304884338</v>
      </c>
      <c r="M69" s="59">
        <f t="shared" si="6"/>
        <v>-0.11111822017310438</v>
      </c>
      <c r="N69" s="37">
        <f t="shared" si="7"/>
        <v>-0.1263606971587683</v>
      </c>
      <c r="O69" s="37">
        <f t="shared" si="8"/>
        <v>-0.23747891733187268</v>
      </c>
      <c r="P69" s="18">
        <f t="shared" si="9"/>
        <v>-0.66600273676863431</v>
      </c>
      <c r="Q69" s="22"/>
    </row>
    <row r="70" spans="1:17" x14ac:dyDescent="0.3">
      <c r="A70" s="22" t="s">
        <v>127</v>
      </c>
      <c r="B70" s="38">
        <v>19.666666666666671</v>
      </c>
      <c r="C70" s="78">
        <v>19.012557643665328</v>
      </c>
      <c r="D70" s="78">
        <v>18.804138870685549</v>
      </c>
      <c r="E70" s="78">
        <f t="shared" si="5"/>
        <v>-0.20841877297977973</v>
      </c>
      <c r="F70" s="22">
        <v>0</v>
      </c>
      <c r="G70" s="38">
        <v>18.804138870685549</v>
      </c>
      <c r="H70" s="22" t="s">
        <v>11</v>
      </c>
      <c r="I70" s="22" t="s">
        <v>128</v>
      </c>
      <c r="J70" s="59">
        <v>0.95283899159400687</v>
      </c>
      <c r="K70" s="37">
        <v>1.002792951870431</v>
      </c>
      <c r="L70" s="18">
        <v>0.9078351265482576</v>
      </c>
      <c r="M70" s="59">
        <f t="shared" si="6"/>
        <v>4.9953960276424181E-2</v>
      </c>
      <c r="N70" s="37">
        <f t="shared" si="7"/>
        <v>-9.495782532217345E-2</v>
      </c>
      <c r="O70" s="37">
        <f t="shared" si="8"/>
        <v>-4.5003865045749269E-2</v>
      </c>
      <c r="P70" s="18">
        <f t="shared" si="9"/>
        <v>-0.12621203440871751</v>
      </c>
      <c r="Q70" s="22"/>
    </row>
    <row r="71" spans="1:17" x14ac:dyDescent="0.3">
      <c r="A71" s="22" t="s">
        <v>129</v>
      </c>
      <c r="B71" s="38">
        <v>4</v>
      </c>
      <c r="C71" s="78">
        <v>6.4773497220357958</v>
      </c>
      <c r="D71" s="78">
        <v>6.7175518720848357</v>
      </c>
      <c r="E71" s="78">
        <f t="shared" si="5"/>
        <v>0.24020215004903989</v>
      </c>
      <c r="F71" s="22">
        <v>0</v>
      </c>
      <c r="G71" s="38">
        <v>6.7175518720848357</v>
      </c>
      <c r="H71" s="22" t="s">
        <v>85</v>
      </c>
      <c r="I71" s="22" t="s">
        <v>19</v>
      </c>
      <c r="J71" s="59">
        <v>-0.92950567492947567</v>
      </c>
      <c r="K71" s="37">
        <v>-0.90920234735450567</v>
      </c>
      <c r="L71" s="18">
        <v>-0.87834706100091076</v>
      </c>
      <c r="M71" s="59">
        <f t="shared" si="6"/>
        <v>2.0303327574969998E-2</v>
      </c>
      <c r="N71" s="37">
        <f t="shared" si="7"/>
        <v>3.0855286353594913E-2</v>
      </c>
      <c r="O71" s="37">
        <f t="shared" si="8"/>
        <v>5.1158613928564911E-2</v>
      </c>
      <c r="P71" s="18">
        <f t="shared" si="9"/>
        <v>0.14347284916285635</v>
      </c>
      <c r="Q71" s="22"/>
    </row>
    <row r="72" spans="1:17" x14ac:dyDescent="0.3">
      <c r="A72" s="22" t="s">
        <v>130</v>
      </c>
      <c r="B72" s="38">
        <v>19.5</v>
      </c>
      <c r="C72" s="78">
        <v>19.07278649238987</v>
      </c>
      <c r="D72" s="78">
        <v>19.015943080954681</v>
      </c>
      <c r="E72" s="78">
        <f t="shared" si="5"/>
        <v>-5.6843411435188784E-2</v>
      </c>
      <c r="F72" s="22">
        <v>0</v>
      </c>
      <c r="G72" s="38">
        <v>19.015943080954681</v>
      </c>
      <c r="H72" s="22" t="s">
        <v>11</v>
      </c>
      <c r="I72" s="22" t="s">
        <v>19</v>
      </c>
      <c r="J72" s="59">
        <v>0.7677879396180457</v>
      </c>
      <c r="K72" s="37">
        <v>0.74205683444375559</v>
      </c>
      <c r="L72" s="18">
        <v>0.75962690637098762</v>
      </c>
      <c r="M72" s="59">
        <f t="shared" si="6"/>
        <v>-2.5731105174290114E-2</v>
      </c>
      <c r="N72" s="37">
        <f t="shared" si="7"/>
        <v>1.7570071927232034E-2</v>
      </c>
      <c r="O72" s="37">
        <f t="shared" si="8"/>
        <v>-8.1610332470580804E-3</v>
      </c>
      <c r="P72" s="18">
        <f t="shared" si="9"/>
        <v>-2.288738107141022E-2</v>
      </c>
      <c r="Q72" s="22"/>
    </row>
    <row r="73" spans="1:17" x14ac:dyDescent="0.3">
      <c r="A73" s="22" t="s">
        <v>131</v>
      </c>
      <c r="B73" s="38">
        <v>15.66666666666667</v>
      </c>
      <c r="C73" s="78">
        <v>14.78487201925827</v>
      </c>
      <c r="D73" s="78">
        <v>14.817134136386031</v>
      </c>
      <c r="E73" s="78">
        <f t="shared" si="5"/>
        <v>3.2262117127761059E-2</v>
      </c>
      <c r="F73" s="22">
        <v>0.75</v>
      </c>
      <c r="G73" s="38">
        <v>15.567134136386031</v>
      </c>
      <c r="H73" s="22" t="s">
        <v>55</v>
      </c>
      <c r="I73" s="22" t="s">
        <v>128</v>
      </c>
      <c r="J73" s="59">
        <v>0.31251239154164778</v>
      </c>
      <c r="K73" s="37">
        <v>0.19988495175882751</v>
      </c>
      <c r="L73" s="18">
        <v>0.31569983042071692</v>
      </c>
      <c r="M73" s="59">
        <f t="shared" si="6"/>
        <v>-0.11262743978282028</v>
      </c>
      <c r="N73" s="37">
        <f t="shared" si="7"/>
        <v>0.11581487866188941</v>
      </c>
      <c r="O73" s="37">
        <f t="shared" si="8"/>
        <v>3.1874388790691377E-3</v>
      </c>
      <c r="P73" s="18">
        <f t="shared" si="9"/>
        <v>8.9390799006219043E-3</v>
      </c>
      <c r="Q73" s="22"/>
    </row>
    <row r="74" spans="1:17" x14ac:dyDescent="0.3">
      <c r="A74" s="22" t="s">
        <v>132</v>
      </c>
      <c r="B74" s="38">
        <v>4</v>
      </c>
      <c r="C74" s="78">
        <v>6.5875550749970362</v>
      </c>
      <c r="D74" s="78">
        <v>6.5611610335821844</v>
      </c>
      <c r="E74" s="78">
        <f t="shared" si="5"/>
        <v>-2.6394041414851799E-2</v>
      </c>
      <c r="F74" s="22">
        <v>-4</v>
      </c>
      <c r="G74" s="38">
        <v>2.5611610335821839</v>
      </c>
      <c r="H74" s="22" t="s">
        <v>133</v>
      </c>
      <c r="I74" s="22" t="s">
        <v>64</v>
      </c>
      <c r="J74" s="59">
        <v>-0.33085178429154039</v>
      </c>
      <c r="K74" s="37">
        <v>-0.34729457450653722</v>
      </c>
      <c r="L74" s="18">
        <v>-0.41205227751470691</v>
      </c>
      <c r="M74" s="59">
        <f t="shared" si="6"/>
        <v>-1.6442790214996839E-2</v>
      </c>
      <c r="N74" s="37">
        <f t="shared" si="7"/>
        <v>-6.4757703008169687E-2</v>
      </c>
      <c r="O74" s="37">
        <f t="shared" si="8"/>
        <v>-8.1200493223166526E-2</v>
      </c>
      <c r="P74" s="18">
        <f t="shared" si="9"/>
        <v>-0.22772442843006704</v>
      </c>
      <c r="Q74" s="22"/>
    </row>
    <row r="75" spans="1:17" x14ac:dyDescent="0.3">
      <c r="A75" s="22" t="s">
        <v>134</v>
      </c>
      <c r="B75" s="38">
        <v>6.6666666666666679</v>
      </c>
      <c r="C75" s="78">
        <v>5.8617824601301072</v>
      </c>
      <c r="D75" s="78">
        <v>5.6469731211504239</v>
      </c>
      <c r="E75" s="78">
        <f t="shared" si="5"/>
        <v>-0.21480933897968324</v>
      </c>
      <c r="F75" s="22">
        <v>0.8</v>
      </c>
      <c r="G75" s="38">
        <v>6.4469731211504238</v>
      </c>
      <c r="H75" s="22" t="s">
        <v>70</v>
      </c>
      <c r="I75" s="22" t="s">
        <v>64</v>
      </c>
      <c r="J75" s="59">
        <v>-1.3438464519143209</v>
      </c>
      <c r="K75" s="37">
        <v>-1.4069220352038609</v>
      </c>
      <c r="L75" s="18">
        <v>-1.4462124321811181</v>
      </c>
      <c r="M75" s="59">
        <f t="shared" si="6"/>
        <v>-6.3075583289539994E-2</v>
      </c>
      <c r="N75" s="37">
        <f t="shared" si="7"/>
        <v>-3.9290396977257114E-2</v>
      </c>
      <c r="O75" s="37">
        <f t="shared" si="8"/>
        <v>-0.10236598026679711</v>
      </c>
      <c r="P75" s="18">
        <f t="shared" si="9"/>
        <v>-0.28708242304480475</v>
      </c>
      <c r="Q75" s="22"/>
    </row>
    <row r="76" spans="1:17" x14ac:dyDescent="0.3">
      <c r="A76" s="22" t="s">
        <v>135</v>
      </c>
      <c r="B76" s="38">
        <v>14.33333333333333</v>
      </c>
      <c r="C76" s="78">
        <v>12.28800948092851</v>
      </c>
      <c r="D76" s="78">
        <v>11.85065684158365</v>
      </c>
      <c r="E76" s="78">
        <f t="shared" si="5"/>
        <v>-0.43735263934486035</v>
      </c>
      <c r="F76" s="22">
        <v>1.25</v>
      </c>
      <c r="G76" s="38">
        <v>13.10065684158365</v>
      </c>
      <c r="H76" s="22" t="s">
        <v>51</v>
      </c>
      <c r="I76" s="22" t="s">
        <v>128</v>
      </c>
      <c r="J76" s="59">
        <v>-0.40061991351878778</v>
      </c>
      <c r="K76" s="37">
        <v>-0.57131972063224867</v>
      </c>
      <c r="L76" s="18">
        <v>-0.56811394477890564</v>
      </c>
      <c r="M76" s="59">
        <f t="shared" si="6"/>
        <v>-0.17069980711346089</v>
      </c>
      <c r="N76" s="37">
        <f t="shared" si="7"/>
        <v>3.2057758533430292E-3</v>
      </c>
      <c r="O76" s="37">
        <f t="shared" si="8"/>
        <v>-0.16749403126011786</v>
      </c>
      <c r="P76" s="18">
        <f t="shared" si="9"/>
        <v>-0.46973215334209401</v>
      </c>
      <c r="Q76" s="22"/>
    </row>
    <row r="77" spans="1:17" x14ac:dyDescent="0.3">
      <c r="A77" s="22" t="s">
        <v>136</v>
      </c>
      <c r="B77" s="38">
        <v>22</v>
      </c>
      <c r="C77" s="78">
        <v>18.071596203665941</v>
      </c>
      <c r="D77" s="78">
        <v>17.810916152294482</v>
      </c>
      <c r="E77" s="78">
        <f t="shared" si="5"/>
        <v>-0.26068005137145889</v>
      </c>
      <c r="F77" s="22">
        <v>3.25</v>
      </c>
      <c r="G77" s="38">
        <v>21.060916152294482</v>
      </c>
      <c r="H77" s="22" t="s">
        <v>34</v>
      </c>
      <c r="I77" s="22" t="s">
        <v>128</v>
      </c>
      <c r="J77" s="59">
        <v>1.6229307882152539</v>
      </c>
      <c r="K77" s="37">
        <v>1.486744616078929</v>
      </c>
      <c r="L77" s="18">
        <v>1.499131225583384</v>
      </c>
      <c r="M77" s="59">
        <f t="shared" si="6"/>
        <v>-0.13618617213632489</v>
      </c>
      <c r="N77" s="37">
        <f t="shared" si="7"/>
        <v>1.2386609504454915E-2</v>
      </c>
      <c r="O77" s="37">
        <f t="shared" si="8"/>
        <v>-0.12379956263186997</v>
      </c>
      <c r="P77" s="18">
        <f t="shared" si="9"/>
        <v>-0.347192283213763</v>
      </c>
      <c r="Q77" s="22"/>
    </row>
    <row r="78" spans="1:17" x14ac:dyDescent="0.3">
      <c r="A78" s="22" t="s">
        <v>137</v>
      </c>
      <c r="B78" s="38">
        <v>15</v>
      </c>
      <c r="C78" s="78">
        <v>13.20891086770896</v>
      </c>
      <c r="D78" s="78">
        <v>12.708005223717061</v>
      </c>
      <c r="E78" s="78">
        <f t="shared" si="5"/>
        <v>-0.5009056439918993</v>
      </c>
      <c r="F78" s="22">
        <v>0.5</v>
      </c>
      <c r="G78" s="38">
        <v>13.208005223717061</v>
      </c>
      <c r="H78" s="22" t="s">
        <v>51</v>
      </c>
      <c r="I78" s="22" t="s">
        <v>128</v>
      </c>
      <c r="J78" s="59">
        <v>-0.29509939705275651</v>
      </c>
      <c r="K78" s="37">
        <v>-0.42590689141176552</v>
      </c>
      <c r="L78" s="18">
        <v>-0.48837659369223502</v>
      </c>
      <c r="M78" s="59">
        <f t="shared" si="6"/>
        <v>-0.13080749435900901</v>
      </c>
      <c r="N78" s="37">
        <f t="shared" si="7"/>
        <v>-6.2469702280469497E-2</v>
      </c>
      <c r="O78" s="37">
        <f t="shared" si="8"/>
        <v>-0.19327719663947851</v>
      </c>
      <c r="P78" s="18">
        <f t="shared" si="9"/>
        <v>-0.54204029293671496</v>
      </c>
      <c r="Q78" s="22"/>
    </row>
    <row r="79" spans="1:17" x14ac:dyDescent="0.3">
      <c r="A79" s="22" t="s">
        <v>138</v>
      </c>
      <c r="B79" s="38">
        <v>11.66666666666667</v>
      </c>
      <c r="C79" s="78">
        <v>13.09719704263154</v>
      </c>
      <c r="D79" s="78">
        <v>13.079010013690651</v>
      </c>
      <c r="E79" s="78">
        <f t="shared" si="5"/>
        <v>-1.818702894088986E-2</v>
      </c>
      <c r="F79" s="22">
        <v>0</v>
      </c>
      <c r="G79" s="38">
        <v>13.079010013690651</v>
      </c>
      <c r="H79" s="22" t="s">
        <v>51</v>
      </c>
      <c r="I79" s="22" t="s">
        <v>128</v>
      </c>
      <c r="J79" s="59">
        <v>-0.55113204425745399</v>
      </c>
      <c r="K79" s="37">
        <v>-0.57392345629934394</v>
      </c>
      <c r="L79" s="18">
        <v>-0.55647510336865358</v>
      </c>
      <c r="M79" s="59">
        <f t="shared" si="6"/>
        <v>-2.2791412041889947E-2</v>
      </c>
      <c r="N79" s="37">
        <f t="shared" si="7"/>
        <v>1.7448352930690358E-2</v>
      </c>
      <c r="O79" s="37">
        <f t="shared" si="8"/>
        <v>-5.3430591111995884E-3</v>
      </c>
      <c r="P79" s="18">
        <f t="shared" si="9"/>
        <v>-1.498445432864502E-2</v>
      </c>
      <c r="Q79" s="22"/>
    </row>
    <row r="80" spans="1:17" x14ac:dyDescent="0.3">
      <c r="A80" s="22" t="s">
        <v>140</v>
      </c>
      <c r="B80" s="38">
        <v>7</v>
      </c>
      <c r="C80" s="78">
        <v>8.1893717922294034</v>
      </c>
      <c r="D80" s="78">
        <v>7.9745946727029491</v>
      </c>
      <c r="E80" s="78">
        <f t="shared" si="5"/>
        <v>-0.21477711952645429</v>
      </c>
      <c r="F80" s="22">
        <v>-1</v>
      </c>
      <c r="G80" s="38">
        <v>6.9745946727029491</v>
      </c>
      <c r="H80" s="22" t="s">
        <v>85</v>
      </c>
      <c r="I80" s="22" t="s">
        <v>141</v>
      </c>
      <c r="J80" s="59">
        <v>-1.0162937006715309</v>
      </c>
      <c r="K80" s="37">
        <v>-1.0903868055112531</v>
      </c>
      <c r="L80" s="18">
        <v>-1.1112398545650271</v>
      </c>
      <c r="M80" s="59">
        <f t="shared" si="6"/>
        <v>-7.4093104839722201E-2</v>
      </c>
      <c r="N80" s="37">
        <f t="shared" si="7"/>
        <v>-2.0853049053773942E-2</v>
      </c>
      <c r="O80" s="37">
        <f t="shared" si="8"/>
        <v>-9.4946153893496144E-2</v>
      </c>
      <c r="P80" s="18">
        <f t="shared" si="9"/>
        <v>-0.26627373515584701</v>
      </c>
      <c r="Q80" s="22"/>
    </row>
    <row r="81" spans="1:17" x14ac:dyDescent="0.3">
      <c r="A81" s="22" t="s">
        <v>142</v>
      </c>
      <c r="B81" s="38">
        <v>15</v>
      </c>
      <c r="C81" s="78">
        <v>12.53976597417147</v>
      </c>
      <c r="D81" s="78">
        <v>12.28202797892699</v>
      </c>
      <c r="E81" s="78">
        <f t="shared" si="5"/>
        <v>-0.25773799524447938</v>
      </c>
      <c r="F81" s="22">
        <v>0</v>
      </c>
      <c r="G81" s="38">
        <v>12.28202797892699</v>
      </c>
      <c r="H81" s="22" t="s">
        <v>68</v>
      </c>
      <c r="I81" s="22" t="s">
        <v>19</v>
      </c>
      <c r="J81" s="59">
        <v>0.48303370671840068</v>
      </c>
      <c r="K81" s="37">
        <v>0.39378415475130568</v>
      </c>
      <c r="L81" s="18">
        <v>0.39083092302887062</v>
      </c>
      <c r="M81" s="59">
        <f t="shared" si="6"/>
        <v>-8.9249551967094998E-2</v>
      </c>
      <c r="N81" s="37">
        <f t="shared" si="7"/>
        <v>-2.9532317224350568E-3</v>
      </c>
      <c r="O81" s="37">
        <f t="shared" si="8"/>
        <v>-9.2202783689530055E-2</v>
      </c>
      <c r="P81" s="18">
        <f t="shared" si="9"/>
        <v>-0.25858003297656001</v>
      </c>
      <c r="Q81" s="22"/>
    </row>
    <row r="82" spans="1:17" x14ac:dyDescent="0.3">
      <c r="A82" s="22" t="s">
        <v>143</v>
      </c>
      <c r="B82" s="38">
        <v>7</v>
      </c>
      <c r="C82" s="78">
        <v>7.8245569359701017</v>
      </c>
      <c r="D82" s="78">
        <v>7.7166526608868544</v>
      </c>
      <c r="E82" s="78">
        <f t="shared" si="5"/>
        <v>-0.10790427508324729</v>
      </c>
      <c r="F82" s="22">
        <v>0</v>
      </c>
      <c r="G82" s="38">
        <v>7.7166526608868544</v>
      </c>
      <c r="H82" s="22" t="s">
        <v>103</v>
      </c>
      <c r="I82" s="22" t="s">
        <v>141</v>
      </c>
      <c r="J82" s="59">
        <v>-1.3809823724611039</v>
      </c>
      <c r="K82" s="37">
        <v>-1.4431751898776219</v>
      </c>
      <c r="L82" s="18">
        <v>-1.4534645734434599</v>
      </c>
      <c r="M82" s="59">
        <f t="shared" si="6"/>
        <v>-6.2192817416518054E-2</v>
      </c>
      <c r="N82" s="37">
        <f t="shared" si="7"/>
        <v>-1.0289383565837973E-2</v>
      </c>
      <c r="O82" s="37">
        <f t="shared" si="8"/>
        <v>-7.2482200982356026E-2</v>
      </c>
      <c r="P82" s="18">
        <f t="shared" si="9"/>
        <v>-0.20327423067118899</v>
      </c>
      <c r="Q82" s="22"/>
    </row>
    <row r="83" spans="1:17" x14ac:dyDescent="0.3">
      <c r="A83" s="22" t="s">
        <v>144</v>
      </c>
      <c r="B83" s="38">
        <v>8</v>
      </c>
      <c r="C83" s="78">
        <v>9.6316888481266396</v>
      </c>
      <c r="D83" s="78">
        <v>9.5974388378694648</v>
      </c>
      <c r="E83" s="78">
        <f t="shared" si="5"/>
        <v>-3.4250010257174779E-2</v>
      </c>
      <c r="F83" s="22">
        <v>0</v>
      </c>
      <c r="G83" s="38">
        <v>9.5974388378694648</v>
      </c>
      <c r="H83" s="22" t="s">
        <v>79</v>
      </c>
      <c r="I83" s="22" t="s">
        <v>19</v>
      </c>
      <c r="J83" s="59">
        <v>0.46685882149650471</v>
      </c>
      <c r="K83" s="37">
        <v>0.42820963295545938</v>
      </c>
      <c r="L83" s="18">
        <v>0.43200757405227819</v>
      </c>
      <c r="M83" s="59">
        <f t="shared" si="6"/>
        <v>-3.8649188541045321E-2</v>
      </c>
      <c r="N83" s="37">
        <f t="shared" si="7"/>
        <v>3.7979410968188021E-3</v>
      </c>
      <c r="O83" s="37">
        <f t="shared" si="8"/>
        <v>-3.4851247444226519E-2</v>
      </c>
      <c r="P83" s="18">
        <f t="shared" si="9"/>
        <v>-9.7739312771157383E-2</v>
      </c>
      <c r="Q83" s="22"/>
    </row>
    <row r="84" spans="1:17" x14ac:dyDescent="0.3">
      <c r="A84" s="22" t="s">
        <v>145</v>
      </c>
      <c r="B84" s="38">
        <v>5.6666666666666679</v>
      </c>
      <c r="C84" s="78">
        <v>4.013154409260677</v>
      </c>
      <c r="D84" s="78">
        <v>3.7726126910805662</v>
      </c>
      <c r="E84" s="78">
        <f t="shared" si="5"/>
        <v>-0.24054171818011083</v>
      </c>
      <c r="F84" s="22">
        <v>0</v>
      </c>
      <c r="G84" s="38">
        <v>3.7726126910805662</v>
      </c>
      <c r="H84" s="22" t="s">
        <v>74</v>
      </c>
      <c r="I84" s="22" t="s">
        <v>19</v>
      </c>
      <c r="J84" s="59">
        <v>-1.2837853647385289</v>
      </c>
      <c r="K84" s="37">
        <v>-1.364159758583696</v>
      </c>
      <c r="L84" s="18">
        <v>-1.366968772125895</v>
      </c>
      <c r="M84" s="59">
        <f t="shared" si="6"/>
        <v>-8.0374393845167091E-2</v>
      </c>
      <c r="N84" s="37">
        <f t="shared" si="7"/>
        <v>-2.8090135421989793E-3</v>
      </c>
      <c r="O84" s="37">
        <f t="shared" si="8"/>
        <v>-8.3183407387366071E-2</v>
      </c>
      <c r="P84" s="18">
        <f t="shared" si="9"/>
        <v>-0.2332854536990539</v>
      </c>
      <c r="Q84" s="22"/>
    </row>
    <row r="85" spans="1:17" x14ac:dyDescent="0.3">
      <c r="A85" s="22" t="s">
        <v>146</v>
      </c>
      <c r="B85" s="38">
        <v>7</v>
      </c>
      <c r="C85" s="78">
        <v>6.350305301206693</v>
      </c>
      <c r="D85" s="78">
        <v>6.349119144225341</v>
      </c>
      <c r="E85" s="78">
        <f t="shared" si="5"/>
        <v>-1.1861569813520489E-3</v>
      </c>
      <c r="F85" s="22">
        <v>0</v>
      </c>
      <c r="G85" s="38">
        <v>6.349119144225341</v>
      </c>
      <c r="H85" s="22" t="s">
        <v>70</v>
      </c>
      <c r="I85" s="22" t="s">
        <v>19</v>
      </c>
      <c r="J85" s="59">
        <v>-1.943808806371174</v>
      </c>
      <c r="K85" s="37">
        <v>-1.8902443068647321</v>
      </c>
      <c r="L85" s="18">
        <v>-1.954068730835705</v>
      </c>
      <c r="M85" s="59">
        <f t="shared" si="6"/>
        <v>5.3564499506441932E-2</v>
      </c>
      <c r="N85" s="37">
        <f t="shared" si="7"/>
        <v>-6.3824423970972877E-2</v>
      </c>
      <c r="O85" s="37">
        <f t="shared" si="8"/>
        <v>-1.0259924464530945E-2</v>
      </c>
      <c r="P85" s="18">
        <f t="shared" si="9"/>
        <v>-2.8773660622967562E-2</v>
      </c>
      <c r="Q85" s="22"/>
    </row>
    <row r="86" spans="1:17" x14ac:dyDescent="0.3">
      <c r="A86" s="22" t="s">
        <v>148</v>
      </c>
      <c r="B86" s="38">
        <v>9.3333333333333339</v>
      </c>
      <c r="C86" s="78">
        <v>8.0230611093592472</v>
      </c>
      <c r="D86" s="78">
        <v>7.9366785596589802</v>
      </c>
      <c r="E86" s="78">
        <f t="shared" si="5"/>
        <v>-8.6382549700267042E-2</v>
      </c>
      <c r="F86" s="22">
        <v>0</v>
      </c>
      <c r="G86" s="38">
        <v>7.9366785596589802</v>
      </c>
      <c r="H86" s="22" t="s">
        <v>103</v>
      </c>
      <c r="I86" s="22" t="s">
        <v>19</v>
      </c>
      <c r="J86" s="59">
        <v>-0.48408279277210098</v>
      </c>
      <c r="K86" s="37">
        <v>-0.48773305867296979</v>
      </c>
      <c r="L86" s="18">
        <v>-0.5434076460163928</v>
      </c>
      <c r="M86" s="59">
        <f t="shared" si="6"/>
        <v>-3.6502659008688099E-3</v>
      </c>
      <c r="N86" s="37">
        <f t="shared" si="7"/>
        <v>-5.567458734342301E-2</v>
      </c>
      <c r="O86" s="37">
        <f t="shared" si="8"/>
        <v>-5.932485324429182E-2</v>
      </c>
      <c r="P86" s="18">
        <f t="shared" si="9"/>
        <v>-0.16637483050287233</v>
      </c>
      <c r="Q86" s="22"/>
    </row>
    <row r="87" spans="1:17" x14ac:dyDescent="0.3">
      <c r="A87" s="22" t="s">
        <v>149</v>
      </c>
      <c r="B87" s="38">
        <v>2</v>
      </c>
      <c r="C87" s="78">
        <v>7.2499237258526801</v>
      </c>
      <c r="D87" s="78">
        <v>7.2218771258119023</v>
      </c>
      <c r="E87" s="78">
        <f t="shared" si="5"/>
        <v>-2.8046600040777747E-2</v>
      </c>
      <c r="F87" s="22">
        <v>0</v>
      </c>
      <c r="G87" s="38">
        <v>7.2218771258119023</v>
      </c>
      <c r="H87" s="22" t="s">
        <v>85</v>
      </c>
      <c r="I87" s="22" t="s">
        <v>141</v>
      </c>
      <c r="J87" s="59">
        <v>-1.303829023950092</v>
      </c>
      <c r="K87" s="37">
        <v>-1.335332565658027</v>
      </c>
      <c r="L87" s="18">
        <v>-1.339719025530937</v>
      </c>
      <c r="M87" s="59">
        <f t="shared" si="6"/>
        <v>-3.1503541707935012E-2</v>
      </c>
      <c r="N87" s="37">
        <f t="shared" si="7"/>
        <v>-4.3864598729099757E-3</v>
      </c>
      <c r="O87" s="37">
        <f t="shared" si="8"/>
        <v>-3.5890001580844988E-2</v>
      </c>
      <c r="P87" s="18">
        <f t="shared" si="9"/>
        <v>-0.10065246862343392</v>
      </c>
      <c r="Q87" s="22"/>
    </row>
    <row r="88" spans="1:17" x14ac:dyDescent="0.3">
      <c r="A88" s="22" t="s">
        <v>150</v>
      </c>
      <c r="B88" s="38">
        <v>5</v>
      </c>
      <c r="C88" s="78">
        <v>7.5767095108716367</v>
      </c>
      <c r="D88" s="78">
        <v>7.6194959163976446</v>
      </c>
      <c r="E88" s="78">
        <f t="shared" si="5"/>
        <v>4.2786405526007876E-2</v>
      </c>
      <c r="F88" s="22">
        <v>-1.5</v>
      </c>
      <c r="G88" s="38">
        <v>6.1194959163976446</v>
      </c>
      <c r="H88" s="22" t="s">
        <v>70</v>
      </c>
      <c r="I88" s="22" t="s">
        <v>141</v>
      </c>
      <c r="J88" s="59">
        <v>-1.023679466060134</v>
      </c>
      <c r="K88" s="37">
        <v>-1.066879047309186</v>
      </c>
      <c r="L88" s="18">
        <v>-1.04479611512535</v>
      </c>
      <c r="M88" s="59">
        <f t="shared" si="6"/>
        <v>-4.3199581249051988E-2</v>
      </c>
      <c r="N88" s="37">
        <f t="shared" si="7"/>
        <v>2.2082932183836057E-2</v>
      </c>
      <c r="O88" s="37">
        <f t="shared" si="8"/>
        <v>-2.1116649065215931E-2</v>
      </c>
      <c r="P88" s="18">
        <f t="shared" si="9"/>
        <v>-5.9221029920575187E-2</v>
      </c>
      <c r="Q88" s="22"/>
    </row>
    <row r="89" spans="1:17" x14ac:dyDescent="0.3">
      <c r="A89" s="22" t="s">
        <v>151</v>
      </c>
      <c r="B89" s="38">
        <v>6.3333333333333321</v>
      </c>
      <c r="C89" s="78">
        <v>7.5150603654213031</v>
      </c>
      <c r="D89" s="78">
        <v>7.3490591412304509</v>
      </c>
      <c r="E89" s="78">
        <f t="shared" si="5"/>
        <v>-0.16600122419085217</v>
      </c>
      <c r="F89" s="22">
        <v>-1</v>
      </c>
      <c r="G89" s="38">
        <v>6.3490591412304509</v>
      </c>
      <c r="H89" s="22" t="s">
        <v>70</v>
      </c>
      <c r="I89" s="22" t="s">
        <v>141</v>
      </c>
      <c r="J89" s="59">
        <v>-0.19263824516728251</v>
      </c>
      <c r="K89" s="37">
        <v>-0.2293421516020947</v>
      </c>
      <c r="L89" s="18">
        <v>-0.17952081114396459</v>
      </c>
      <c r="M89" s="59">
        <f t="shared" si="6"/>
        <v>-3.6703906434812195E-2</v>
      </c>
      <c r="N89" s="37">
        <f t="shared" si="7"/>
        <v>4.9821340458130109E-2</v>
      </c>
      <c r="O89" s="37">
        <f t="shared" si="8"/>
        <v>1.3117434023317914E-2</v>
      </c>
      <c r="P89" s="18">
        <f t="shared" si="9"/>
        <v>3.6787463312808411E-2</v>
      </c>
      <c r="Q89" s="22"/>
    </row>
    <row r="90" spans="1:17" x14ac:dyDescent="0.3">
      <c r="A90" s="22" t="s">
        <v>152</v>
      </c>
      <c r="B90" s="38">
        <v>10.66666666666667</v>
      </c>
      <c r="C90" s="78">
        <v>10.11020208150434</v>
      </c>
      <c r="D90" s="78">
        <v>9.8343363524272487</v>
      </c>
      <c r="E90" s="78">
        <f t="shared" si="5"/>
        <v>-0.27586572907709161</v>
      </c>
      <c r="F90" s="22">
        <v>1.5</v>
      </c>
      <c r="G90" s="38">
        <v>11.33433635242725</v>
      </c>
      <c r="H90" s="22" t="s">
        <v>60</v>
      </c>
      <c r="I90" s="22" t="s">
        <v>141</v>
      </c>
      <c r="J90" s="59">
        <v>-0.59893669017671358</v>
      </c>
      <c r="K90" s="37">
        <v>-0.73120421107397349</v>
      </c>
      <c r="L90" s="18">
        <v>-0.71552671030475434</v>
      </c>
      <c r="M90" s="59">
        <f t="shared" si="6"/>
        <v>-0.1322675208972599</v>
      </c>
      <c r="N90" s="37">
        <f t="shared" si="7"/>
        <v>1.5677500769219144E-2</v>
      </c>
      <c r="O90" s="37">
        <f t="shared" si="8"/>
        <v>-0.11659002012804076</v>
      </c>
      <c r="P90" s="18">
        <f t="shared" si="9"/>
        <v>-0.32697333033850662</v>
      </c>
      <c r="Q90" s="22"/>
    </row>
    <row r="91" spans="1:17" x14ac:dyDescent="0.3">
      <c r="A91" s="22" t="s">
        <v>153</v>
      </c>
      <c r="B91" s="38">
        <v>7</v>
      </c>
      <c r="C91" s="78">
        <v>9.0162171189432918</v>
      </c>
      <c r="D91" s="78">
        <v>8.6955271989666318</v>
      </c>
      <c r="E91" s="78">
        <f t="shared" si="5"/>
        <v>-0.32068991997665997</v>
      </c>
      <c r="F91" s="22">
        <v>-0.5</v>
      </c>
      <c r="G91" s="38">
        <v>8.1955271989666318</v>
      </c>
      <c r="H91" s="22" t="s">
        <v>103</v>
      </c>
      <c r="I91" s="22" t="s">
        <v>141</v>
      </c>
      <c r="J91" s="59">
        <v>-0.70827987556383964</v>
      </c>
      <c r="K91" s="37">
        <v>-0.77600539456070294</v>
      </c>
      <c r="L91" s="18">
        <v>-0.86660984710342615</v>
      </c>
      <c r="M91" s="59">
        <f t="shared" si="6"/>
        <v>-6.7725518996863299E-2</v>
      </c>
      <c r="N91" s="37">
        <f t="shared" si="7"/>
        <v>-9.0604452542723202E-2</v>
      </c>
      <c r="O91" s="37">
        <f t="shared" si="8"/>
        <v>-0.1583299715395865</v>
      </c>
      <c r="P91" s="18">
        <f t="shared" si="9"/>
        <v>-0.44403181361359567</v>
      </c>
      <c r="Q91" s="22"/>
    </row>
    <row r="92" spans="1:17" x14ac:dyDescent="0.3">
      <c r="A92" s="22" t="s">
        <v>154</v>
      </c>
      <c r="B92" s="38">
        <v>8</v>
      </c>
      <c r="C92" s="78">
        <v>7.3259148313374416</v>
      </c>
      <c r="D92" s="78">
        <v>7.5390272566919174</v>
      </c>
      <c r="E92" s="78">
        <f t="shared" si="5"/>
        <v>0.21311242535447583</v>
      </c>
      <c r="F92" s="22">
        <v>0</v>
      </c>
      <c r="G92" s="38">
        <v>7.5390272566919174</v>
      </c>
      <c r="H92" s="22" t="s">
        <v>103</v>
      </c>
      <c r="I92" s="22" t="s">
        <v>19</v>
      </c>
      <c r="J92" s="59">
        <v>-0.69595898579420334</v>
      </c>
      <c r="K92" s="37">
        <v>-0.63095545461023772</v>
      </c>
      <c r="L92" s="18">
        <v>-0.61050888394571212</v>
      </c>
      <c r="M92" s="59">
        <f t="shared" si="6"/>
        <v>6.5003531183965624E-2</v>
      </c>
      <c r="N92" s="37">
        <f t="shared" si="7"/>
        <v>2.0446570664525598E-2</v>
      </c>
      <c r="O92" s="37">
        <f t="shared" si="8"/>
        <v>8.5450101848491222E-2</v>
      </c>
      <c r="P92" s="18">
        <f t="shared" si="9"/>
        <v>0.23964233258114001</v>
      </c>
      <c r="Q92" s="22"/>
    </row>
    <row r="93" spans="1:17" x14ac:dyDescent="0.3">
      <c r="A93" s="22" t="s">
        <v>155</v>
      </c>
      <c r="B93" s="38">
        <v>7</v>
      </c>
      <c r="C93" s="78">
        <v>6.6275135967921219</v>
      </c>
      <c r="D93" s="78">
        <v>6.7140863955827204</v>
      </c>
      <c r="E93" s="78">
        <f t="shared" si="5"/>
        <v>8.6572798790598426E-2</v>
      </c>
      <c r="F93" s="22">
        <v>0</v>
      </c>
      <c r="G93" s="38">
        <v>6.7140863955827204</v>
      </c>
      <c r="H93" s="22" t="s">
        <v>85</v>
      </c>
      <c r="I93" s="22" t="s">
        <v>19</v>
      </c>
      <c r="J93" s="59">
        <v>-1.062049146661505</v>
      </c>
      <c r="K93" s="37">
        <v>-1.1525242140681911</v>
      </c>
      <c r="L93" s="18">
        <v>-1.05628069987955</v>
      </c>
      <c r="M93" s="59">
        <f t="shared" si="6"/>
        <v>-9.0475067406686094E-2</v>
      </c>
      <c r="N93" s="37">
        <f t="shared" si="7"/>
        <v>9.6243514188641077E-2</v>
      </c>
      <c r="O93" s="37">
        <f t="shared" si="8"/>
        <v>5.7684467819549834E-3</v>
      </c>
      <c r="P93" s="18">
        <f t="shared" si="9"/>
        <v>1.6177441715036073E-2</v>
      </c>
      <c r="Q93" s="22"/>
    </row>
    <row r="94" spans="1:17" x14ac:dyDescent="0.3">
      <c r="A94" s="22" t="s">
        <v>156</v>
      </c>
      <c r="B94" s="38">
        <v>13</v>
      </c>
      <c r="C94" s="78">
        <v>12.05979857345449</v>
      </c>
      <c r="D94" s="78">
        <v>11.76522618626568</v>
      </c>
      <c r="E94" s="78">
        <f t="shared" si="5"/>
        <v>-0.29457238718880951</v>
      </c>
      <c r="F94" s="22">
        <v>0</v>
      </c>
      <c r="G94" s="38">
        <v>11.76522618626568</v>
      </c>
      <c r="H94" s="22" t="s">
        <v>68</v>
      </c>
      <c r="I94" s="22" t="s">
        <v>19</v>
      </c>
      <c r="J94" s="59">
        <v>0.64567980500625322</v>
      </c>
      <c r="K94" s="37">
        <v>0.54706301771209564</v>
      </c>
      <c r="L94" s="18">
        <v>0.53473506234569246</v>
      </c>
      <c r="M94" s="59">
        <f t="shared" si="6"/>
        <v>-9.8616787294157571E-2</v>
      </c>
      <c r="N94" s="37">
        <f t="shared" si="7"/>
        <v>-1.2327955366403187E-2</v>
      </c>
      <c r="O94" s="37">
        <f t="shared" si="8"/>
        <v>-0.11094474266056076</v>
      </c>
      <c r="P94" s="18">
        <f t="shared" si="9"/>
        <v>-0.31114131339400547</v>
      </c>
      <c r="Q94" s="22"/>
    </row>
    <row r="95" spans="1:17" x14ac:dyDescent="0.3">
      <c r="A95" s="22" t="s">
        <v>157</v>
      </c>
      <c r="B95" s="38">
        <v>12.33333333333333</v>
      </c>
      <c r="C95" s="78">
        <v>11.28329172493542</v>
      </c>
      <c r="D95" s="78">
        <v>11.18381195473572</v>
      </c>
      <c r="E95" s="78">
        <f t="shared" si="5"/>
        <v>-9.9479770199700113E-2</v>
      </c>
      <c r="F95" s="22">
        <v>1.4</v>
      </c>
      <c r="G95" s="38">
        <v>12.583811954735721</v>
      </c>
      <c r="H95" s="22" t="s">
        <v>51</v>
      </c>
      <c r="I95" s="22" t="s">
        <v>106</v>
      </c>
      <c r="J95" s="59">
        <v>-0.47534191081097349</v>
      </c>
      <c r="K95" s="37">
        <v>-0.60630252753612035</v>
      </c>
      <c r="L95" s="18">
        <v>-0.53627755807902566</v>
      </c>
      <c r="M95" s="59">
        <f t="shared" si="6"/>
        <v>-0.13096061672514686</v>
      </c>
      <c r="N95" s="37">
        <f t="shared" si="7"/>
        <v>7.0024969457094688E-2</v>
      </c>
      <c r="O95" s="37">
        <f t="shared" si="8"/>
        <v>-6.0935647268052173E-2</v>
      </c>
      <c r="P95" s="18">
        <f t="shared" si="9"/>
        <v>-0.17089225562948154</v>
      </c>
      <c r="Q95" s="22"/>
    </row>
    <row r="96" spans="1:17" x14ac:dyDescent="0.3">
      <c r="A96" s="22" t="s">
        <v>158</v>
      </c>
      <c r="B96" s="38">
        <v>5.3333333333333321</v>
      </c>
      <c r="C96" s="78">
        <v>2.3524525048396052</v>
      </c>
      <c r="D96" s="78">
        <v>1.547946348566775</v>
      </c>
      <c r="E96" s="78">
        <f t="shared" si="5"/>
        <v>-0.80450615627283018</v>
      </c>
      <c r="F96" s="22">
        <v>0</v>
      </c>
      <c r="G96" s="38">
        <v>1.547946348566775</v>
      </c>
      <c r="H96" s="22" t="s">
        <v>159</v>
      </c>
      <c r="I96" s="22" t="s">
        <v>141</v>
      </c>
      <c r="J96" s="59">
        <v>-1.13382559582566</v>
      </c>
      <c r="K96" s="37">
        <v>-1.264907193444764</v>
      </c>
      <c r="L96" s="18">
        <v>-1.403328398999603</v>
      </c>
      <c r="M96" s="59">
        <f t="shared" si="6"/>
        <v>-0.13108159761910398</v>
      </c>
      <c r="N96" s="37">
        <f t="shared" si="7"/>
        <v>-0.13842120555483906</v>
      </c>
      <c r="O96" s="37">
        <f t="shared" si="8"/>
        <v>-0.26950280317394304</v>
      </c>
      <c r="P96" s="18">
        <f t="shared" si="9"/>
        <v>-0.75581279592003114</v>
      </c>
      <c r="Q96" s="22"/>
    </row>
    <row r="97" spans="1:17" x14ac:dyDescent="0.3">
      <c r="A97" s="22" t="s">
        <v>160</v>
      </c>
      <c r="B97" s="38">
        <v>4</v>
      </c>
      <c r="C97" s="78">
        <v>5.4983871902038981</v>
      </c>
      <c r="D97" s="78">
        <v>5.1966055823515553</v>
      </c>
      <c r="E97" s="78">
        <f t="shared" si="5"/>
        <v>-0.30178160785234276</v>
      </c>
      <c r="F97" s="22">
        <v>0</v>
      </c>
      <c r="G97" s="38">
        <v>5.1966055823515553</v>
      </c>
      <c r="H97" s="22" t="s">
        <v>161</v>
      </c>
      <c r="I97" s="22" t="s">
        <v>19</v>
      </c>
      <c r="J97" s="59">
        <v>-1.137072566905593</v>
      </c>
      <c r="K97" s="37">
        <v>-1.149769539700003</v>
      </c>
      <c r="L97" s="18">
        <v>-1.2876339617344721</v>
      </c>
      <c r="M97" s="59">
        <f t="shared" si="6"/>
        <v>-1.2696972794409955E-2</v>
      </c>
      <c r="N97" s="37">
        <f t="shared" si="7"/>
        <v>-0.13786442203446914</v>
      </c>
      <c r="O97" s="37">
        <f t="shared" si="8"/>
        <v>-0.15056139482887909</v>
      </c>
      <c r="P97" s="18">
        <f t="shared" si="9"/>
        <v>-0.42224506551714136</v>
      </c>
      <c r="Q97" s="22"/>
    </row>
    <row r="98" spans="1:17" x14ac:dyDescent="0.3">
      <c r="A98" s="22" t="s">
        <v>162</v>
      </c>
      <c r="B98" s="38">
        <v>7.3333333333333339</v>
      </c>
      <c r="C98" s="78">
        <v>8.1673569381872326</v>
      </c>
      <c r="D98" s="78">
        <v>7.927874610934178</v>
      </c>
      <c r="E98" s="78">
        <f t="shared" si="5"/>
        <v>-0.23948232725305463</v>
      </c>
      <c r="F98" s="22">
        <v>0.5</v>
      </c>
      <c r="G98" s="38">
        <v>8.4278746109341789</v>
      </c>
      <c r="H98" s="22" t="s">
        <v>103</v>
      </c>
      <c r="I98" s="22" t="s">
        <v>141</v>
      </c>
      <c r="J98" s="59">
        <v>-1.303998958594103</v>
      </c>
      <c r="K98" s="37">
        <v>-1.3948235786498979</v>
      </c>
      <c r="L98" s="18">
        <v>-1.4068336487068811</v>
      </c>
      <c r="M98" s="59">
        <f t="shared" si="6"/>
        <v>-9.0824620055794947E-2</v>
      </c>
      <c r="N98" s="37">
        <f t="shared" si="7"/>
        <v>-1.201007005698318E-2</v>
      </c>
      <c r="O98" s="37">
        <f t="shared" si="8"/>
        <v>-0.10283469011277813</v>
      </c>
      <c r="P98" s="18">
        <f t="shared" si="9"/>
        <v>-0.28839690621527297</v>
      </c>
      <c r="Q98" s="22"/>
    </row>
    <row r="99" spans="1:17" x14ac:dyDescent="0.3">
      <c r="A99" s="22" t="s">
        <v>163</v>
      </c>
      <c r="B99" s="38">
        <v>8.6666666666666661</v>
      </c>
      <c r="C99" s="78">
        <v>8.65546515468378</v>
      </c>
      <c r="D99" s="78">
        <v>8.7033043109753265</v>
      </c>
      <c r="E99" s="78">
        <f t="shared" si="5"/>
        <v>4.7839156291546558E-2</v>
      </c>
      <c r="F99" s="22">
        <v>0</v>
      </c>
      <c r="G99" s="38">
        <v>8.7033043109753265</v>
      </c>
      <c r="H99" s="22" t="s">
        <v>88</v>
      </c>
      <c r="I99" s="22" t="s">
        <v>19</v>
      </c>
      <c r="J99" s="59">
        <v>-7.782094535030358E-2</v>
      </c>
      <c r="K99" s="37">
        <v>-2.853229261292628E-2</v>
      </c>
      <c r="L99" s="18">
        <v>-6.3169034242926317E-2</v>
      </c>
      <c r="M99" s="59">
        <f t="shared" si="6"/>
        <v>4.92886527373773E-2</v>
      </c>
      <c r="N99" s="37">
        <f t="shared" si="7"/>
        <v>-3.4636741630000037E-2</v>
      </c>
      <c r="O99" s="37">
        <f t="shared" si="8"/>
        <v>1.4651911107377263E-2</v>
      </c>
      <c r="P99" s="18">
        <f t="shared" si="9"/>
        <v>4.109085979521742E-2</v>
      </c>
      <c r="Q99" s="22"/>
    </row>
    <row r="100" spans="1:17" x14ac:dyDescent="0.3">
      <c r="A100" s="22" t="s">
        <v>164</v>
      </c>
      <c r="B100" s="38">
        <v>11</v>
      </c>
      <c r="C100" s="78">
        <v>11.291596507533511</v>
      </c>
      <c r="D100" s="78">
        <v>11.41778012037634</v>
      </c>
      <c r="E100" s="78">
        <f t="shared" si="5"/>
        <v>0.12618361284282997</v>
      </c>
      <c r="F100" s="22">
        <v>0</v>
      </c>
      <c r="G100" s="38">
        <v>11.41778012037634</v>
      </c>
      <c r="H100" s="22" t="s">
        <v>60</v>
      </c>
      <c r="I100" s="22" t="s">
        <v>19</v>
      </c>
      <c r="J100" s="59">
        <v>0.58752533126026318</v>
      </c>
      <c r="K100" s="37">
        <v>0.5888565851658587</v>
      </c>
      <c r="L100" s="18">
        <v>0.61980552801312638</v>
      </c>
      <c r="M100" s="59">
        <f t="shared" si="6"/>
        <v>1.3312539055955197E-3</v>
      </c>
      <c r="N100" s="37">
        <f t="shared" si="7"/>
        <v>3.094894284726768E-2</v>
      </c>
      <c r="O100" s="37">
        <f t="shared" si="8"/>
        <v>3.2280196752863199E-2</v>
      </c>
      <c r="P100" s="18">
        <f t="shared" si="9"/>
        <v>9.0528875667699002E-2</v>
      </c>
      <c r="Q100" s="22"/>
    </row>
    <row r="101" spans="1:17" x14ac:dyDescent="0.3">
      <c r="A101" s="22" t="s">
        <v>166</v>
      </c>
      <c r="B101" s="38">
        <v>6.5</v>
      </c>
      <c r="C101" s="78">
        <v>7.5506333624641204</v>
      </c>
      <c r="D101" s="78">
        <v>7.7550042870541294</v>
      </c>
      <c r="E101" s="78">
        <f t="shared" si="5"/>
        <v>0.20437092459000894</v>
      </c>
      <c r="F101" s="22">
        <v>-1</v>
      </c>
      <c r="G101" s="38">
        <v>6.7550042870541294</v>
      </c>
      <c r="H101" s="22" t="s">
        <v>85</v>
      </c>
      <c r="I101" s="22" t="s">
        <v>141</v>
      </c>
      <c r="J101" s="59">
        <v>-0.27268497697419752</v>
      </c>
      <c r="K101" s="37">
        <v>-0.26831526441392728</v>
      </c>
      <c r="L101" s="18">
        <v>-0.25235116976390259</v>
      </c>
      <c r="M101" s="59">
        <f t="shared" si="6"/>
        <v>4.3697125602702447E-3</v>
      </c>
      <c r="N101" s="37">
        <f t="shared" si="7"/>
        <v>1.5964094650024685E-2</v>
      </c>
      <c r="O101" s="37">
        <f t="shared" si="8"/>
        <v>2.033380721029493E-2</v>
      </c>
      <c r="P101" s="18">
        <f t="shared" si="9"/>
        <v>5.7025572640863033E-2</v>
      </c>
      <c r="Q101" s="22"/>
    </row>
    <row r="102" spans="1:17" x14ac:dyDescent="0.3">
      <c r="A102" s="22" t="s">
        <v>167</v>
      </c>
      <c r="B102" s="38">
        <v>9.5</v>
      </c>
      <c r="C102" s="78">
        <v>10.214959459952411</v>
      </c>
      <c r="D102" s="78">
        <v>10.193910549157289</v>
      </c>
      <c r="E102" s="78">
        <f t="shared" si="5"/>
        <v>-2.10489107951215E-2</v>
      </c>
      <c r="F102" s="22">
        <v>0</v>
      </c>
      <c r="G102" s="38">
        <v>10.193910549157289</v>
      </c>
      <c r="H102" s="22" t="s">
        <v>79</v>
      </c>
      <c r="I102" s="22" t="s">
        <v>19</v>
      </c>
      <c r="J102" s="59">
        <v>0.1310673719736542</v>
      </c>
      <c r="K102" s="37">
        <v>9.5950936870007733E-2</v>
      </c>
      <c r="L102" s="18">
        <v>0.1063324347900504</v>
      </c>
      <c r="M102" s="59">
        <f t="shared" si="6"/>
        <v>-3.5116435103646468E-2</v>
      </c>
      <c r="N102" s="37">
        <f t="shared" si="7"/>
        <v>1.038149792004267E-2</v>
      </c>
      <c r="O102" s="37">
        <f t="shared" si="8"/>
        <v>-2.4734937183603797E-2</v>
      </c>
      <c r="P102" s="18">
        <f t="shared" si="9"/>
        <v>-6.9368414018238525E-2</v>
      </c>
      <c r="Q102" s="22"/>
    </row>
    <row r="103" spans="1:17" x14ac:dyDescent="0.3">
      <c r="A103" s="22" t="s">
        <v>168</v>
      </c>
      <c r="B103" s="38">
        <v>9</v>
      </c>
      <c r="C103" s="78">
        <v>9.8091282742740198</v>
      </c>
      <c r="D103" s="78">
        <v>9.6247661239318756</v>
      </c>
      <c r="E103" s="78">
        <f t="shared" si="5"/>
        <v>-0.1843621503421442</v>
      </c>
      <c r="F103" s="22">
        <v>0</v>
      </c>
      <c r="G103" s="38">
        <v>9.6247661239318756</v>
      </c>
      <c r="H103" s="22" t="s">
        <v>79</v>
      </c>
      <c r="I103" s="22" t="s">
        <v>19</v>
      </c>
      <c r="J103" s="59">
        <v>-0.60564073303305133</v>
      </c>
      <c r="K103" s="37">
        <v>-0.68963752435116776</v>
      </c>
      <c r="L103" s="18">
        <v>-0.68714949723250829</v>
      </c>
      <c r="M103" s="59">
        <f t="shared" si="6"/>
        <v>-8.3996791318116437E-2</v>
      </c>
      <c r="N103" s="37">
        <f t="shared" si="7"/>
        <v>2.4880271186594749E-3</v>
      </c>
      <c r="O103" s="37">
        <f t="shared" si="8"/>
        <v>-8.1508764199456962E-2</v>
      </c>
      <c r="P103" s="18">
        <f t="shared" si="9"/>
        <v>-0.22858896544321528</v>
      </c>
      <c r="Q103" s="22"/>
    </row>
    <row r="104" spans="1:17" x14ac:dyDescent="0.3">
      <c r="A104" s="22" t="s">
        <v>169</v>
      </c>
      <c r="B104" s="38">
        <v>8</v>
      </c>
      <c r="C104" s="78">
        <v>5.4005674798330574</v>
      </c>
      <c r="D104" s="78">
        <v>5.3453433353282893</v>
      </c>
      <c r="E104" s="78">
        <f t="shared" si="5"/>
        <v>-5.5224144504768091E-2</v>
      </c>
      <c r="F104" s="22">
        <v>0</v>
      </c>
      <c r="G104" s="38">
        <v>5.3453433353282893</v>
      </c>
      <c r="H104" s="22" t="s">
        <v>161</v>
      </c>
      <c r="I104" s="22" t="s">
        <v>19</v>
      </c>
      <c r="J104" s="59">
        <v>-0.91487111095630957</v>
      </c>
      <c r="K104" s="37">
        <v>-0.99579145942312552</v>
      </c>
      <c r="L104" s="18">
        <v>-0.98594530266232672</v>
      </c>
      <c r="M104" s="59">
        <f t="shared" si="6"/>
        <v>-8.092034846681595E-2</v>
      </c>
      <c r="N104" s="37">
        <f t="shared" si="7"/>
        <v>9.8461567607988076E-3</v>
      </c>
      <c r="O104" s="37">
        <f t="shared" si="8"/>
        <v>-7.1074191706017142E-2</v>
      </c>
      <c r="P104" s="18">
        <f t="shared" si="9"/>
        <v>-0.1993255094879656</v>
      </c>
      <c r="Q104" s="22"/>
    </row>
    <row r="105" spans="1:17" x14ac:dyDescent="0.3">
      <c r="A105" s="22" t="s">
        <v>170</v>
      </c>
      <c r="B105" s="38">
        <v>6.5</v>
      </c>
      <c r="C105" s="78">
        <v>8.7788643315705457</v>
      </c>
      <c r="D105" s="78">
        <v>8.5296627880589551</v>
      </c>
      <c r="E105" s="78">
        <f t="shared" si="5"/>
        <v>-0.24920154351159063</v>
      </c>
      <c r="F105" s="22">
        <v>0</v>
      </c>
      <c r="G105" s="38">
        <v>8.5296627880589551</v>
      </c>
      <c r="H105" s="22" t="s">
        <v>88</v>
      </c>
      <c r="I105" s="22" t="s">
        <v>19</v>
      </c>
      <c r="J105" s="59">
        <v>-0.59995870562441389</v>
      </c>
      <c r="K105" s="37">
        <v>-0.64224554642995146</v>
      </c>
      <c r="L105" s="18">
        <v>-0.72306557201115351</v>
      </c>
      <c r="M105" s="59">
        <f t="shared" si="6"/>
        <v>-4.2286840805537573E-2</v>
      </c>
      <c r="N105" s="37">
        <f t="shared" si="7"/>
        <v>-8.0820025581202048E-2</v>
      </c>
      <c r="O105" s="37">
        <f t="shared" si="8"/>
        <v>-0.12310686638673962</v>
      </c>
      <c r="P105" s="18">
        <f t="shared" si="9"/>
        <v>-0.34524963668248604</v>
      </c>
      <c r="Q105" s="22"/>
    </row>
    <row r="106" spans="1:17" x14ac:dyDescent="0.3">
      <c r="A106" s="22" t="s">
        <v>171</v>
      </c>
      <c r="B106" s="38">
        <v>7.3333333333333339</v>
      </c>
      <c r="C106" s="78">
        <v>8.0473402812419046</v>
      </c>
      <c r="D106" s="78">
        <v>7.7153034887911094</v>
      </c>
      <c r="E106" s="78">
        <f t="shared" si="5"/>
        <v>-0.3320367924507952</v>
      </c>
      <c r="F106" s="22">
        <v>0</v>
      </c>
      <c r="G106" s="38">
        <v>7.7153034887911094</v>
      </c>
      <c r="H106" s="22" t="s">
        <v>103</v>
      </c>
      <c r="I106" s="22" t="s">
        <v>19</v>
      </c>
      <c r="J106" s="59">
        <v>-0.90880407393723095</v>
      </c>
      <c r="K106" s="37">
        <v>-1.048128070510848</v>
      </c>
      <c r="L106" s="18">
        <v>-1.0688416137742991</v>
      </c>
      <c r="M106" s="59">
        <f t="shared" si="6"/>
        <v>-0.13932399657361705</v>
      </c>
      <c r="N106" s="37">
        <f t="shared" si="7"/>
        <v>-2.0713543263451095E-2</v>
      </c>
      <c r="O106" s="37">
        <f t="shared" si="8"/>
        <v>-0.16003753983706814</v>
      </c>
      <c r="P106" s="18">
        <f t="shared" si="9"/>
        <v>-0.44882063938440231</v>
      </c>
      <c r="Q106" s="22"/>
    </row>
    <row r="107" spans="1:17" x14ac:dyDescent="0.3">
      <c r="A107" s="22" t="s">
        <v>172</v>
      </c>
      <c r="B107" s="38">
        <v>6</v>
      </c>
      <c r="C107" s="78">
        <v>5.7220372098845713</v>
      </c>
      <c r="D107" s="78">
        <v>5.6441098589379939</v>
      </c>
      <c r="E107" s="78">
        <f t="shared" si="5"/>
        <v>-7.7927350946577434E-2</v>
      </c>
      <c r="F107" s="22">
        <v>0</v>
      </c>
      <c r="G107" s="38">
        <v>5.6441098589379939</v>
      </c>
      <c r="H107" s="22" t="s">
        <v>70</v>
      </c>
      <c r="I107" s="22" t="s">
        <v>19</v>
      </c>
      <c r="J107" s="59">
        <v>-1.1424149854240531</v>
      </c>
      <c r="K107" s="37">
        <v>-1.1532398008790281</v>
      </c>
      <c r="L107" s="18">
        <v>-1.216420447960433</v>
      </c>
      <c r="M107" s="59">
        <f t="shared" si="6"/>
        <v>-1.0824815454975045E-2</v>
      </c>
      <c r="N107" s="37">
        <f t="shared" si="7"/>
        <v>-6.3180647081404917E-2</v>
      </c>
      <c r="O107" s="37">
        <f t="shared" si="8"/>
        <v>-7.4005462536379962E-2</v>
      </c>
      <c r="P107" s="18">
        <f t="shared" si="9"/>
        <v>-0.20754617352486404</v>
      </c>
      <c r="Q107" s="22"/>
    </row>
    <row r="108" spans="1:17" x14ac:dyDescent="0.3">
      <c r="A108" s="22" t="s">
        <v>173</v>
      </c>
      <c r="B108" s="38">
        <v>2.3333333333333321</v>
      </c>
      <c r="C108" s="78">
        <v>4.6380300727768686</v>
      </c>
      <c r="D108" s="78">
        <v>4.2729014951330786</v>
      </c>
      <c r="E108" s="78">
        <f t="shared" si="5"/>
        <v>-0.36512857764379003</v>
      </c>
      <c r="F108" s="22">
        <v>1</v>
      </c>
      <c r="G108" s="38">
        <v>5.2729014951330786</v>
      </c>
      <c r="H108" s="22" t="s">
        <v>161</v>
      </c>
      <c r="I108" s="22" t="s">
        <v>141</v>
      </c>
      <c r="J108" s="59">
        <v>-0.54025388515847939</v>
      </c>
      <c r="K108" s="37">
        <v>-0.63347735309437148</v>
      </c>
      <c r="L108" s="18">
        <v>-0.64473473338414367</v>
      </c>
      <c r="M108" s="59">
        <f t="shared" si="6"/>
        <v>-9.322346793589209E-2</v>
      </c>
      <c r="N108" s="37">
        <f t="shared" si="7"/>
        <v>-1.125738028977219E-2</v>
      </c>
      <c r="O108" s="37">
        <f t="shared" si="8"/>
        <v>-0.10448084822566428</v>
      </c>
      <c r="P108" s="18">
        <f t="shared" si="9"/>
        <v>-0.29301350890427691</v>
      </c>
      <c r="Q108" s="22"/>
    </row>
    <row r="109" spans="1:17" x14ac:dyDescent="0.3">
      <c r="A109" s="22" t="s">
        <v>174</v>
      </c>
      <c r="B109" s="38">
        <v>9</v>
      </c>
      <c r="C109" s="78">
        <v>9.6564815304080813</v>
      </c>
      <c r="D109" s="78">
        <v>9.9773717685173935</v>
      </c>
      <c r="E109" s="78">
        <f t="shared" si="5"/>
        <v>0.32089023810931216</v>
      </c>
      <c r="F109" s="22">
        <v>0</v>
      </c>
      <c r="G109" s="38">
        <v>9.9773717685173935</v>
      </c>
      <c r="H109" s="22" t="s">
        <v>79</v>
      </c>
      <c r="I109" s="22" t="s">
        <v>19</v>
      </c>
      <c r="J109" s="59">
        <v>0.21952551960797481</v>
      </c>
      <c r="K109" s="37">
        <v>0.224520708908164</v>
      </c>
      <c r="L109" s="18">
        <v>0.28923167901328428</v>
      </c>
      <c r="M109" s="59">
        <f t="shared" si="6"/>
        <v>4.9951893001891901E-3</v>
      </c>
      <c r="N109" s="37">
        <f t="shared" si="7"/>
        <v>6.471097010512028E-2</v>
      </c>
      <c r="O109" s="37">
        <f t="shared" si="8"/>
        <v>6.970615940530947E-2</v>
      </c>
      <c r="P109" s="18">
        <f t="shared" si="9"/>
        <v>0.19548890257356766</v>
      </c>
      <c r="Q109" s="22"/>
    </row>
    <row r="110" spans="1:17" x14ac:dyDescent="0.3">
      <c r="A110" s="22" t="s">
        <v>175</v>
      </c>
      <c r="B110" s="38">
        <v>7.5</v>
      </c>
      <c r="C110" s="78">
        <v>9.3546484684740197</v>
      </c>
      <c r="D110" s="78">
        <v>9.0542487088138017</v>
      </c>
      <c r="E110" s="78">
        <f t="shared" si="5"/>
        <v>-0.30039975966021792</v>
      </c>
      <c r="F110" s="22">
        <v>-1</v>
      </c>
      <c r="G110" s="38">
        <v>8.0542487088138017</v>
      </c>
      <c r="H110" s="22" t="s">
        <v>103</v>
      </c>
      <c r="I110" s="22" t="s">
        <v>64</v>
      </c>
      <c r="J110" s="59">
        <v>-0.75256126528503453</v>
      </c>
      <c r="K110" s="37">
        <v>-0.85286557416501407</v>
      </c>
      <c r="L110" s="18">
        <v>-0.90492563228021483</v>
      </c>
      <c r="M110" s="59">
        <f t="shared" si="6"/>
        <v>-0.10030430887997954</v>
      </c>
      <c r="N110" s="37">
        <f t="shared" si="7"/>
        <v>-5.2060058115200758E-2</v>
      </c>
      <c r="O110" s="37">
        <f t="shared" si="8"/>
        <v>-0.1523643669951803</v>
      </c>
      <c r="P110" s="18">
        <f t="shared" si="9"/>
        <v>-0.42730144867134029</v>
      </c>
      <c r="Q110" s="22"/>
    </row>
    <row r="111" spans="1:17" x14ac:dyDescent="0.3">
      <c r="A111" s="22" t="s">
        <v>176</v>
      </c>
      <c r="B111" s="38">
        <v>10</v>
      </c>
      <c r="C111" s="78">
        <v>10.2773209776056</v>
      </c>
      <c r="D111" s="78">
        <v>10.3663825066666</v>
      </c>
      <c r="E111" s="78">
        <f t="shared" si="5"/>
        <v>8.90615290610004E-2</v>
      </c>
      <c r="F111" s="22">
        <v>-0.5</v>
      </c>
      <c r="G111" s="38">
        <v>9.8663825066666</v>
      </c>
      <c r="H111" s="22" t="s">
        <v>79</v>
      </c>
      <c r="I111" s="22" t="s">
        <v>62</v>
      </c>
      <c r="J111" s="59">
        <v>-0.36679642826878028</v>
      </c>
      <c r="K111" s="37">
        <v>-0.31182490930348938</v>
      </c>
      <c r="L111" s="18">
        <v>-0.35641012629586938</v>
      </c>
      <c r="M111" s="59">
        <f t="shared" si="6"/>
        <v>5.49715189652909E-2</v>
      </c>
      <c r="N111" s="37">
        <f t="shared" si="7"/>
        <v>-4.4585216992379995E-2</v>
      </c>
      <c r="O111" s="37">
        <f t="shared" si="8"/>
        <v>1.0386301972910905E-2</v>
      </c>
      <c r="P111" s="18">
        <f t="shared" si="9"/>
        <v>2.9128082680271419E-2</v>
      </c>
      <c r="Q111" s="22"/>
    </row>
    <row r="112" spans="1:17" x14ac:dyDescent="0.3">
      <c r="A112" s="22" t="s">
        <v>177</v>
      </c>
      <c r="B112" s="38">
        <v>12.66666666666667</v>
      </c>
      <c r="C112" s="78">
        <v>11.40201376168798</v>
      </c>
      <c r="D112" s="78">
        <v>12.16287101280259</v>
      </c>
      <c r="E112" s="78">
        <f t="shared" si="5"/>
        <v>0.76085725111460967</v>
      </c>
      <c r="F112" s="22">
        <v>0.25</v>
      </c>
      <c r="G112" s="38">
        <v>12.41287101280259</v>
      </c>
      <c r="H112" s="22" t="s">
        <v>68</v>
      </c>
      <c r="I112" s="22" t="s">
        <v>62</v>
      </c>
      <c r="J112" s="59">
        <v>-0.91734470554847292</v>
      </c>
      <c r="K112" s="37">
        <v>-0.76790139875219376</v>
      </c>
      <c r="L112" s="18">
        <v>-0.6529411938433779</v>
      </c>
      <c r="M112" s="59">
        <f t="shared" si="6"/>
        <v>0.14944330679627915</v>
      </c>
      <c r="N112" s="37">
        <f t="shared" si="7"/>
        <v>0.11496020490881587</v>
      </c>
      <c r="O112" s="37">
        <f t="shared" si="8"/>
        <v>0.26440351170509502</v>
      </c>
      <c r="P112" s="18">
        <f t="shared" si="9"/>
        <v>0.74151198087509951</v>
      </c>
      <c r="Q112" s="22"/>
    </row>
    <row r="113" spans="1:17" x14ac:dyDescent="0.3">
      <c r="A113" s="22" t="s">
        <v>178</v>
      </c>
      <c r="B113" s="38">
        <v>1.3333333333333319</v>
      </c>
      <c r="C113" s="78">
        <v>5.5856813390628757</v>
      </c>
      <c r="D113" s="78">
        <v>5.8715070345175384</v>
      </c>
      <c r="E113" s="78">
        <f t="shared" si="5"/>
        <v>0.28582569545466274</v>
      </c>
      <c r="F113" s="22">
        <v>-5</v>
      </c>
      <c r="G113" s="38">
        <v>1</v>
      </c>
      <c r="H113" s="22" t="s">
        <v>98</v>
      </c>
      <c r="I113" s="22" t="s">
        <v>19</v>
      </c>
      <c r="J113" s="59">
        <v>-1.4243252031436211</v>
      </c>
      <c r="K113" s="37">
        <v>-1.231167697932352</v>
      </c>
      <c r="L113" s="18">
        <v>-1.2627364586747241</v>
      </c>
      <c r="M113" s="59">
        <f t="shared" si="6"/>
        <v>0.19315750521126906</v>
      </c>
      <c r="N113" s="37">
        <f t="shared" si="7"/>
        <v>-3.1568760742372026E-2</v>
      </c>
      <c r="O113" s="37">
        <f t="shared" si="8"/>
        <v>0.16158874446889704</v>
      </c>
      <c r="P113" s="18">
        <f t="shared" si="9"/>
        <v>0.45317094778943212</v>
      </c>
      <c r="Q113" s="22"/>
    </row>
    <row r="114" spans="1:17" x14ac:dyDescent="0.3">
      <c r="A114" s="22" t="s">
        <v>179</v>
      </c>
      <c r="B114" s="38">
        <v>10.5</v>
      </c>
      <c r="C114" s="78">
        <v>11.53758713341805</v>
      </c>
      <c r="D114" s="78">
        <v>11.319079176860379</v>
      </c>
      <c r="E114" s="78">
        <f t="shared" si="5"/>
        <v>-0.21850795655767108</v>
      </c>
      <c r="F114" s="22">
        <v>0</v>
      </c>
      <c r="G114" s="38">
        <v>11.319079176860379</v>
      </c>
      <c r="H114" s="22" t="s">
        <v>60</v>
      </c>
      <c r="I114" s="22" t="s">
        <v>19</v>
      </c>
      <c r="J114" s="59">
        <v>-0.1168537978577479</v>
      </c>
      <c r="K114" s="37">
        <v>-0.22997327389647421</v>
      </c>
      <c r="L114" s="18">
        <v>-0.1953405610167869</v>
      </c>
      <c r="M114" s="59">
        <f t="shared" si="6"/>
        <v>-0.11311947603872631</v>
      </c>
      <c r="N114" s="37">
        <f t="shared" si="7"/>
        <v>3.4632712879687305E-2</v>
      </c>
      <c r="O114" s="37">
        <f t="shared" si="8"/>
        <v>-7.8486763159039005E-2</v>
      </c>
      <c r="P114" s="18">
        <f t="shared" si="9"/>
        <v>-0.22011385116339327</v>
      </c>
      <c r="Q114" s="22"/>
    </row>
    <row r="115" spans="1:17" x14ac:dyDescent="0.3">
      <c r="A115" s="22" t="s">
        <v>180</v>
      </c>
      <c r="B115" s="38">
        <v>11</v>
      </c>
      <c r="C115" s="78">
        <v>12.87926011425542</v>
      </c>
      <c r="D115" s="78">
        <v>12.04764313126036</v>
      </c>
      <c r="E115" s="78">
        <f t="shared" si="5"/>
        <v>-0.83161698299505993</v>
      </c>
      <c r="F115" s="22">
        <v>-2.5</v>
      </c>
      <c r="G115" s="38">
        <v>9.5476431312603598</v>
      </c>
      <c r="H115" s="22" t="s">
        <v>79</v>
      </c>
      <c r="I115" s="22" t="s">
        <v>62</v>
      </c>
      <c r="J115" s="59">
        <v>0.22454074809157101</v>
      </c>
      <c r="K115" s="37">
        <v>0.1755201940376224</v>
      </c>
      <c r="L115" s="18">
        <v>-5.5431399237018321E-2</v>
      </c>
      <c r="M115" s="59">
        <f t="shared" si="6"/>
        <v>-4.9020554053948617E-2</v>
      </c>
      <c r="N115" s="37">
        <f t="shared" si="7"/>
        <v>-0.23095159327464071</v>
      </c>
      <c r="O115" s="37">
        <f t="shared" si="8"/>
        <v>-0.27997214732858933</v>
      </c>
      <c r="P115" s="18">
        <f t="shared" si="9"/>
        <v>-0.78517376799075622</v>
      </c>
      <c r="Q115" s="22"/>
    </row>
    <row r="116" spans="1:17" x14ac:dyDescent="0.3">
      <c r="A116" s="22" t="s">
        <v>181</v>
      </c>
      <c r="B116" s="38">
        <v>14</v>
      </c>
      <c r="C116" s="78">
        <v>12.550402999135629</v>
      </c>
      <c r="D116" s="78">
        <v>12.715782326146851</v>
      </c>
      <c r="E116" s="78">
        <f t="shared" si="5"/>
        <v>0.16537932701122138</v>
      </c>
      <c r="F116" s="22">
        <v>0</v>
      </c>
      <c r="G116" s="38">
        <v>12.715782326146851</v>
      </c>
      <c r="H116" s="22" t="s">
        <v>51</v>
      </c>
      <c r="I116" s="22" t="s">
        <v>62</v>
      </c>
      <c r="J116" s="59">
        <v>-0.50482170754104416</v>
      </c>
      <c r="K116" s="37">
        <v>-0.46310687154881208</v>
      </c>
      <c r="L116" s="18">
        <v>-0.43787579034347951</v>
      </c>
      <c r="M116" s="59">
        <f t="shared" si="6"/>
        <v>4.171483599223208E-2</v>
      </c>
      <c r="N116" s="37">
        <f t="shared" si="7"/>
        <v>2.5231081205332573E-2</v>
      </c>
      <c r="O116" s="37">
        <f t="shared" si="8"/>
        <v>6.6945917197564653E-2</v>
      </c>
      <c r="P116" s="18">
        <f t="shared" si="9"/>
        <v>0.18774788334897133</v>
      </c>
      <c r="Q116" s="22"/>
    </row>
    <row r="117" spans="1:17" x14ac:dyDescent="0.3">
      <c r="A117" s="22" t="s">
        <v>182</v>
      </c>
      <c r="B117" s="38">
        <v>8</v>
      </c>
      <c r="C117" s="78">
        <v>7.4012372582013839</v>
      </c>
      <c r="D117" s="78">
        <v>7.5594631779059611</v>
      </c>
      <c r="E117" s="78">
        <f t="shared" si="5"/>
        <v>0.15822591970457722</v>
      </c>
      <c r="F117" s="22">
        <v>0.75</v>
      </c>
      <c r="G117" s="38">
        <v>8.3094631779059611</v>
      </c>
      <c r="H117" s="22" t="s">
        <v>103</v>
      </c>
      <c r="I117" s="22" t="s">
        <v>62</v>
      </c>
      <c r="J117" s="59">
        <v>-1.109184419724506</v>
      </c>
      <c r="K117" s="37">
        <v>-1.096605694726952</v>
      </c>
      <c r="L117" s="18">
        <v>-1.0661262127136859</v>
      </c>
      <c r="M117" s="59">
        <f t="shared" si="6"/>
        <v>1.2578724997553969E-2</v>
      </c>
      <c r="N117" s="37">
        <f t="shared" si="7"/>
        <v>3.0479482013266113E-2</v>
      </c>
      <c r="O117" s="37">
        <f t="shared" si="8"/>
        <v>4.3058207010820082E-2</v>
      </c>
      <c r="P117" s="18">
        <f t="shared" si="9"/>
        <v>0.1207554928738416</v>
      </c>
      <c r="Q117" s="22"/>
    </row>
    <row r="118" spans="1:17" x14ac:dyDescent="0.3">
      <c r="A118" s="22" t="s">
        <v>183</v>
      </c>
      <c r="B118" s="38">
        <v>15</v>
      </c>
      <c r="C118" s="78">
        <v>14.304037895362701</v>
      </c>
      <c r="D118" s="78">
        <v>13.846668237620211</v>
      </c>
      <c r="E118" s="78">
        <f t="shared" si="5"/>
        <v>-0.45736965774248972</v>
      </c>
      <c r="F118" s="22">
        <v>0</v>
      </c>
      <c r="G118" s="38">
        <v>13.846668237620211</v>
      </c>
      <c r="H118" s="22" t="s">
        <v>95</v>
      </c>
      <c r="I118" s="22" t="s">
        <v>19</v>
      </c>
      <c r="J118" s="59">
        <v>2.339299940028506E-2</v>
      </c>
      <c r="K118" s="37">
        <v>-2.186087502574691E-2</v>
      </c>
      <c r="L118" s="18">
        <v>-0.12611632693369881</v>
      </c>
      <c r="M118" s="59">
        <f t="shared" si="6"/>
        <v>-4.5253874426031973E-2</v>
      </c>
      <c r="N118" s="37">
        <f t="shared" si="7"/>
        <v>-0.10425545190795191</v>
      </c>
      <c r="O118" s="37">
        <f t="shared" si="8"/>
        <v>-0.14950932633398389</v>
      </c>
      <c r="P118" s="18">
        <f t="shared" si="9"/>
        <v>-0.41929456993319414</v>
      </c>
      <c r="Q118" s="22"/>
    </row>
    <row r="119" spans="1:17" x14ac:dyDescent="0.3">
      <c r="A119" s="22" t="s">
        <v>184</v>
      </c>
      <c r="B119" s="38">
        <v>8.6666666666666661</v>
      </c>
      <c r="C119" s="78">
        <v>8.3976987163925507</v>
      </c>
      <c r="D119" s="78">
        <v>8.64338754619002</v>
      </c>
      <c r="E119" s="78">
        <f t="shared" si="5"/>
        <v>0.24568882979746931</v>
      </c>
      <c r="F119" s="22">
        <v>0</v>
      </c>
      <c r="G119" s="38">
        <v>8.64338754619002</v>
      </c>
      <c r="H119" s="22" t="s">
        <v>88</v>
      </c>
      <c r="I119" s="22" t="s">
        <v>19</v>
      </c>
      <c r="J119" s="59">
        <v>-0.35643797080639972</v>
      </c>
      <c r="K119" s="37">
        <v>-0.29262318128874409</v>
      </c>
      <c r="L119" s="18">
        <v>-0.24605592577884591</v>
      </c>
      <c r="M119" s="59">
        <f t="shared" si="6"/>
        <v>6.3814789517655623E-2</v>
      </c>
      <c r="N119" s="37">
        <f t="shared" si="7"/>
        <v>4.6567255509898181E-2</v>
      </c>
      <c r="O119" s="37">
        <f t="shared" si="8"/>
        <v>0.1103820450275538</v>
      </c>
      <c r="P119" s="18">
        <f t="shared" si="9"/>
        <v>0.30956324420046882</v>
      </c>
      <c r="Q119" s="22"/>
    </row>
    <row r="120" spans="1:17" x14ac:dyDescent="0.3">
      <c r="A120" s="22" t="s">
        <v>185</v>
      </c>
      <c r="B120" s="38">
        <v>1</v>
      </c>
      <c r="C120" s="78">
        <v>10.07065074256486</v>
      </c>
      <c r="D120" s="78">
        <v>10.235816408782959</v>
      </c>
      <c r="E120" s="78">
        <f t="shared" si="5"/>
        <v>0.16516566621809936</v>
      </c>
      <c r="F120" s="22">
        <v>0</v>
      </c>
      <c r="G120" s="38">
        <v>10.235816408782959</v>
      </c>
      <c r="H120" s="22" t="s">
        <v>79</v>
      </c>
      <c r="I120" s="22" t="s">
        <v>62</v>
      </c>
      <c r="J120" s="59">
        <v>-1.388916403165547</v>
      </c>
      <c r="K120" s="37">
        <v>-1.146924369188036</v>
      </c>
      <c r="L120" s="18">
        <v>-1.255673173217448</v>
      </c>
      <c r="M120" s="59">
        <f t="shared" si="6"/>
        <v>0.24199203397751101</v>
      </c>
      <c r="N120" s="37">
        <f t="shared" si="7"/>
        <v>-0.10874880402941201</v>
      </c>
      <c r="O120" s="37">
        <f t="shared" si="8"/>
        <v>0.13324322994809901</v>
      </c>
      <c r="P120" s="18">
        <f t="shared" si="9"/>
        <v>0.37367677433577517</v>
      </c>
      <c r="Q120" s="22"/>
    </row>
    <row r="121" spans="1:17" x14ac:dyDescent="0.3">
      <c r="A121" s="22" t="s">
        <v>186</v>
      </c>
      <c r="B121" s="38">
        <v>17.666666666666671</v>
      </c>
      <c r="C121" s="78">
        <v>15.0447938810313</v>
      </c>
      <c r="D121" s="78">
        <v>15.248317184767039</v>
      </c>
      <c r="E121" s="78">
        <f t="shared" si="5"/>
        <v>0.20352330373573935</v>
      </c>
      <c r="F121" s="22">
        <v>0.5</v>
      </c>
      <c r="G121" s="38">
        <v>15.748317184767039</v>
      </c>
      <c r="H121" s="22" t="s">
        <v>55</v>
      </c>
      <c r="I121" s="22" t="s">
        <v>47</v>
      </c>
      <c r="J121" s="59">
        <v>-0.50913252904264905</v>
      </c>
      <c r="K121" s="37">
        <v>-0.47240228831447761</v>
      </c>
      <c r="L121" s="18">
        <v>-0.45403336834557823</v>
      </c>
      <c r="M121" s="59">
        <f t="shared" si="6"/>
        <v>3.6730240728171437E-2</v>
      </c>
      <c r="N121" s="37">
        <f t="shared" si="7"/>
        <v>1.8368919968899389E-2</v>
      </c>
      <c r="O121" s="37">
        <f t="shared" si="8"/>
        <v>5.5099160697070826E-2</v>
      </c>
      <c r="P121" s="18">
        <f t="shared" si="9"/>
        <v>0.15452399829927491</v>
      </c>
      <c r="Q121" s="22"/>
    </row>
    <row r="122" spans="1:17" x14ac:dyDescent="0.3">
      <c r="A122" s="22" t="s">
        <v>187</v>
      </c>
      <c r="B122" s="38">
        <v>1.6666666666666681</v>
      </c>
      <c r="C122" s="78">
        <v>5.5013306572745</v>
      </c>
      <c r="D122" s="78">
        <v>5.8593883299417904</v>
      </c>
      <c r="E122" s="78">
        <f t="shared" si="5"/>
        <v>0.35805767266729038</v>
      </c>
      <c r="F122" s="22">
        <v>-4</v>
      </c>
      <c r="G122" s="38">
        <v>1.8593883299417899</v>
      </c>
      <c r="H122" s="22" t="s">
        <v>159</v>
      </c>
      <c r="I122" s="22" t="s">
        <v>62</v>
      </c>
      <c r="J122" s="59">
        <v>-0.87473532448470082</v>
      </c>
      <c r="K122" s="37">
        <v>-0.75563994968063353</v>
      </c>
      <c r="L122" s="18">
        <v>-0.71189105767305083</v>
      </c>
      <c r="M122" s="59">
        <f t="shared" si="6"/>
        <v>0.11909537480406729</v>
      </c>
      <c r="N122" s="37">
        <f t="shared" si="7"/>
        <v>4.3748892007582696E-2</v>
      </c>
      <c r="O122" s="37">
        <f t="shared" si="8"/>
        <v>0.16284426681164998</v>
      </c>
      <c r="P122" s="18">
        <f t="shared" si="9"/>
        <v>0.45669202378953483</v>
      </c>
      <c r="Q122" s="22"/>
    </row>
    <row r="123" spans="1:17" x14ac:dyDescent="0.3">
      <c r="A123" s="22" t="s">
        <v>188</v>
      </c>
      <c r="B123" s="38">
        <v>10.33333333333333</v>
      </c>
      <c r="C123" s="78">
        <v>10.27946329780444</v>
      </c>
      <c r="D123" s="78">
        <v>10.68780774659948</v>
      </c>
      <c r="E123" s="78">
        <f t="shared" si="5"/>
        <v>0.40834444879503984</v>
      </c>
      <c r="F123" s="22">
        <v>1.25</v>
      </c>
      <c r="G123" s="38">
        <v>11.93780774659948</v>
      </c>
      <c r="H123" s="22" t="s">
        <v>68</v>
      </c>
      <c r="I123" s="22" t="s">
        <v>62</v>
      </c>
      <c r="J123" s="59">
        <v>-0.90092759037342329</v>
      </c>
      <c r="K123" s="37">
        <v>-0.84846691556750675</v>
      </c>
      <c r="L123" s="18">
        <v>-0.75915488088552474</v>
      </c>
      <c r="M123" s="59">
        <f t="shared" si="6"/>
        <v>5.2460674805916541E-2</v>
      </c>
      <c r="N123" s="37">
        <f t="shared" si="7"/>
        <v>8.9312034681982011E-2</v>
      </c>
      <c r="O123" s="37">
        <f t="shared" si="8"/>
        <v>0.14177270948789855</v>
      </c>
      <c r="P123" s="18">
        <f t="shared" si="9"/>
        <v>0.3975974523502363</v>
      </c>
      <c r="Q123" s="22"/>
    </row>
    <row r="124" spans="1:17" x14ac:dyDescent="0.3">
      <c r="A124" s="22" t="s">
        <v>189</v>
      </c>
      <c r="B124" s="38">
        <v>19</v>
      </c>
      <c r="C124" s="78">
        <v>17.976321369146479</v>
      </c>
      <c r="D124" s="78">
        <v>18.014490641192769</v>
      </c>
      <c r="E124" s="78">
        <f t="shared" si="5"/>
        <v>3.8169272046289393E-2</v>
      </c>
      <c r="F124" s="22">
        <v>0.3</v>
      </c>
      <c r="G124" s="38">
        <v>18.314490641192769</v>
      </c>
      <c r="H124" s="22" t="s">
        <v>21</v>
      </c>
      <c r="I124" s="22" t="s">
        <v>106</v>
      </c>
      <c r="J124" s="59">
        <v>1.0041125160644451</v>
      </c>
      <c r="K124" s="37">
        <v>1.0559556610117711</v>
      </c>
      <c r="L124" s="18">
        <v>1.06573356720766</v>
      </c>
      <c r="M124" s="59">
        <f t="shared" si="6"/>
        <v>5.1843144947326003E-2</v>
      </c>
      <c r="N124" s="37">
        <f t="shared" si="7"/>
        <v>9.7779061958889191E-3</v>
      </c>
      <c r="O124" s="37">
        <f t="shared" si="8"/>
        <v>6.1621051143214922E-2</v>
      </c>
      <c r="P124" s="18">
        <f t="shared" si="9"/>
        <v>0.17281445092066308</v>
      </c>
      <c r="Q124" s="22"/>
    </row>
    <row r="125" spans="1:17" x14ac:dyDescent="0.3">
      <c r="A125" s="22" t="s">
        <v>190</v>
      </c>
      <c r="B125" s="38">
        <v>16.666666666666671</v>
      </c>
      <c r="C125" s="78">
        <v>15.40301434197894</v>
      </c>
      <c r="D125" s="78">
        <v>15.55796335099383</v>
      </c>
      <c r="E125" s="78">
        <f t="shared" si="5"/>
        <v>0.15494900901489039</v>
      </c>
      <c r="F125" s="22">
        <v>0</v>
      </c>
      <c r="G125" s="38">
        <v>15.55796335099383</v>
      </c>
      <c r="H125" s="22" t="s">
        <v>55</v>
      </c>
      <c r="I125" s="22" t="s">
        <v>19</v>
      </c>
      <c r="J125" s="59">
        <v>0.41983457720903089</v>
      </c>
      <c r="K125" s="37">
        <v>0.48384423611705751</v>
      </c>
      <c r="L125" s="18">
        <v>0.42893900591012862</v>
      </c>
      <c r="M125" s="59">
        <f t="shared" si="6"/>
        <v>6.4009658908026623E-2</v>
      </c>
      <c r="N125" s="37">
        <f t="shared" si="7"/>
        <v>-5.490523020692889E-2</v>
      </c>
      <c r="O125" s="37">
        <f t="shared" si="8"/>
        <v>9.1044287010977332E-3</v>
      </c>
      <c r="P125" s="18">
        <f t="shared" si="9"/>
        <v>2.5533106263796259E-2</v>
      </c>
      <c r="Q125" s="22"/>
    </row>
    <row r="126" spans="1:17" x14ac:dyDescent="0.3">
      <c r="A126" s="22" t="s">
        <v>191</v>
      </c>
      <c r="B126" s="38">
        <v>18</v>
      </c>
      <c r="C126" s="78">
        <v>17.76304365992409</v>
      </c>
      <c r="D126" s="78">
        <v>17.92323850894098</v>
      </c>
      <c r="E126" s="78">
        <f t="shared" si="5"/>
        <v>0.16019484901688941</v>
      </c>
      <c r="F126" s="22">
        <v>0</v>
      </c>
      <c r="G126" s="38">
        <v>17.92323850894098</v>
      </c>
      <c r="H126" s="22" t="s">
        <v>21</v>
      </c>
      <c r="I126" s="22" t="s">
        <v>19</v>
      </c>
      <c r="J126" s="59">
        <v>1.2027450223554641</v>
      </c>
      <c r="K126" s="37">
        <v>1.305177017346314</v>
      </c>
      <c r="L126" s="18">
        <v>1.27390741601152</v>
      </c>
      <c r="M126" s="59">
        <f t="shared" si="6"/>
        <v>0.10243199499084987</v>
      </c>
      <c r="N126" s="37">
        <f t="shared" si="7"/>
        <v>-3.1269601334793951E-2</v>
      </c>
      <c r="O126" s="37">
        <f t="shared" si="8"/>
        <v>7.1162393656055922E-2</v>
      </c>
      <c r="P126" s="18">
        <f t="shared" si="9"/>
        <v>0.19957286929899282</v>
      </c>
      <c r="Q126" s="22"/>
    </row>
    <row r="127" spans="1:17" x14ac:dyDescent="0.3">
      <c r="A127" s="22" t="s">
        <v>192</v>
      </c>
      <c r="B127" s="38">
        <v>16.333333333333329</v>
      </c>
      <c r="C127" s="78">
        <v>15.91557371637268</v>
      </c>
      <c r="D127" s="78">
        <v>16.069848335802298</v>
      </c>
      <c r="E127" s="78">
        <f t="shared" si="5"/>
        <v>0.15427461942961784</v>
      </c>
      <c r="F127" s="22">
        <v>0</v>
      </c>
      <c r="G127" s="38">
        <v>16.069848335802298</v>
      </c>
      <c r="H127" s="22" t="s">
        <v>55</v>
      </c>
      <c r="I127" s="22" t="s">
        <v>19</v>
      </c>
      <c r="J127" s="59">
        <v>0.78047194563047695</v>
      </c>
      <c r="K127" s="37">
        <v>0.81863645970255738</v>
      </c>
      <c r="L127" s="18">
        <v>0.82895661623325612</v>
      </c>
      <c r="M127" s="59">
        <f t="shared" si="6"/>
        <v>3.8164514072080435E-2</v>
      </c>
      <c r="N127" s="37">
        <f t="shared" si="7"/>
        <v>1.0320156530698732E-2</v>
      </c>
      <c r="O127" s="37">
        <f t="shared" si="8"/>
        <v>4.8484670602779167E-2</v>
      </c>
      <c r="P127" s="18">
        <f t="shared" si="9"/>
        <v>0.13597385265004669</v>
      </c>
      <c r="Q127" s="22"/>
    </row>
    <row r="128" spans="1:17" x14ac:dyDescent="0.3">
      <c r="A128" s="22" t="s">
        <v>193</v>
      </c>
      <c r="B128" s="38">
        <v>12</v>
      </c>
      <c r="C128" s="78">
        <v>12.58638708443425</v>
      </c>
      <c r="D128" s="78">
        <v>12.14113772485592</v>
      </c>
      <c r="E128" s="78">
        <f t="shared" si="5"/>
        <v>-0.44524935957833023</v>
      </c>
      <c r="F128" s="22">
        <v>0.8</v>
      </c>
      <c r="G128" s="38">
        <v>12.941137724855921</v>
      </c>
      <c r="H128" s="22" t="s">
        <v>51</v>
      </c>
      <c r="I128" s="22" t="s">
        <v>19</v>
      </c>
      <c r="J128" s="59">
        <v>-0.25813171335263457</v>
      </c>
      <c r="K128" s="37">
        <v>-0.32282667720947772</v>
      </c>
      <c r="L128" s="18">
        <v>-0.4051545908232963</v>
      </c>
      <c r="M128" s="59">
        <f t="shared" si="6"/>
        <v>-6.4694963856843146E-2</v>
      </c>
      <c r="N128" s="37">
        <f t="shared" si="7"/>
        <v>-8.2327913613818582E-2</v>
      </c>
      <c r="O128" s="37">
        <f t="shared" si="8"/>
        <v>-0.14702287747066173</v>
      </c>
      <c r="P128" s="18">
        <f t="shared" si="9"/>
        <v>-0.41232139620302416</v>
      </c>
      <c r="Q128" s="22"/>
    </row>
    <row r="129" spans="1:17" x14ac:dyDescent="0.3">
      <c r="A129" s="22" t="s">
        <v>194</v>
      </c>
      <c r="B129" s="38">
        <v>9.5</v>
      </c>
      <c r="C129" s="78">
        <v>10.06873711371928</v>
      </c>
      <c r="D129" s="78">
        <v>10.27912439278054</v>
      </c>
      <c r="E129" s="78">
        <f t="shared" si="5"/>
        <v>0.2103872790612602</v>
      </c>
      <c r="F129" s="22">
        <v>0</v>
      </c>
      <c r="G129" s="38">
        <v>10.27912439278054</v>
      </c>
      <c r="H129" s="22" t="s">
        <v>79</v>
      </c>
      <c r="I129" s="22" t="s">
        <v>19</v>
      </c>
      <c r="J129" s="59">
        <v>-5.1253202509714268E-3</v>
      </c>
      <c r="K129" s="37">
        <v>3.7814605261496238E-3</v>
      </c>
      <c r="L129" s="18">
        <v>6.4412432872126654E-2</v>
      </c>
      <c r="M129" s="59">
        <f t="shared" si="6"/>
        <v>8.9067807771210511E-3</v>
      </c>
      <c r="N129" s="37">
        <f t="shared" si="7"/>
        <v>6.063097234597703E-2</v>
      </c>
      <c r="O129" s="37">
        <f t="shared" si="8"/>
        <v>6.9537753123098081E-2</v>
      </c>
      <c r="P129" s="18">
        <f t="shared" si="9"/>
        <v>0.19501661203888798</v>
      </c>
      <c r="Q129" s="22"/>
    </row>
    <row r="130" spans="1:17" x14ac:dyDescent="0.3">
      <c r="A130" s="22" t="s">
        <v>195</v>
      </c>
      <c r="B130" s="38">
        <v>13.66666666666667</v>
      </c>
      <c r="C130" s="78">
        <v>13.989725721157111</v>
      </c>
      <c r="D130" s="78">
        <v>13.553636410211571</v>
      </c>
      <c r="E130" s="78">
        <f t="shared" ref="E130:E138" si="10">D130-C130</f>
        <v>-0.43608931094554038</v>
      </c>
      <c r="F130" s="22">
        <v>-1.2</v>
      </c>
      <c r="G130" s="38">
        <v>12.353636410211569</v>
      </c>
      <c r="H130" s="22" t="s">
        <v>68</v>
      </c>
      <c r="I130" s="22" t="s">
        <v>106</v>
      </c>
      <c r="J130" s="59">
        <v>0.2404878941689394</v>
      </c>
      <c r="K130" s="37">
        <v>0.1163972963961836</v>
      </c>
      <c r="L130" s="18">
        <v>9.370813935347988E-2</v>
      </c>
      <c r="M130" s="59">
        <f t="shared" ref="M130:M138" si="11">K130-J130</f>
        <v>-0.1240905977727558</v>
      </c>
      <c r="N130" s="37">
        <f t="shared" ref="N130:N138" si="12">L130-K130</f>
        <v>-2.2689157042703717E-2</v>
      </c>
      <c r="O130" s="37">
        <f t="shared" ref="O130:O138" si="13">M130+N130</f>
        <v>-0.14677975481545952</v>
      </c>
      <c r="P130" s="18">
        <f t="shared" si="9"/>
        <v>-0.41163956576706656</v>
      </c>
      <c r="Q130" s="22"/>
    </row>
    <row r="131" spans="1:17" x14ac:dyDescent="0.3">
      <c r="A131" s="22" t="s">
        <v>196</v>
      </c>
      <c r="B131" s="38">
        <v>17</v>
      </c>
      <c r="C131" s="78">
        <v>17.47799276687531</v>
      </c>
      <c r="D131" s="78">
        <v>17.851103442029391</v>
      </c>
      <c r="E131" s="78">
        <f t="shared" si="10"/>
        <v>0.3731106751540807</v>
      </c>
      <c r="F131" s="22">
        <v>0</v>
      </c>
      <c r="G131" s="38">
        <v>17.851103442029391</v>
      </c>
      <c r="H131" s="22" t="s">
        <v>21</v>
      </c>
      <c r="I131" s="22" t="s">
        <v>19</v>
      </c>
      <c r="J131" s="59">
        <v>0.97734612211631788</v>
      </c>
      <c r="K131" s="37">
        <v>1.02000624741304</v>
      </c>
      <c r="L131" s="18">
        <v>1.113407244433853</v>
      </c>
      <c r="M131" s="59">
        <f t="shared" si="11"/>
        <v>4.266012529672214E-2</v>
      </c>
      <c r="N131" s="37">
        <f t="shared" si="12"/>
        <v>9.3400997020812948E-2</v>
      </c>
      <c r="O131" s="37">
        <f t="shared" si="13"/>
        <v>0.13606112231753509</v>
      </c>
      <c r="P131" s="18">
        <f t="shared" ref="P131:P138" si="14">O131*2.804471</f>
        <v>0.38157947176697993</v>
      </c>
      <c r="Q131" s="22"/>
    </row>
    <row r="132" spans="1:17" x14ac:dyDescent="0.3">
      <c r="A132" s="22" t="s">
        <v>197</v>
      </c>
      <c r="B132" s="38">
        <v>8.6666666666666661</v>
      </c>
      <c r="C132" s="78">
        <v>10.406829779554879</v>
      </c>
      <c r="D132" s="78">
        <v>10.320189919901621</v>
      </c>
      <c r="E132" s="78">
        <f t="shared" si="10"/>
        <v>-8.6639859653258711E-2</v>
      </c>
      <c r="F132" s="22">
        <v>0</v>
      </c>
      <c r="G132" s="38">
        <v>10.320189919901621</v>
      </c>
      <c r="H132" s="22" t="s">
        <v>79</v>
      </c>
      <c r="I132" s="22" t="s">
        <v>47</v>
      </c>
      <c r="J132" s="59">
        <v>-0.25165194290492171</v>
      </c>
      <c r="K132" s="37">
        <v>-0.2415269742769858</v>
      </c>
      <c r="L132" s="18">
        <v>-0.27035592298016498</v>
      </c>
      <c r="M132" s="59">
        <f t="shared" si="11"/>
        <v>1.012496862793591E-2</v>
      </c>
      <c r="N132" s="37">
        <f t="shared" si="12"/>
        <v>-2.8828948703179175E-2</v>
      </c>
      <c r="O132" s="37">
        <f t="shared" si="13"/>
        <v>-1.8703980075243265E-2</v>
      </c>
      <c r="P132" s="18">
        <f t="shared" si="14"/>
        <v>-5.2454769705597551E-2</v>
      </c>
      <c r="Q132" s="22"/>
    </row>
    <row r="133" spans="1:17" x14ac:dyDescent="0.3">
      <c r="A133" s="22" t="s">
        <v>198</v>
      </c>
      <c r="B133" s="38">
        <v>16</v>
      </c>
      <c r="C133" s="78">
        <v>15.41974223395335</v>
      </c>
      <c r="D133" s="78">
        <v>15.24754330107473</v>
      </c>
      <c r="E133" s="78">
        <f t="shared" si="10"/>
        <v>-0.17219893287862043</v>
      </c>
      <c r="F133" s="22">
        <v>0</v>
      </c>
      <c r="G133" s="38">
        <v>15.24754330107473</v>
      </c>
      <c r="H133" s="22" t="s">
        <v>111</v>
      </c>
      <c r="I133" s="22" t="s">
        <v>19</v>
      </c>
      <c r="J133" s="59">
        <v>0.39693460344919002</v>
      </c>
      <c r="K133" s="37">
        <v>0.38503727485722161</v>
      </c>
      <c r="L133" s="18">
        <v>0.32759175060593598</v>
      </c>
      <c r="M133" s="59">
        <f t="shared" si="11"/>
        <v>-1.1897328591968404E-2</v>
      </c>
      <c r="N133" s="37">
        <f t="shared" si="12"/>
        <v>-5.7445524251285629E-2</v>
      </c>
      <c r="O133" s="37">
        <f t="shared" si="13"/>
        <v>-6.9342852843254033E-2</v>
      </c>
      <c r="P133" s="18">
        <f t="shared" si="14"/>
        <v>-0.19447001985617349</v>
      </c>
      <c r="Q133" s="22"/>
    </row>
    <row r="134" spans="1:17" x14ac:dyDescent="0.3">
      <c r="A134" s="22" t="s">
        <v>199</v>
      </c>
      <c r="B134" s="38">
        <v>18</v>
      </c>
      <c r="C134" s="78">
        <v>15.988456749575921</v>
      </c>
      <c r="D134" s="78">
        <v>15.920367655745689</v>
      </c>
      <c r="E134" s="78">
        <f t="shared" si="10"/>
        <v>-6.8089093830231207E-2</v>
      </c>
      <c r="F134" s="22">
        <v>0</v>
      </c>
      <c r="G134" s="38">
        <v>15.920367655745689</v>
      </c>
      <c r="H134" s="22" t="s">
        <v>55</v>
      </c>
      <c r="I134" s="22" t="s">
        <v>19</v>
      </c>
      <c r="J134" s="59">
        <v>0.83550330020022046</v>
      </c>
      <c r="K134" s="37">
        <v>0.83308672927879235</v>
      </c>
      <c r="L134" s="18">
        <v>0.7979272403522919</v>
      </c>
      <c r="M134" s="59">
        <f t="shared" si="11"/>
        <v>-2.4165709214281073E-3</v>
      </c>
      <c r="N134" s="37">
        <f t="shared" si="12"/>
        <v>-3.5159488926500448E-2</v>
      </c>
      <c r="O134" s="37">
        <f t="shared" si="13"/>
        <v>-3.7576059847928556E-2</v>
      </c>
      <c r="P134" s="18">
        <f t="shared" si="14"/>
        <v>-0.10538097013778004</v>
      </c>
      <c r="Q134" s="22"/>
    </row>
    <row r="135" spans="1:17" x14ac:dyDescent="0.3">
      <c r="A135" s="22" t="s">
        <v>200</v>
      </c>
      <c r="B135" s="38">
        <v>11</v>
      </c>
      <c r="C135" s="78">
        <v>10.92807479510517</v>
      </c>
      <c r="D135" s="78">
        <v>10.80310437312616</v>
      </c>
      <c r="E135" s="78">
        <f t="shared" si="10"/>
        <v>-0.12497042197900932</v>
      </c>
      <c r="F135" s="22">
        <v>0</v>
      </c>
      <c r="G135" s="38">
        <v>10.80310437312616</v>
      </c>
      <c r="H135" s="22" t="s">
        <v>60</v>
      </c>
      <c r="I135" s="22" t="s">
        <v>19</v>
      </c>
      <c r="J135" s="59">
        <v>-0.13218701757705351</v>
      </c>
      <c r="K135" s="37">
        <v>-0.21272653013669579</v>
      </c>
      <c r="L135" s="18">
        <v>-0.19629783689792549</v>
      </c>
      <c r="M135" s="59">
        <f t="shared" si="11"/>
        <v>-8.0539512559642285E-2</v>
      </c>
      <c r="N135" s="37">
        <f t="shared" si="12"/>
        <v>1.6428693238770303E-2</v>
      </c>
      <c r="O135" s="37">
        <f t="shared" si="13"/>
        <v>-6.4110819320871981E-2</v>
      </c>
      <c r="P135" s="18">
        <f t="shared" si="14"/>
        <v>-0.17979693357162516</v>
      </c>
      <c r="Q135" s="22"/>
    </row>
    <row r="136" spans="1:17" x14ac:dyDescent="0.3">
      <c r="A136" s="22" t="s">
        <v>201</v>
      </c>
      <c r="B136" s="38">
        <v>8</v>
      </c>
      <c r="C136" s="78">
        <v>10.82739226361873</v>
      </c>
      <c r="D136" s="78">
        <v>10.790745299664151</v>
      </c>
      <c r="E136" s="78">
        <f t="shared" si="10"/>
        <v>-3.6646963954579448E-2</v>
      </c>
      <c r="F136" s="22">
        <v>-1.5</v>
      </c>
      <c r="G136" s="38">
        <v>9.2907452996641506</v>
      </c>
      <c r="H136" s="22" t="s">
        <v>88</v>
      </c>
      <c r="I136" s="22" t="s">
        <v>19</v>
      </c>
      <c r="J136" s="59">
        <v>-0.67733793679187515</v>
      </c>
      <c r="K136" s="37">
        <v>-0.66542903698974853</v>
      </c>
      <c r="L136" s="18">
        <v>-0.69455986396594771</v>
      </c>
      <c r="M136" s="59">
        <f t="shared" si="11"/>
        <v>1.1908899802126616E-2</v>
      </c>
      <c r="N136" s="37">
        <f t="shared" si="12"/>
        <v>-2.9130826976199176E-2</v>
      </c>
      <c r="O136" s="37">
        <f t="shared" si="13"/>
        <v>-1.722192717407256E-2</v>
      </c>
      <c r="P136" s="18">
        <f t="shared" si="14"/>
        <v>-4.8298395323798447E-2</v>
      </c>
      <c r="Q136" s="22"/>
    </row>
    <row r="137" spans="1:17" x14ac:dyDescent="0.3">
      <c r="A137" s="22" t="s">
        <v>202</v>
      </c>
      <c r="B137" s="38">
        <v>16.333333333333329</v>
      </c>
      <c r="C137" s="78">
        <v>16.427500214553451</v>
      </c>
      <c r="D137" s="78">
        <v>16.632656615149109</v>
      </c>
      <c r="E137" s="78">
        <f t="shared" si="10"/>
        <v>0.20515640059565854</v>
      </c>
      <c r="F137" s="22">
        <v>-0.2</v>
      </c>
      <c r="G137" s="38">
        <v>16.43265661514911</v>
      </c>
      <c r="H137" s="22" t="s">
        <v>55</v>
      </c>
      <c r="I137" s="22" t="s">
        <v>106</v>
      </c>
      <c r="J137" s="59">
        <v>0.45391651310443781</v>
      </c>
      <c r="K137" s="37">
        <v>0.4383431308978511</v>
      </c>
      <c r="L137" s="18">
        <v>0.54553041120900636</v>
      </c>
      <c r="M137" s="59">
        <f t="shared" si="11"/>
        <v>-1.5573382206586717E-2</v>
      </c>
      <c r="N137" s="37">
        <f t="shared" si="12"/>
        <v>0.10718728031115526</v>
      </c>
      <c r="O137" s="37">
        <f t="shared" si="13"/>
        <v>9.1613898104568547E-2</v>
      </c>
      <c r="P137" s="18">
        <f t="shared" si="14"/>
        <v>0.25692852043121744</v>
      </c>
      <c r="Q137" s="22"/>
    </row>
    <row r="138" spans="1:17" x14ac:dyDescent="0.3">
      <c r="A138" s="23" t="s">
        <v>203</v>
      </c>
      <c r="B138" s="71">
        <v>13</v>
      </c>
      <c r="C138" s="79">
        <v>13.731877231340629</v>
      </c>
      <c r="D138" s="79">
        <v>13.805773980857991</v>
      </c>
      <c r="E138" s="79">
        <f t="shared" si="10"/>
        <v>7.3896749517361471E-2</v>
      </c>
      <c r="F138" s="23">
        <v>-1.4</v>
      </c>
      <c r="G138" s="71">
        <v>12.40577398085799</v>
      </c>
      <c r="H138" s="23" t="s">
        <v>68</v>
      </c>
      <c r="I138" s="23" t="s">
        <v>106</v>
      </c>
      <c r="J138" s="58">
        <v>0.11779894416895539</v>
      </c>
      <c r="K138" s="84">
        <v>0.17150643625160891</v>
      </c>
      <c r="L138" s="64">
        <v>0.13682121744442749</v>
      </c>
      <c r="M138" s="58">
        <f t="shared" si="11"/>
        <v>5.3707492082653518E-2</v>
      </c>
      <c r="N138" s="84">
        <f t="shared" si="12"/>
        <v>-3.4685218807181423E-2</v>
      </c>
      <c r="O138" s="84">
        <f t="shared" si="13"/>
        <v>1.9022273275472096E-2</v>
      </c>
      <c r="P138" s="64">
        <f t="shared" si="14"/>
        <v>5.3347413755136505E-2</v>
      </c>
      <c r="Q138" s="23"/>
    </row>
    <row r="141" spans="1:17" x14ac:dyDescent="0.3">
      <c r="A141" s="7" t="s">
        <v>255</v>
      </c>
    </row>
  </sheetData>
  <autoFilter ref="A1:O138"/>
  <conditionalFormatting sqref="E2:E138">
    <cfRule type="dataBar" priority="6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{F4F7CC26-32FF-4E4D-ACF7-FFAC89664A9D}</x14:id>
        </ext>
      </extLst>
    </cfRule>
  </conditionalFormatting>
  <conditionalFormatting sqref="M2:M138">
    <cfRule type="dataBar" priority="4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{6F600031-435B-4544-BEFD-BADE5C7B0E6E}</x14:id>
        </ext>
      </extLst>
    </cfRule>
  </conditionalFormatting>
  <conditionalFormatting sqref="N2:N138">
    <cfRule type="dataBar" priority="3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{2FBC0593-CDDD-4245-A1EB-3C2F9B2D03E3}</x14:id>
        </ext>
      </extLst>
    </cfRule>
  </conditionalFormatting>
  <conditionalFormatting sqref="O2:O138">
    <cfRule type="dataBar" priority="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{92A1F017-4664-421D-A1B7-E47481D7FB5D}</x14:id>
        </ext>
      </extLst>
    </cfRule>
  </conditionalFormatting>
  <conditionalFormatting sqref="P2:P138">
    <cfRule type="dataBar" priority="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{114F59B4-5587-4AFE-ADB2-A5F18BC41509}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F7CC26-32FF-4E4D-ACF7-FFAC89664A9D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E2:E138</xm:sqref>
        </x14:conditionalFormatting>
        <x14:conditionalFormatting xmlns:xm="http://schemas.microsoft.com/office/excel/2006/main">
          <x14:cfRule type="dataBar" id="{6F600031-435B-4544-BEFD-BADE5C7B0E6E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M2:M138</xm:sqref>
        </x14:conditionalFormatting>
        <x14:conditionalFormatting xmlns:xm="http://schemas.microsoft.com/office/excel/2006/main">
          <x14:cfRule type="dataBar" id="{2FBC0593-CDDD-4245-A1EB-3C2F9B2D03E3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N2:N138</xm:sqref>
        </x14:conditionalFormatting>
        <x14:conditionalFormatting xmlns:xm="http://schemas.microsoft.com/office/excel/2006/main">
          <x14:cfRule type="dataBar" id="{92A1F017-4664-421D-A1B7-E47481D7FB5D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O2:O138</xm:sqref>
        </x14:conditionalFormatting>
        <x14:conditionalFormatting xmlns:xm="http://schemas.microsoft.com/office/excel/2006/main">
          <x14:cfRule type="dataBar" id="{114F59B4-5587-4AFE-ADB2-A5F18BC41509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P2:P138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J50"/>
  <sheetViews>
    <sheetView workbookViewId="0">
      <selection activeCell="F49" sqref="F49"/>
    </sheetView>
  </sheetViews>
  <sheetFormatPr defaultRowHeight="14.4" x14ac:dyDescent="0.3"/>
  <cols>
    <col min="1" max="1" width="12.77734375" customWidth="1"/>
    <col min="2" max="2" width="25.21875" customWidth="1"/>
    <col min="3" max="3" width="51.44140625" customWidth="1"/>
    <col min="4" max="4" width="8.88671875" customWidth="1"/>
    <col min="6" max="6" width="12.6640625" customWidth="1"/>
    <col min="8" max="8" width="9.6640625" customWidth="1"/>
    <col min="9" max="9" width="12.88671875" customWidth="1"/>
  </cols>
  <sheetData>
    <row r="1" spans="2:10" x14ac:dyDescent="0.3">
      <c r="B1" s="9" t="s">
        <v>275</v>
      </c>
      <c r="C1" s="39" t="s">
        <v>73</v>
      </c>
    </row>
    <row r="2" spans="2:10" x14ac:dyDescent="0.3">
      <c r="B2" s="9" t="s">
        <v>276</v>
      </c>
      <c r="C2" s="28">
        <v>2025</v>
      </c>
    </row>
    <row r="4" spans="2:10" x14ac:dyDescent="0.3">
      <c r="B4" s="8" t="s">
        <v>273</v>
      </c>
    </row>
    <row r="5" spans="2:10" x14ac:dyDescent="0.3">
      <c r="B5" s="7"/>
      <c r="D5" s="10" t="s">
        <v>335</v>
      </c>
      <c r="E5" s="11"/>
      <c r="F5" s="12"/>
      <c r="G5" s="10" t="s">
        <v>334</v>
      </c>
      <c r="H5" s="11"/>
      <c r="I5" s="12"/>
    </row>
    <row r="6" spans="2:10" x14ac:dyDescent="0.3">
      <c r="B6" s="21" t="s">
        <v>277</v>
      </c>
      <c r="C6" s="24" t="s">
        <v>278</v>
      </c>
      <c r="D6" s="13" t="s">
        <v>279</v>
      </c>
      <c r="E6" s="14" t="s">
        <v>280</v>
      </c>
      <c r="F6" s="15" t="s">
        <v>281</v>
      </c>
      <c r="G6" s="13" t="s">
        <v>279</v>
      </c>
      <c r="H6" s="14" t="s">
        <v>280</v>
      </c>
      <c r="I6" s="15" t="s">
        <v>281</v>
      </c>
      <c r="J6" s="21" t="s">
        <v>283</v>
      </c>
    </row>
    <row r="7" spans="2:10" x14ac:dyDescent="0.3">
      <c r="B7" s="31" t="s">
        <v>270</v>
      </c>
      <c r="C7" s="29" t="s">
        <v>285</v>
      </c>
      <c r="D7" s="16">
        <v>12.69593335716584</v>
      </c>
      <c r="E7" s="33" t="s">
        <v>284</v>
      </c>
      <c r="F7" s="18">
        <f>D7</f>
        <v>12.69593335716584</v>
      </c>
      <c r="G7" s="16">
        <v>12.691922613470179</v>
      </c>
      <c r="H7" s="17" t="s">
        <v>284</v>
      </c>
      <c r="I7" s="18">
        <f>G7</f>
        <v>12.691922613470179</v>
      </c>
      <c r="J7" s="38">
        <f>I7-F7</f>
        <v>-4.010743695660679E-3</v>
      </c>
    </row>
    <row r="8" spans="2:10" x14ac:dyDescent="0.3">
      <c r="B8" s="31" t="s">
        <v>215</v>
      </c>
      <c r="C8" s="29" t="s">
        <v>286</v>
      </c>
      <c r="D8" s="16">
        <v>0.50759205324952983</v>
      </c>
      <c r="E8" s="37">
        <f>INDEX('2025_oct_transform'!$C$1:$AQ$139,MATCH($C$1,'2025_oct_transform'!$C$1:$C$139,0),MATCH($B8,'2025_oct_transform'!$C$1:$AQ$1,0))</f>
        <v>-0.54654873029816964</v>
      </c>
      <c r="F8" s="18">
        <f>D8*E8</f>
        <v>-0.27742379221297142</v>
      </c>
      <c r="G8" s="16">
        <v>0.53027254934287205</v>
      </c>
      <c r="H8" s="37">
        <f>INDEX('2025_dec_transform'!$C$1:$AQ$139,MATCH($C$1,'2025_dec_transform'!$C$1:$C$139,0),MATCH($B8,'2025_dec_transform'!$C$1:$AQ$1,0))</f>
        <v>-0.54654873029816964</v>
      </c>
      <c r="I8" s="18">
        <f>G8*H8</f>
        <v>-0.2898197885553202</v>
      </c>
      <c r="J8" s="38">
        <f t="shared" ref="J8:J18" si="0">I8-F8</f>
        <v>-1.2395996342348781E-2</v>
      </c>
    </row>
    <row r="9" spans="2:10" x14ac:dyDescent="0.3">
      <c r="B9" s="31" t="s">
        <v>216</v>
      </c>
      <c r="C9" s="29" t="s">
        <v>287</v>
      </c>
      <c r="D9" s="16">
        <v>1.604704331414234</v>
      </c>
      <c r="E9" s="37">
        <f>INDEX('2025_oct_transform'!$C$1:$AQ$139,MATCH($C$1,'2025_oct_transform'!$C$1:$C$139,0),MATCH($B9,'2025_oct_transform'!$C$1:$AQ$1,0))</f>
        <v>-0.40458578651595573</v>
      </c>
      <c r="F9" s="18">
        <f t="shared" ref="F9:F18" si="1">D9*E9</f>
        <v>-0.64924056405078878</v>
      </c>
      <c r="G9" s="16">
        <v>1.5749904438248721</v>
      </c>
      <c r="H9" s="37">
        <f>INDEX('2025_dec_transform'!$C$1:$AQ$139,MATCH($C$1,'2025_dec_transform'!$C$1:$C$139,0),MATCH($B9,'2025_dec_transform'!$C$1:$AQ$1,0))</f>
        <v>-0.40458578651595573</v>
      </c>
      <c r="I9" s="18">
        <f t="shared" ref="I9:I18" si="2">G9*H9</f>
        <v>-0.63721874747000007</v>
      </c>
      <c r="J9" s="38">
        <f t="shared" si="0"/>
        <v>1.2021816580788713E-2</v>
      </c>
    </row>
    <row r="10" spans="2:10" x14ac:dyDescent="0.3">
      <c r="B10" s="31" t="s">
        <v>217</v>
      </c>
      <c r="C10" s="29" t="s">
        <v>288</v>
      </c>
      <c r="D10" s="16">
        <v>0.14465343706937159</v>
      </c>
      <c r="E10" s="37">
        <f>INDEX('2025_oct_transform'!$C$1:$AQ$139,MATCH($C$1,'2025_oct_transform'!$C$1:$C$139,0),MATCH($B10,'2025_oct_transform'!$C$1:$AQ$1,0))</f>
        <v>-1.0103516346709791</v>
      </c>
      <c r="F10" s="18">
        <f t="shared" si="1"/>
        <v>-0.1461508366038152</v>
      </c>
      <c r="G10" s="16">
        <v>0.13008490710893689</v>
      </c>
      <c r="H10" s="37">
        <f>INDEX('2025_dec_transform'!$C$1:$AQ$139,MATCH($C$1,'2025_dec_transform'!$C$1:$C$139,0),MATCH($B10,'2025_dec_transform'!$C$1:$AQ$1,0))</f>
        <v>-1.0103516346709791</v>
      </c>
      <c r="I10" s="18">
        <f t="shared" si="2"/>
        <v>-0.13143149854353686</v>
      </c>
      <c r="J10" s="38">
        <f t="shared" si="0"/>
        <v>1.4719338060278336E-2</v>
      </c>
    </row>
    <row r="11" spans="2:10" x14ac:dyDescent="0.3">
      <c r="B11" s="31" t="s">
        <v>218</v>
      </c>
      <c r="C11" s="29" t="s">
        <v>289</v>
      </c>
      <c r="D11" s="16">
        <v>0.27236765269704988</v>
      </c>
      <c r="E11" s="37">
        <f>INDEX('2025_oct_transform'!$C$1:$AQ$139,MATCH($C$1,'2025_oct_transform'!$C$1:$C$139,0),MATCH($B11,'2025_oct_transform'!$C$1:$AQ$1,0))</f>
        <v>-0.74028236453142138</v>
      </c>
      <c r="F11" s="18">
        <f t="shared" si="1"/>
        <v>-0.20162896996044505</v>
      </c>
      <c r="G11" s="16">
        <v>0.30518535920022488</v>
      </c>
      <c r="H11" s="37">
        <f>INDEX('2025_dec_transform'!$C$1:$AQ$139,MATCH($C$1,'2025_dec_transform'!$C$1:$C$139,0),MATCH($B11,'2025_dec_transform'!$C$1:$AQ$1,0))</f>
        <v>-0.74028236453142138</v>
      </c>
      <c r="I11" s="18">
        <f t="shared" si="2"/>
        <v>-0.22592333932911365</v>
      </c>
      <c r="J11" s="38">
        <f t="shared" si="0"/>
        <v>-2.4294369368668606E-2</v>
      </c>
    </row>
    <row r="12" spans="2:10" x14ac:dyDescent="0.3">
      <c r="B12" s="31" t="s">
        <v>219</v>
      </c>
      <c r="C12" s="29" t="s">
        <v>290</v>
      </c>
      <c r="D12" s="16">
        <v>0.81804554961089571</v>
      </c>
      <c r="E12" s="37">
        <f>INDEX('2025_oct_transform'!$C$1:$AQ$139,MATCH($C$1,'2025_oct_transform'!$C$1:$C$139,0),MATCH($B12,'2025_oct_transform'!$C$1:$AQ$1,0))</f>
        <v>0.30213081591089108</v>
      </c>
      <c r="F12" s="18">
        <f t="shared" si="1"/>
        <v>0.24715676935621325</v>
      </c>
      <c r="G12" s="16">
        <v>0.87885606275042616</v>
      </c>
      <c r="H12" s="37">
        <f>INDEX('2025_dec_transform'!$C$1:$AQ$139,MATCH($C$1,'2025_dec_transform'!$C$1:$C$139,0),MATCH($B12,'2025_dec_transform'!$C$1:$AQ$1,0))</f>
        <v>0.30213081591089108</v>
      </c>
      <c r="I12" s="18">
        <f t="shared" si="2"/>
        <v>0.26552949930701952</v>
      </c>
      <c r="J12" s="38">
        <f t="shared" si="0"/>
        <v>1.8372729950806271E-2</v>
      </c>
    </row>
    <row r="13" spans="2:10" x14ac:dyDescent="0.3">
      <c r="B13" s="31" t="s">
        <v>220</v>
      </c>
      <c r="C13" s="29" t="s">
        <v>291</v>
      </c>
      <c r="D13" s="16">
        <v>2.8789940587952429</v>
      </c>
      <c r="E13" s="37">
        <f>INDEX('2025_oct_transform'!$C$1:$AQ$139,MATCH($C$1,'2025_oct_transform'!$C$1:$C$139,0),MATCH($B13,'2025_oct_transform'!$C$1:$AQ$1,0))</f>
        <v>-0.99291646007805179</v>
      </c>
      <c r="F13" s="18">
        <f t="shared" si="1"/>
        <v>-2.8586005894447153</v>
      </c>
      <c r="G13" s="16">
        <v>2.8044707106012541</v>
      </c>
      <c r="H13" s="37">
        <f>INDEX('2025_dec_transform'!$C$1:$AQ$139,MATCH($C$1,'2025_dec_transform'!$C$1:$C$139,0),MATCH($B13,'2025_dec_transform'!$C$1:$AQ$1,0))</f>
        <v>-1.134089379193356</v>
      </c>
      <c r="I13" s="18">
        <f t="shared" si="2"/>
        <v>-3.1805204471517259</v>
      </c>
      <c r="J13" s="38">
        <f t="shared" si="0"/>
        <v>-0.32191985770701059</v>
      </c>
    </row>
    <row r="14" spans="2:10" x14ac:dyDescent="0.3">
      <c r="B14" s="31" t="s">
        <v>221</v>
      </c>
      <c r="C14" s="29" t="s">
        <v>292</v>
      </c>
      <c r="D14" s="16">
        <v>0.65335150759482108</v>
      </c>
      <c r="E14" s="37">
        <f>INDEX('2025_oct_transform'!$C$1:$AQ$139,MATCH($C$1,'2025_oct_transform'!$C$1:$C$139,0),MATCH($B14,'2025_oct_transform'!$C$1:$AQ$1,0))</f>
        <v>-0.99802822865629137</v>
      </c>
      <c r="F14" s="18">
        <f t="shared" si="1"/>
        <v>-0.65206324781477676</v>
      </c>
      <c r="G14" s="16">
        <v>0.57961629774359646</v>
      </c>
      <c r="H14" s="37">
        <f>INDEX('2025_dec_transform'!$C$1:$AQ$139,MATCH($C$1,'2025_dec_transform'!$C$1:$C$139,0),MATCH($B14,'2025_dec_transform'!$C$1:$AQ$1,0))</f>
        <v>-0.99802879296545155</v>
      </c>
      <c r="I14" s="18">
        <f t="shared" si="2"/>
        <v>-0.57847375402014534</v>
      </c>
      <c r="J14" s="38">
        <f t="shared" si="0"/>
        <v>7.3589493794631422E-2</v>
      </c>
    </row>
    <row r="15" spans="2:10" x14ac:dyDescent="0.3">
      <c r="B15" s="31" t="s">
        <v>222</v>
      </c>
      <c r="C15" s="29" t="s">
        <v>293</v>
      </c>
      <c r="D15" s="16">
        <v>0.9102573362540608</v>
      </c>
      <c r="E15" s="37">
        <f>INDEX('2025_oct_transform'!$C$1:$AQ$139,MATCH($C$1,'2025_oct_transform'!$C$1:$C$139,0),MATCH($B15,'2025_oct_transform'!$C$1:$AQ$1,0))</f>
        <v>-0.99062148634517477</v>
      </c>
      <c r="F15" s="18">
        <f t="shared" si="1"/>
        <v>-0.90172047539659728</v>
      </c>
      <c r="G15" s="16">
        <v>0.88139075999675642</v>
      </c>
      <c r="H15" s="37">
        <f>INDEX('2025_dec_transform'!$C$1:$AQ$139,MATCH($C$1,'2025_dec_transform'!$C$1:$C$139,0),MATCH($B15,'2025_dec_transform'!$C$1:$AQ$1,0))</f>
        <v>-0.99062148634517477</v>
      </c>
      <c r="I15" s="18">
        <f t="shared" si="2"/>
        <v>-0.87312462471889007</v>
      </c>
      <c r="J15" s="38">
        <f t="shared" si="0"/>
        <v>2.8595850677707202E-2</v>
      </c>
    </row>
    <row r="16" spans="2:10" x14ac:dyDescent="0.3">
      <c r="B16" s="31" t="s">
        <v>223</v>
      </c>
      <c r="C16" s="29" t="s">
        <v>294</v>
      </c>
      <c r="D16" s="16">
        <v>0.46481235271387022</v>
      </c>
      <c r="E16" s="37">
        <f>INDEX('2025_oct_transform'!$C$1:$AQ$139,MATCH($C$1,'2025_oct_transform'!$C$1:$C$139,0),MATCH($B16,'2025_oct_transform'!$C$1:$AQ$1,0))</f>
        <v>9.8618920988451278E-2</v>
      </c>
      <c r="F16" s="18">
        <f t="shared" si="1"/>
        <v>4.5839292686745317E-2</v>
      </c>
      <c r="G16" s="16">
        <v>0.47302680532146202</v>
      </c>
      <c r="H16" s="37">
        <f>INDEX('2025_dec_transform'!$C$1:$AQ$139,MATCH($C$1,'2025_dec_transform'!$C$1:$C$139,0),MATCH($B16,'2025_dec_transform'!$C$1:$AQ$1,0))</f>
        <v>9.8618920988451278E-2</v>
      </c>
      <c r="I16" s="18">
        <f t="shared" si="2"/>
        <v>4.6649393139416788E-2</v>
      </c>
      <c r="J16" s="38">
        <f t="shared" si="0"/>
        <v>8.1010045267147085E-4</v>
      </c>
    </row>
    <row r="17" spans="1:10" x14ac:dyDescent="0.3">
      <c r="B17" s="31" t="s">
        <v>224</v>
      </c>
      <c r="C17" s="29" t="s">
        <v>295</v>
      </c>
      <c r="D17" s="16">
        <v>0.35395377769039021</v>
      </c>
      <c r="E17" s="37">
        <f>INDEX('2025_oct_transform'!$C$1:$AQ$139,MATCH($C$1,'2025_oct_transform'!$C$1:$C$139,0),MATCH($B17,'2025_oct_transform'!$C$1:$AQ$1,0))</f>
        <v>-3.3590277669119688</v>
      </c>
      <c r="F17" s="18">
        <f t="shared" si="1"/>
        <v>-1.188940567465407</v>
      </c>
      <c r="G17" s="16">
        <v>0.34849540238905152</v>
      </c>
      <c r="H17" s="37">
        <f>INDEX('2025_dec_transform'!$C$1:$AQ$139,MATCH($C$1,'2025_dec_transform'!$C$1:$C$139,0),MATCH($B17,'2025_dec_transform'!$C$1:$AQ$1,0))</f>
        <v>-1.3162626343675241</v>
      </c>
      <c r="I17" s="18">
        <f t="shared" si="2"/>
        <v>-0.45871147641358329</v>
      </c>
      <c r="J17" s="38">
        <f t="shared" si="0"/>
        <v>0.73022909105182365</v>
      </c>
    </row>
    <row r="18" spans="1:10" x14ac:dyDescent="0.3">
      <c r="B18" s="32" t="s">
        <v>225</v>
      </c>
      <c r="C18" s="30" t="s">
        <v>296</v>
      </c>
      <c r="D18" s="19">
        <v>0.45274542931804729</v>
      </c>
      <c r="E18" s="37">
        <f>INDEX('2025_oct_transform'!$C$1:$AQ$139,MATCH($C$1,'2025_oct_transform'!$C$1:$C$139,0),MATCH($B18,'2025_oct_transform'!$C$1:$AQ$1,0))</f>
        <v>-0.52486557418804092</v>
      </c>
      <c r="F18" s="18">
        <f t="shared" si="1"/>
        <v>-0.23763048972002798</v>
      </c>
      <c r="G18" s="19">
        <v>0.48221815196818968</v>
      </c>
      <c r="H18" s="37">
        <f>INDEX('2025_dec_transform'!$C$1:$AQ$139,MATCH($C$1,'2025_dec_transform'!$C$1:$C$139,0),MATCH($B18,'2025_dec_transform'!$C$1:$AQ$1,0))</f>
        <v>-0.52486557418804092</v>
      </c>
      <c r="I18" s="18">
        <f t="shared" si="2"/>
        <v>-0.25309970721667985</v>
      </c>
      <c r="J18" s="38">
        <f t="shared" si="0"/>
        <v>-1.5469217496651866E-2</v>
      </c>
    </row>
    <row r="19" spans="1:10" x14ac:dyDescent="0.3">
      <c r="B19" s="25" t="s">
        <v>282</v>
      </c>
      <c r="C19" s="26"/>
      <c r="D19" s="27"/>
      <c r="E19" s="26"/>
      <c r="F19" s="34">
        <f>SUM(F7:F18)</f>
        <v>5.875529886539252</v>
      </c>
      <c r="G19" s="26"/>
      <c r="H19" s="26"/>
      <c r="I19" s="34">
        <f>SUM(I7:I18)</f>
        <v>6.3757781224976204</v>
      </c>
      <c r="J19" s="34">
        <f>I19-F19</f>
        <v>0.50024823595836843</v>
      </c>
    </row>
    <row r="20" spans="1:10" x14ac:dyDescent="0.3">
      <c r="E20" s="35" t="s">
        <v>326</v>
      </c>
      <c r="F20" s="36">
        <f>INDEX('2025_oct_transform'!$C$1:$AQ$139,MATCH($C$1,'2025_oct_transform'!$C$1:$C$139,0),MATCH("predicted_rating",'2025_oct_transform'!$C$1:$AQ$1,0))</f>
        <v>5.8755298865392529</v>
      </c>
      <c r="H20" s="35" t="s">
        <v>326</v>
      </c>
      <c r="I20" s="40">
        <f>INDEX('2025_dec_transform'!$C$1:$AQ$139,MATCH($C$1,'2025_dec_transform'!$C$1:$C$139,0),MATCH("predicted_rating",'2025_dec_transform'!$C$1:$AQ$1,0))</f>
        <v>6.3757781224976213</v>
      </c>
      <c r="J20" s="36">
        <f>SUM(J7:J18)</f>
        <v>0.50024823595836654</v>
      </c>
    </row>
    <row r="23" spans="1:10" x14ac:dyDescent="0.3">
      <c r="B23" s="8" t="s">
        <v>274</v>
      </c>
    </row>
    <row r="24" spans="1:10" x14ac:dyDescent="0.3">
      <c r="D24" s="49" t="s">
        <v>335</v>
      </c>
      <c r="E24" s="50"/>
      <c r="F24" s="49" t="s">
        <v>334</v>
      </c>
      <c r="G24" s="50"/>
    </row>
    <row r="25" spans="1:10" x14ac:dyDescent="0.3">
      <c r="A25" s="9" t="s">
        <v>277</v>
      </c>
      <c r="B25" s="9" t="s">
        <v>321</v>
      </c>
      <c r="C25" s="9" t="s">
        <v>322</v>
      </c>
      <c r="D25" s="9" t="s">
        <v>327</v>
      </c>
      <c r="E25" s="9" t="s">
        <v>280</v>
      </c>
      <c r="F25" s="9" t="s">
        <v>327</v>
      </c>
      <c r="G25" s="9" t="s">
        <v>328</v>
      </c>
      <c r="H25" s="21" t="s">
        <v>336</v>
      </c>
      <c r="I25" s="9" t="s">
        <v>337</v>
      </c>
    </row>
    <row r="26" spans="1:10" x14ac:dyDescent="0.3">
      <c r="A26" s="7"/>
      <c r="B26" s="44" t="s">
        <v>324</v>
      </c>
      <c r="C26" s="42" t="s">
        <v>323</v>
      </c>
      <c r="D26" s="51" t="s">
        <v>284</v>
      </c>
      <c r="E26" s="52" t="s">
        <v>284</v>
      </c>
      <c r="F26" s="53" t="s">
        <v>284</v>
      </c>
      <c r="G26" s="53" t="s">
        <v>284</v>
      </c>
      <c r="H26" s="73" t="s">
        <v>284</v>
      </c>
      <c r="I26" s="52" t="s">
        <v>284</v>
      </c>
    </row>
    <row r="27" spans="1:10" x14ac:dyDescent="0.3">
      <c r="A27" t="s">
        <v>226</v>
      </c>
      <c r="B27" s="44" t="s">
        <v>325</v>
      </c>
      <c r="C27" s="41" t="s">
        <v>297</v>
      </c>
      <c r="D27" s="65">
        <f>INDEX('2025_oct_raw'!$C$1:$AK$139,MATCH($C$1,'2025_oct_raw'!$C$1:$C$139,0),MATCH($A27,'2025_oct_raw'!$C$1:$AK$1,0))</f>
        <v>4585.1840000000002</v>
      </c>
      <c r="E27" s="62">
        <f>INDEX('2025_oct_transform'!$C$1:$AQ$139,MATCH($C$1,'2025_oct_transform'!$C$1:$C$139,0),MATCH($A27,'2025_oct_transform'!$C$1:$AQ$1,0))</f>
        <v>-0.54654873029816964</v>
      </c>
      <c r="F27" s="65">
        <f>INDEX('2025_dec_raw'!$C$1:$AK$139,MATCH($C$1,'2025_dec_raw'!$C$1:$C$139,0),MATCH($A27,'2025_dec_raw'!$C$1:$AK$1,0))</f>
        <v>4585.1840000000002</v>
      </c>
      <c r="G27" s="62">
        <f>INDEX('2025_dec_transform'!$C$1:$AQ$139,MATCH($C$1,'2025_dec_transform'!$C$1:$C$139,0),MATCH($A27,'2025_dec_transform'!$C$1:$AQ$1,0))</f>
        <v>-0.54654873029816964</v>
      </c>
      <c r="H27" s="67">
        <f>F27-D27</f>
        <v>0</v>
      </c>
      <c r="I27" s="62">
        <f>G27-E27</f>
        <v>0</v>
      </c>
    </row>
    <row r="28" spans="1:10" x14ac:dyDescent="0.3">
      <c r="A28" t="s">
        <v>230</v>
      </c>
      <c r="B28" s="44" t="s">
        <v>287</v>
      </c>
      <c r="C28" s="41" t="s">
        <v>298</v>
      </c>
      <c r="D28" s="65">
        <f>INDEX('2025_oct_raw'!$C$1:$AK$139,MATCH($C$1,'2025_oct_raw'!$C$1:$C$139,0),MATCH($A28,'2025_oct_raw'!$C$1:$AK$1,0))</f>
        <v>57.085999999999999</v>
      </c>
      <c r="E28" s="62">
        <f>INDEX('2025_oct_transform'!$C$1:$AQ$139,MATCH($C$1,'2025_oct_transform'!$C$1:$C$139,0),MATCH($A28,'2025_oct_transform'!$C$1:$AQ$1,0))</f>
        <v>-0.40458578651595573</v>
      </c>
      <c r="F28" s="65">
        <f>INDEX('2025_dec_raw'!$C$1:$AK$139,MATCH($C$1,'2025_dec_raw'!$C$1:$C$139,0),MATCH($A28,'2025_dec_raw'!$C$1:$AK$1,0))</f>
        <v>57.085999999999999</v>
      </c>
      <c r="G28" s="62">
        <f>INDEX('2025_dec_transform'!$C$1:$AQ$139,MATCH($C$1,'2025_dec_transform'!$C$1:$C$139,0),MATCH($A28,'2025_dec_transform'!$C$1:$AQ$1,0))</f>
        <v>-0.40458578651595573</v>
      </c>
      <c r="H28" s="67">
        <f>F28-D28</f>
        <v>0</v>
      </c>
      <c r="I28" s="62">
        <f>G28-E28</f>
        <v>0</v>
      </c>
    </row>
    <row r="29" spans="1:10" x14ac:dyDescent="0.3">
      <c r="A29" t="s">
        <v>234</v>
      </c>
      <c r="B29" s="44" t="s">
        <v>288</v>
      </c>
      <c r="C29" s="41" t="s">
        <v>299</v>
      </c>
      <c r="D29" s="56">
        <f>INDEX('2025_oct_raw'!$C$1:$AK$139,MATCH($C$1,'2025_oct_raw'!$C$1:$C$139,0),MATCH($A29,'2025_oct_raw'!$C$1:$AK$1,0))</f>
        <v>0.89857142857142858</v>
      </c>
      <c r="E29" s="62">
        <f>INDEX('2025_oct_transform'!$C$1:$AQ$139,MATCH($C$1,'2025_oct_transform'!$C$1:$C$139,0),MATCH($A29,'2025_oct_transform'!$C$1:$AQ$1,0))</f>
        <v>-1.0103516346709791</v>
      </c>
      <c r="F29" s="56">
        <f>INDEX('2025_dec_raw'!$C$1:$AK$139,MATCH($C$1,'2025_dec_raw'!$C$1:$C$139,0),MATCH($A29,'2025_dec_raw'!$C$1:$AK$1,0))</f>
        <v>0.89857142857142858</v>
      </c>
      <c r="G29" s="62">
        <f>INDEX('2025_dec_transform'!$C$1:$AQ$139,MATCH($C$1,'2025_dec_transform'!$C$1:$C$139,0),MATCH($A29,'2025_dec_transform'!$C$1:$AQ$1,0))</f>
        <v>-1.0103516346709791</v>
      </c>
      <c r="H29" s="63">
        <f>F29-D29</f>
        <v>0</v>
      </c>
      <c r="I29" s="62">
        <f>G29-E29</f>
        <v>0</v>
      </c>
    </row>
    <row r="30" spans="1:10" x14ac:dyDescent="0.3">
      <c r="A30" t="s">
        <v>235</v>
      </c>
      <c r="B30" s="44" t="s">
        <v>289</v>
      </c>
      <c r="C30" s="41" t="s">
        <v>300</v>
      </c>
      <c r="D30" s="56">
        <f>INDEX('2025_oct_raw'!$C$1:$AK$139,MATCH($C$1,'2025_oct_raw'!$C$1:$C$139,0),MATCH($A30,'2025_oct_raw'!$C$1:$AK$1,0))</f>
        <v>8.5318571428571435</v>
      </c>
      <c r="E30" s="62">
        <f>INDEX('2025_oct_transform'!$C$1:$AQ$139,MATCH($C$1,'2025_oct_transform'!$C$1:$C$139,0),MATCH($A30,'2025_oct_transform'!$C$1:$AQ$1,0))</f>
        <v>0.74028236453142138</v>
      </c>
      <c r="F30" s="56">
        <f>INDEX('2025_dec_raw'!$C$1:$AK$139,MATCH($C$1,'2025_dec_raw'!$C$1:$C$139,0),MATCH($A30,'2025_dec_raw'!$C$1:$AK$1,0))</f>
        <v>8.5318571428571435</v>
      </c>
      <c r="G30" s="62">
        <f>INDEX('2025_dec_transform'!$C$1:$AQ$139,MATCH($C$1,'2025_dec_transform'!$C$1:$C$139,0),MATCH($A30,'2025_dec_transform'!$C$1:$AQ$1,0))</f>
        <v>0.74028236453142138</v>
      </c>
      <c r="H30" s="63">
        <f>F30-D30</f>
        <v>0</v>
      </c>
      <c r="I30" s="62">
        <f>G30-E30</f>
        <v>0</v>
      </c>
    </row>
    <row r="31" spans="1:10" x14ac:dyDescent="0.3">
      <c r="A31" t="s">
        <v>219</v>
      </c>
      <c r="B31" s="45" t="s">
        <v>290</v>
      </c>
      <c r="C31" s="43" t="s">
        <v>301</v>
      </c>
      <c r="D31" s="54" t="s">
        <v>284</v>
      </c>
      <c r="E31" s="18">
        <f>INDEX('2025_oct_transform'!$C$1:$AQ$139,MATCH($C$1,'2025_oct_transform'!$C$1:$C$139,0),MATCH($A31,'2025_oct_transform'!$C$1:$AQ$1,0))</f>
        <v>0.30213081591089108</v>
      </c>
      <c r="F31" s="54" t="s">
        <v>284</v>
      </c>
      <c r="G31" s="18">
        <f>INDEX('2025_dec_transform'!$C$1:$AQ$139,MATCH($C$1,'2025_dec_transform'!$C$1:$C$139,0),MATCH($A31,'2025_dec_transform'!$C$1:$AQ$1,0))</f>
        <v>0.30213081591089108</v>
      </c>
      <c r="H31" s="68" t="s">
        <v>284</v>
      </c>
      <c r="I31" s="74">
        <f>G31-E31</f>
        <v>0</v>
      </c>
    </row>
    <row r="32" spans="1:10" x14ac:dyDescent="0.3">
      <c r="A32" t="s">
        <v>236</v>
      </c>
      <c r="B32" s="46"/>
      <c r="C32" s="17" t="s">
        <v>302</v>
      </c>
      <c r="D32" s="60">
        <f>INDEX('2025_oct_raw'!$C$1:$AK$139,MATCH($C$1,'2025_oct_raw'!$C$1:$C$139,0),MATCH($A32,'2025_oct_raw'!$C$1:$AK$1,0))</f>
        <v>0</v>
      </c>
      <c r="E32" s="18">
        <f>INDEX('2025_oct_transform'!$C$1:$AQ$139,MATCH($C$1,'2025_oct_transform'!$C$1:$C$139,0),MATCH($A32,'2025_oct_transform'!$C$1:$AQ$1,0))</f>
        <v>-0.36105429762281449</v>
      </c>
      <c r="F32" s="60">
        <f>INDEX('2025_dec_raw'!$C$1:$AK$139,MATCH($C$1,'2025_dec_raw'!$C$1:$C$139,0),MATCH($A32,'2025_dec_raw'!$C$1:$AK$1,0))</f>
        <v>0</v>
      </c>
      <c r="G32" s="18">
        <f>INDEX('2025_dec_transform'!$C$1:$AQ$139,MATCH($C$1,'2025_dec_transform'!$C$1:$C$139,0),MATCH($A32,'2025_dec_transform'!$C$1:$AQ$1,0))</f>
        <v>-0.36105429762281449</v>
      </c>
      <c r="H32" s="69">
        <f>F32-D32</f>
        <v>0</v>
      </c>
      <c r="I32" s="38">
        <f>G32-E32</f>
        <v>0</v>
      </c>
    </row>
    <row r="33" spans="1:9" x14ac:dyDescent="0.3">
      <c r="A33" t="s">
        <v>237</v>
      </c>
      <c r="B33" s="47"/>
      <c r="C33" s="20" t="s">
        <v>303</v>
      </c>
      <c r="D33" s="66">
        <f>INDEX('2025_oct_raw'!$C$1:$AK$139,MATCH($C$1,'2025_oct_raw'!$C$1:$C$139,0),MATCH($A33,'2025_oct_raw'!$C$1:$AK$1,0))</f>
        <v>0</v>
      </c>
      <c r="E33" s="64">
        <f>INDEX('2025_oct_transform'!$C$1:$AQ$139,MATCH($C$1,'2025_oct_transform'!$C$1:$C$139,0),MATCH($A33,'2025_oct_transform'!$C$1:$AQ$1,0))</f>
        <v>-0.24320733419896781</v>
      </c>
      <c r="F33" s="66">
        <f>INDEX('2025_dec_raw'!$C$1:$AK$139,MATCH($C$1,'2025_dec_raw'!$C$1:$C$139,0),MATCH($A33,'2025_dec_raw'!$C$1:$AK$1,0))</f>
        <v>0</v>
      </c>
      <c r="G33" s="64">
        <f>INDEX('2025_dec_transform'!$C$1:$AQ$139,MATCH($C$1,'2025_dec_transform'!$C$1:$C$139,0),MATCH($A33,'2025_dec_transform'!$C$1:$AQ$1,0))</f>
        <v>-0.24320733419896781</v>
      </c>
      <c r="H33" s="70">
        <f>F33-D33</f>
        <v>0</v>
      </c>
      <c r="I33" s="71">
        <f>G33-E33</f>
        <v>0</v>
      </c>
    </row>
    <row r="34" spans="1:9" x14ac:dyDescent="0.3">
      <c r="A34" t="s">
        <v>220</v>
      </c>
      <c r="B34" s="45" t="s">
        <v>291</v>
      </c>
      <c r="C34" s="43" t="s">
        <v>304</v>
      </c>
      <c r="D34" s="54" t="s">
        <v>284</v>
      </c>
      <c r="E34" s="18">
        <f>INDEX('2025_oct_transform'!$C$1:$AQ$139,MATCH($C$1,'2025_oct_transform'!$C$1:$C$139,0),MATCH($A34,'2025_oct_transform'!$C$1:$AQ$1,0))</f>
        <v>-0.99291646007805179</v>
      </c>
      <c r="F34" s="54" t="s">
        <v>284</v>
      </c>
      <c r="G34" s="18">
        <f>INDEX('2025_dec_transform'!$C$1:$AQ$139,MATCH($C$1,'2025_dec_transform'!$C$1:$C$139,0),MATCH($A34,'2025_dec_transform'!$C$1:$AQ$1,0))</f>
        <v>-1.134089379193356</v>
      </c>
      <c r="H34" s="68" t="s">
        <v>284</v>
      </c>
      <c r="I34" s="74">
        <f>G34-E34</f>
        <v>-0.14117291911530416</v>
      </c>
    </row>
    <row r="35" spans="1:9" x14ac:dyDescent="0.3">
      <c r="A35" t="s">
        <v>238</v>
      </c>
      <c r="B35" s="46"/>
      <c r="C35" s="17" t="s">
        <v>305</v>
      </c>
      <c r="D35" s="59">
        <f>INDEX('2025_oct_raw'!$C$1:$AK$139,MATCH($C$1,'2025_oct_raw'!$C$1:$C$139,0),MATCH($A35,'2025_oct_raw'!$C$1:$AK$1,0))</f>
        <v>-0.26519100000000001</v>
      </c>
      <c r="E35" s="18">
        <f>INDEX('2025_oct_transform'!$C$1:$AQ$139,MATCH($C$1,'2025_oct_transform'!$C$1:$C$139,0),MATCH($A35,'2025_oct_transform'!$C$1:$AQ$1,0))</f>
        <v>-0.44968671319767922</v>
      </c>
      <c r="F35" s="59">
        <f>INDEX('2025_dec_raw'!$C$1:$AK$139,MATCH($C$1,'2025_dec_raw'!$C$1:$C$139,0),MATCH($A35,'2025_dec_raw'!$C$1:$AK$1,0))</f>
        <v>-0.43976399999999999</v>
      </c>
      <c r="G35" s="18">
        <f>INDEX('2025_dec_transform'!$C$1:$AQ$139,MATCH($C$1,'2025_dec_transform'!$C$1:$C$139,0),MATCH($A35,'2025_dec_transform'!$C$1:$AQ$1,0))</f>
        <v>-0.63148475617789213</v>
      </c>
      <c r="H35" s="38">
        <f>F35-D35</f>
        <v>-0.17457299999999998</v>
      </c>
      <c r="I35" s="38">
        <f>G35-E35</f>
        <v>-0.1817980429802129</v>
      </c>
    </row>
    <row r="36" spans="1:9" x14ac:dyDescent="0.3">
      <c r="A36" t="s">
        <v>239</v>
      </c>
      <c r="B36" s="46"/>
      <c r="C36" s="17" t="s">
        <v>306</v>
      </c>
      <c r="D36" s="59">
        <f>INDEX('2025_oct_raw'!$C$1:$AK$139,MATCH($C$1,'2025_oct_raw'!$C$1:$C$139,0),MATCH($A36,'2025_oct_raw'!$C$1:$AK$1,0))</f>
        <v>-0.31318400000000002</v>
      </c>
      <c r="E36" s="18">
        <f>INDEX('2025_oct_transform'!$C$1:$AQ$139,MATCH($C$1,'2025_oct_transform'!$C$1:$C$139,0),MATCH($A36,'2025_oct_transform'!$C$1:$AQ$1,0))</f>
        <v>-0.40383873886621308</v>
      </c>
      <c r="F36" s="59">
        <f>INDEX('2025_dec_raw'!$C$1:$AK$139,MATCH($C$1,'2025_dec_raw'!$C$1:$C$139,0),MATCH($A36,'2025_dec_raw'!$C$1:$AK$1,0))</f>
        <v>-0.54603599999999997</v>
      </c>
      <c r="G36" s="18">
        <f>INDEX('2025_dec_transform'!$C$1:$AQ$139,MATCH($C$1,'2025_dec_transform'!$C$1:$C$139,0),MATCH($A36,'2025_dec_transform'!$C$1:$AQ$1,0))</f>
        <v>-0.69802321722894445</v>
      </c>
      <c r="H36" s="38">
        <f>F36-D36</f>
        <v>-0.23285199999999995</v>
      </c>
      <c r="I36" s="38">
        <f t="shared" ref="I36:I40" si="3">G36-E36</f>
        <v>-0.29418447836273137</v>
      </c>
    </row>
    <row r="37" spans="1:9" x14ac:dyDescent="0.3">
      <c r="A37" t="s">
        <v>240</v>
      </c>
      <c r="B37" s="46"/>
      <c r="C37" s="17" t="s">
        <v>307</v>
      </c>
      <c r="D37" s="59">
        <f>INDEX('2025_oct_raw'!$C$1:$AK$139,MATCH($C$1,'2025_oct_raw'!$C$1:$C$139,0),MATCH($A37,'2025_oct_raw'!$C$1:$AK$1,0))</f>
        <v>-0.63948099999999997</v>
      </c>
      <c r="E37" s="18">
        <f>INDEX('2025_oct_transform'!$C$1:$AQ$139,MATCH($C$1,'2025_oct_transform'!$C$1:$C$139,0),MATCH($A37,'2025_oct_transform'!$C$1:$AQ$1,0))</f>
        <v>-0.98282211170224909</v>
      </c>
      <c r="F37" s="59">
        <f>INDEX('2025_dec_raw'!$C$1:$AK$139,MATCH($C$1,'2025_dec_raw'!$C$1:$C$139,0),MATCH($A37,'2025_dec_raw'!$C$1:$AK$1,0))</f>
        <v>-0.61041699999999999</v>
      </c>
      <c r="G37" s="18">
        <f>INDEX('2025_dec_transform'!$C$1:$AQ$139,MATCH($C$1,'2025_dec_transform'!$C$1:$C$139,0),MATCH($A37,'2025_dec_transform'!$C$1:$AQ$1,0))</f>
        <v>-1.045722165029314</v>
      </c>
      <c r="H37" s="38">
        <f>F37-D37</f>
        <v>2.9063999999999979E-2</v>
      </c>
      <c r="I37" s="38">
        <f t="shared" si="3"/>
        <v>-6.2900053327064942E-2</v>
      </c>
    </row>
    <row r="38" spans="1:9" x14ac:dyDescent="0.3">
      <c r="A38" t="s">
        <v>241</v>
      </c>
      <c r="B38" s="46"/>
      <c r="C38" s="17" t="s">
        <v>308</v>
      </c>
      <c r="D38" s="59">
        <f>INDEX('2025_oct_raw'!$C$1:$AK$139,MATCH($C$1,'2025_oct_raw'!$C$1:$C$139,0),MATCH($A38,'2025_oct_raw'!$C$1:$AK$1,0))</f>
        <v>-1.177119</v>
      </c>
      <c r="E38" s="18">
        <f>INDEX('2025_oct_transform'!$C$1:$AQ$139,MATCH($C$1,'2025_oct_transform'!$C$1:$C$139,0),MATCH($A38,'2025_oct_transform'!$C$1:$AQ$1,0))</f>
        <v>-1.655762577934252</v>
      </c>
      <c r="F38" s="59">
        <f>INDEX('2025_dec_raw'!$C$1:$AK$139,MATCH($C$1,'2025_dec_raw'!$C$1:$C$139,0),MATCH($A38,'2025_dec_raw'!$C$1:$AK$1,0))</f>
        <v>-1.2544299999999999</v>
      </c>
      <c r="G38" s="18">
        <f>INDEX('2025_dec_transform'!$C$1:$AQ$139,MATCH($C$1,'2025_dec_transform'!$C$1:$C$139,0),MATCH($A38,'2025_dec_transform'!$C$1:$AQ$1,0))</f>
        <v>-1.776079860664733</v>
      </c>
      <c r="H38" s="38">
        <f>F38-D38</f>
        <v>-7.7310999999999908E-2</v>
      </c>
      <c r="I38" s="38">
        <f t="shared" si="3"/>
        <v>-0.12031728273048103</v>
      </c>
    </row>
    <row r="39" spans="1:9" x14ac:dyDescent="0.3">
      <c r="A39" t="s">
        <v>242</v>
      </c>
      <c r="B39" s="46"/>
      <c r="C39" s="17" t="s">
        <v>309</v>
      </c>
      <c r="D39" s="59">
        <f>INDEX('2025_oct_raw'!$C$1:$AK$139,MATCH($C$1,'2025_oct_raw'!$C$1:$C$139,0),MATCH($A39,'2025_oct_raw'!$C$1:$AK$1,0))</f>
        <v>-1.219338</v>
      </c>
      <c r="E39" s="18">
        <f>INDEX('2025_oct_transform'!$C$1:$AQ$139,MATCH($C$1,'2025_oct_transform'!$C$1:$C$139,0),MATCH($A39,'2025_oct_transform'!$C$1:$AQ$1,0))</f>
        <v>-1.479142397403322</v>
      </c>
      <c r="F39" s="59">
        <f>INDEX('2025_dec_raw'!$C$1:$AK$139,MATCH($C$1,'2025_dec_raw'!$C$1:$C$139,0),MATCH($A39,'2025_dec_raw'!$C$1:$AK$1,0))</f>
        <v>-1.267722</v>
      </c>
      <c r="G39" s="18">
        <f>INDEX('2025_dec_transform'!$C$1:$AQ$139,MATCH($C$1,'2025_dec_transform'!$C$1:$C$139,0),MATCH($A39,'2025_dec_transform'!$C$1:$AQ$1,0))</f>
        <v>-1.4925143407007559</v>
      </c>
      <c r="H39" s="38">
        <f>F39-D39</f>
        <v>-4.8383999999999983E-2</v>
      </c>
      <c r="I39" s="38">
        <f t="shared" si="3"/>
        <v>-1.3371943297433964E-2</v>
      </c>
    </row>
    <row r="40" spans="1:9" x14ac:dyDescent="0.3">
      <c r="A40" t="s">
        <v>243</v>
      </c>
      <c r="B40" s="47"/>
      <c r="C40" s="20" t="s">
        <v>310</v>
      </c>
      <c r="D40" s="59">
        <f>INDEX('2025_oct_raw'!$C$1:$AK$139,MATCH($C$1,'2025_oct_raw'!$C$1:$C$139,0),MATCH($A40,'2025_oct_raw'!$C$1:$AK$1,0))</f>
        <v>-0.83830099999999996</v>
      </c>
      <c r="E40" s="64">
        <f>INDEX('2025_oct_transform'!$C$1:$AQ$139,MATCH($C$1,'2025_oct_transform'!$C$1:$C$139,0),MATCH($A40,'2025_oct_transform'!$C$1:$AQ$1,0))</f>
        <v>-0.98624622136459561</v>
      </c>
      <c r="F40" s="59">
        <f>INDEX('2025_dec_raw'!$C$1:$AK$139,MATCH($C$1,'2025_dec_raw'!$C$1:$C$139,0),MATCH($A40,'2025_dec_raw'!$C$1:$AK$1,0))</f>
        <v>-0.997583</v>
      </c>
      <c r="G40" s="64">
        <f>INDEX('2025_dec_transform'!$C$1:$AQ$139,MATCH($C$1,'2025_dec_transform'!$C$1:$C$139,0),MATCH($A40,'2025_dec_transform'!$C$1:$AQ$1,0))</f>
        <v>-1.1607119353584989</v>
      </c>
      <c r="H40" s="71">
        <f>F40-D40</f>
        <v>-0.15928200000000003</v>
      </c>
      <c r="I40" s="38">
        <f t="shared" si="3"/>
        <v>-0.17446571399390332</v>
      </c>
    </row>
    <row r="41" spans="1:9" x14ac:dyDescent="0.3">
      <c r="A41" t="s">
        <v>221</v>
      </c>
      <c r="B41" s="45" t="s">
        <v>292</v>
      </c>
      <c r="C41" s="43" t="s">
        <v>311</v>
      </c>
      <c r="D41" s="55" t="s">
        <v>284</v>
      </c>
      <c r="E41" s="18">
        <f>INDEX('2025_oct_transform'!$C$1:$AQ$139,MATCH($C$1,'2025_oct_transform'!$C$1:$C$139,0),MATCH($A41,'2025_oct_transform'!$C$1:$AQ$1,0))</f>
        <v>-0.99802822865629137</v>
      </c>
      <c r="F41" s="55" t="s">
        <v>284</v>
      </c>
      <c r="G41" s="18">
        <f>INDEX('2025_dec_transform'!$C$1:$AQ$139,MATCH($C$1,'2025_dec_transform'!$C$1:$C$139,0),MATCH($A41,'2025_dec_transform'!$C$1:$AQ$1,0))</f>
        <v>-0.99802879296545155</v>
      </c>
      <c r="H41" s="48"/>
      <c r="I41" s="74">
        <f>G41-E41</f>
        <v>-5.643091601781336E-7</v>
      </c>
    </row>
    <row r="42" spans="1:9" x14ac:dyDescent="0.3">
      <c r="A42" t="s">
        <v>244</v>
      </c>
      <c r="B42" s="46"/>
      <c r="C42" s="17" t="s">
        <v>312</v>
      </c>
      <c r="D42" s="59">
        <f>INDEX('2025_oct_raw'!$C$1:$AK$139,MATCH($C$1,'2025_oct_raw'!$C$1:$C$139,0),MATCH($A42,'2025_oct_raw'!$C$1:$AK$1,0))</f>
        <v>-11.042</v>
      </c>
      <c r="E42" s="18">
        <f>INDEX('2025_oct_transform'!$C$1:$AQ$139,MATCH($C$1,'2025_oct_transform'!$C$1:$C$139,0),MATCH($A42,'2025_oct_transform'!$C$1:$AQ$1,0))</f>
        <v>-2.137778237589711</v>
      </c>
      <c r="F42" s="59">
        <f>INDEX('2025_dec_raw'!$C$1:$AK$139,MATCH($C$1,'2025_dec_raw'!$C$1:$C$139,0),MATCH($A42,'2025_dec_raw'!$C$1:$AK$1,0))</f>
        <v>-11.042</v>
      </c>
      <c r="G42" s="18">
        <f>INDEX('2025_dec_transform'!$C$1:$AQ$139,MATCH($C$1,'2025_dec_transform'!$C$1:$C$139,0),MATCH($A42,'2025_dec_transform'!$C$1:$AQ$1,0))</f>
        <v>-2.137778237589711</v>
      </c>
      <c r="H42" s="38">
        <f>F42-D42</f>
        <v>0</v>
      </c>
      <c r="I42" s="38">
        <f>G42-E42</f>
        <v>0</v>
      </c>
    </row>
    <row r="43" spans="1:9" x14ac:dyDescent="0.3">
      <c r="A43" t="s">
        <v>245</v>
      </c>
      <c r="B43" s="46"/>
      <c r="C43" s="17" t="s">
        <v>313</v>
      </c>
      <c r="D43" s="59">
        <f>INDEX('2025_oct_raw'!$C$1:$AK$139,MATCH($C$1,'2025_oct_raw'!$C$1:$C$139,0),MATCH($A43,'2025_oct_raw'!$C$1:$AK$1,0))</f>
        <v>25.073</v>
      </c>
      <c r="E43" s="18">
        <f>INDEX('2025_oct_transform'!$C$1:$AQ$139,MATCH($C$1,'2025_oct_transform'!$C$1:$C$139,0),MATCH($A43,'2025_oct_transform'!$C$1:$AQ$1,0))</f>
        <v>-0.35737490401642852</v>
      </c>
      <c r="F43" s="59">
        <f>INDEX('2025_dec_raw'!$C$1:$AK$139,MATCH($C$1,'2025_dec_raw'!$C$1:$C$139,0),MATCH($A43,'2025_dec_raw'!$C$1:$AK$1,0))</f>
        <v>25.073</v>
      </c>
      <c r="G43" s="18">
        <f>INDEX('2025_dec_transform'!$C$1:$AQ$139,MATCH($C$1,'2025_dec_transform'!$C$1:$C$139,0),MATCH($A43,'2025_dec_transform'!$C$1:$AQ$1,0))</f>
        <v>-0.35737490401642852</v>
      </c>
      <c r="H43" s="38">
        <f>F43-D43</f>
        <v>0</v>
      </c>
      <c r="I43" s="38">
        <f>G43-E43</f>
        <v>0</v>
      </c>
    </row>
    <row r="44" spans="1:9" x14ac:dyDescent="0.3">
      <c r="A44" t="s">
        <v>246</v>
      </c>
      <c r="B44" s="47"/>
      <c r="C44" s="20" t="s">
        <v>314</v>
      </c>
      <c r="D44" s="59">
        <f>INDEX('2025_oct_raw'!$C$1:$AK$139,MATCH($C$1,'2025_oct_raw'!$C$1:$C$139,0),MATCH($A44,'2025_oct_raw'!$C$1:$AK$1,0))</f>
        <v>12.694930802058</v>
      </c>
      <c r="E44" s="64">
        <f>INDEX('2025_oct_transform'!$C$1:$AQ$139,MATCH($C$1,'2025_oct_transform'!$C$1:$C$139,0),MATCH($A44,'2025_oct_transform'!$C$1:$AQ$1,0))</f>
        <v>-0.49893154436273512</v>
      </c>
      <c r="F44" s="59">
        <f>INDEX('2025_dec_raw'!$C$1:$AK$139,MATCH($C$1,'2025_dec_raw'!$C$1:$C$139,0),MATCH($A44,'2025_dec_raw'!$C$1:$AK$1,0))</f>
        <v>12.694930802058</v>
      </c>
      <c r="G44" s="64">
        <f>INDEX('2025_dec_transform'!$C$1:$AQ$139,MATCH($C$1,'2025_dec_transform'!$C$1:$C$139,0),MATCH($A44,'2025_dec_transform'!$C$1:$AQ$1,0))</f>
        <v>-0.49893323729021538</v>
      </c>
      <c r="H44" s="71">
        <f>F44-D44</f>
        <v>0</v>
      </c>
      <c r="I44" s="71">
        <f>G44-E44</f>
        <v>-1.692927480256845E-6</v>
      </c>
    </row>
    <row r="45" spans="1:9" x14ac:dyDescent="0.3">
      <c r="A45" t="s">
        <v>247</v>
      </c>
      <c r="B45" s="44" t="s">
        <v>293</v>
      </c>
      <c r="C45" s="41" t="s">
        <v>315</v>
      </c>
      <c r="D45" s="56">
        <f>INDEX('2025_oct_raw'!$C$1:$AK$139,MATCH($C$1,'2025_oct_raw'!$C$1:$C$139,0),MATCH($A45,'2025_oct_raw'!$C$1:$AK$1,0))</f>
        <v>93.706000000000003</v>
      </c>
      <c r="E45" s="64">
        <f>INDEX('2025_oct_transform'!$C$1:$AQ$139,MATCH($C$1,'2025_oct_transform'!$C$1:$C$139,0),MATCH($A45,'2025_oct_transform'!$C$1:$AQ$1,0))</f>
        <v>0.99062148634517477</v>
      </c>
      <c r="F45" s="56">
        <f>INDEX('2025_dec_raw'!$C$1:$AK$139,MATCH($C$1,'2025_dec_raw'!$C$1:$C$139,0),MATCH($A45,'2025_dec_raw'!$C$1:$AK$1,0))</f>
        <v>93.706000000000003</v>
      </c>
      <c r="G45" s="64">
        <f>INDEX('2025_dec_transform'!$C$1:$AQ$139,MATCH($C$1,'2025_dec_transform'!$C$1:$C$139,0),MATCH($A45,'2025_dec_transform'!$C$1:$AQ$1,0))</f>
        <v>0.99062148634517477</v>
      </c>
      <c r="H45" s="63">
        <f>F45-D45</f>
        <v>0</v>
      </c>
      <c r="I45" s="63">
        <f>G45-E45</f>
        <v>0</v>
      </c>
    </row>
    <row r="46" spans="1:9" x14ac:dyDescent="0.3">
      <c r="A46" t="s">
        <v>248</v>
      </c>
      <c r="B46" s="44" t="s">
        <v>294</v>
      </c>
      <c r="C46" s="41" t="s">
        <v>316</v>
      </c>
      <c r="D46" s="56">
        <f>INDEX('2025_oct_raw'!$C$1:$AK$139,MATCH($C$1,'2025_oct_raw'!$C$1:$C$139,0),MATCH($A46,'2025_oct_raw'!$C$1:$AK$1,0))</f>
        <v>-0.77514285714285713</v>
      </c>
      <c r="E46" s="64">
        <f>INDEX('2025_oct_transform'!$C$1:$AQ$139,MATCH($C$1,'2025_oct_transform'!$C$1:$C$139,0),MATCH($A46,'2025_oct_transform'!$C$1:$AQ$1,0))</f>
        <v>9.8618920988451278E-2</v>
      </c>
      <c r="F46" s="56">
        <f>INDEX('2025_dec_raw'!$C$1:$AK$139,MATCH($C$1,'2025_dec_raw'!$C$1:$C$139,0),MATCH($A46,'2025_dec_raw'!$C$1:$AK$1,0))</f>
        <v>-0.77514285714285713</v>
      </c>
      <c r="G46" s="64">
        <f>INDEX('2025_dec_transform'!$C$1:$AQ$139,MATCH($C$1,'2025_dec_transform'!$C$1:$C$139,0),MATCH($A46,'2025_dec_transform'!$C$1:$AQ$1,0))</f>
        <v>9.8618920988451278E-2</v>
      </c>
      <c r="H46" s="63">
        <f>F46-D46</f>
        <v>0</v>
      </c>
      <c r="I46" s="63">
        <f>G46-E46</f>
        <v>0</v>
      </c>
    </row>
    <row r="47" spans="1:9" x14ac:dyDescent="0.3">
      <c r="A47" t="s">
        <v>224</v>
      </c>
      <c r="B47" s="45" t="s">
        <v>295</v>
      </c>
      <c r="C47" s="43" t="s">
        <v>317</v>
      </c>
      <c r="D47" s="54" t="s">
        <v>284</v>
      </c>
      <c r="E47" s="18">
        <f>INDEX('2025_oct_transform'!$C$1:$AQ$139,MATCH($C$1,'2025_oct_transform'!$C$1:$C$139,0),MATCH($A47,'2025_oct_transform'!$C$1:$AQ$1,0))</f>
        <v>-3.3590277669119688</v>
      </c>
      <c r="F47" s="54" t="s">
        <v>284</v>
      </c>
      <c r="G47" s="18">
        <f>INDEX('2025_dec_transform'!$C$1:$AQ$139,MATCH($C$1,'2025_dec_transform'!$C$1:$C$139,0),MATCH($A47,'2025_dec_transform'!$C$1:$AQ$1,0))</f>
        <v>-1.3162626343675241</v>
      </c>
      <c r="H47" s="72" t="s">
        <v>284</v>
      </c>
      <c r="I47" s="74">
        <f>G47-E47</f>
        <v>2.0427651325444449</v>
      </c>
    </row>
    <row r="48" spans="1:9" x14ac:dyDescent="0.3">
      <c r="A48" t="s">
        <v>249</v>
      </c>
      <c r="B48" s="46"/>
      <c r="C48" s="17" t="s">
        <v>318</v>
      </c>
      <c r="D48" s="59">
        <f>INDEX('2025_oct_raw'!$C$1:$AK$139,MATCH($C$1,'2025_oct_raw'!$C$1:$C$139,0),MATCH($A48,'2025_oct_raw'!$C$1:$AK$1,0))</f>
        <v>3.4654837815359017E-2</v>
      </c>
      <c r="E48" s="18">
        <f>INDEX('2025_oct_transform'!$C$1:$AQ$139,MATCH($C$1,'2025_oct_transform'!$C$1:$C$139,0),MATCH($A48,'2025_oct_transform'!$C$1:$AQ$1,0))</f>
        <v>-3.57260997162019</v>
      </c>
      <c r="F48" s="59">
        <f>INDEX('2025_dec_raw'!$C$1:$AK$139,MATCH($C$1,'2025_dec_raw'!$C$1:$C$139,0),MATCH($A48,'2025_dec_raw'!$C$1:$AK$1,0))</f>
        <v>0.76786469344608876</v>
      </c>
      <c r="G48" s="18">
        <f>INDEX('2025_dec_transform'!$C$1:$AQ$139,MATCH($C$1,'2025_dec_transform'!$C$1:$C$139,0),MATCH($A48,'2025_dec_transform'!$C$1:$AQ$1,0))</f>
        <v>-1.6031106713958201</v>
      </c>
      <c r="H48" s="38">
        <f>F48-D48</f>
        <v>0.73320985563072971</v>
      </c>
      <c r="I48" s="38">
        <f>G48-E48</f>
        <v>1.9694993002243699</v>
      </c>
    </row>
    <row r="49" spans="1:9" x14ac:dyDescent="0.3">
      <c r="A49" t="s">
        <v>250</v>
      </c>
      <c r="B49" s="47"/>
      <c r="C49" s="20" t="s">
        <v>319</v>
      </c>
      <c r="D49" s="59">
        <f>INDEX('2025_oct_raw'!$C$1:$AK$139,MATCH($C$1,'2025_oct_raw'!$C$1:$C$139,0),MATCH($A49,'2025_oct_raw'!$C$1:$AK$1,0))</f>
        <v>2.7036999999999999E-2</v>
      </c>
      <c r="E49" s="64">
        <f>INDEX('2025_oct_transform'!$C$1:$AQ$139,MATCH($C$1,'2025_oct_transform'!$C$1:$C$139,0),MATCH($A49,'2025_oct_transform'!$C$1:$AQ$1,0))</f>
        <v>-3.145445562203748</v>
      </c>
      <c r="F49" s="59">
        <f>INDEX('2025_dec_raw'!$C$1:$AK$139,MATCH($C$1,'2025_dec_raw'!$C$1:$C$139,0),MATCH($A49,'2025_dec_raw'!$C$1:$AK$1,0))</f>
        <v>0.73787199999999997</v>
      </c>
      <c r="G49" s="64">
        <f>INDEX('2025_dec_transform'!$C$1:$AQ$139,MATCH($C$1,'2025_dec_transform'!$C$1:$C$139,0),MATCH($A49,'2025_dec_transform'!$C$1:$AQ$1,0))</f>
        <v>-1.029414597339229</v>
      </c>
      <c r="H49" s="38">
        <f>F49-D49</f>
        <v>0.71083499999999999</v>
      </c>
      <c r="I49" s="71">
        <f>G49-E49</f>
        <v>2.1160309648645192</v>
      </c>
    </row>
    <row r="50" spans="1:9" x14ac:dyDescent="0.3">
      <c r="A50" t="s">
        <v>251</v>
      </c>
      <c r="B50" s="44" t="s">
        <v>296</v>
      </c>
      <c r="C50" s="41" t="s">
        <v>320</v>
      </c>
      <c r="D50" s="57">
        <f>INDEX('2025_oct_raw'!$C$1:$AK$139,MATCH($C$1,'2025_oct_raw'!$C$1:$C$139,0),MATCH($A50,'2025_oct_raw'!$C$1:$AK$1,0))</f>
        <v>0</v>
      </c>
      <c r="E50" s="62">
        <f>INDEX('2025_oct_transform'!$C$1:$AQ$139,MATCH($C$1,'2025_oct_transform'!$C$1:$C$139,0),MATCH($A50,'2025_oct_transform'!$C$1:$AQ$1,0))</f>
        <v>-0.52486557418804092</v>
      </c>
      <c r="F50" s="57">
        <f>INDEX('2025_dec_raw'!$C$1:$AK$139,MATCH($C$1,'2025_dec_raw'!$C$1:$C$139,0),MATCH($A50,'2025_dec_raw'!$C$1:$AK$1,0))</f>
        <v>0</v>
      </c>
      <c r="G50" s="62">
        <f>INDEX('2025_dec_transform'!$C$1:$AQ$139,MATCH($C$1,'2025_dec_transform'!$C$1:$C$139,0),MATCH($A50,'2025_dec_transform'!$C$1:$AQ$1,0))</f>
        <v>-0.52486557418804092</v>
      </c>
      <c r="H50" s="61">
        <f>F50-D50</f>
        <v>0</v>
      </c>
      <c r="I50" s="63">
        <f>G50-E50</f>
        <v>0</v>
      </c>
    </row>
  </sheetData>
  <mergeCells count="4">
    <mergeCell ref="D5:F5"/>
    <mergeCell ref="G5:I5"/>
    <mergeCell ref="D24:E24"/>
    <mergeCell ref="F24:G24"/>
  </mergeCells>
  <conditionalFormatting sqref="J7:J19">
    <cfRule type="dataBar" priority="2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{1EA57622-8D8C-4FFD-95DC-543CD9801A3F}</x14:id>
        </ext>
      </extLst>
    </cfRule>
  </conditionalFormatting>
  <conditionalFormatting sqref="I26:I50">
    <cfRule type="dataBar" priority="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{3D5641F2-1E5D-48C8-82F8-271A374F04DC}</x14:id>
        </ext>
      </extLst>
    </cfRule>
  </conditionalFormatting>
  <pageMargins left="0.7" right="0.7" top="0.75" bottom="0.75" header="0.3" footer="0.3"/>
  <pageSetup orientation="portrait" r:id="rId1"/>
  <ignoredErrors>
    <ignoredError sqref="E27:E50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A57622-8D8C-4FFD-95DC-543CD9801A3F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J7:J19</xm:sqref>
        </x14:conditionalFormatting>
        <x14:conditionalFormatting xmlns:xm="http://schemas.microsoft.com/office/excel/2006/main">
          <x14:cfRule type="dataBar" id="{3D5641F2-1E5D-48C8-82F8-271A374F04DC}">
            <x14:dataBar minLength="0" maxLength="100" gradient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I26:I50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country_list!$A$1:$A$138</xm:f>
          </x14:formula1>
          <xm:sqref>C1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selection activeCell="C12" sqref="C12"/>
    </sheetView>
  </sheetViews>
  <sheetFormatPr defaultRowHeight="14.4" x14ac:dyDescent="0.3"/>
  <cols>
    <col min="1" max="1" width="34" customWidth="1"/>
    <col min="2" max="2" width="19" customWidth="1"/>
    <col min="3" max="3" width="20" customWidth="1"/>
    <col min="4" max="4" width="22" customWidth="1"/>
    <col min="7" max="7" width="22" customWidth="1"/>
    <col min="8" max="8" width="26" customWidth="1"/>
    <col min="10" max="10" width="17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21</v>
      </c>
      <c r="C2" s="3">
        <v>18.705976997167749</v>
      </c>
      <c r="D2" s="3">
        <v>0</v>
      </c>
      <c r="E2" s="3">
        <v>18.705976997167749</v>
      </c>
      <c r="F2" s="4" t="s">
        <v>11</v>
      </c>
      <c r="G2" s="3">
        <v>0.205976997167749</v>
      </c>
      <c r="H2" s="5" t="s">
        <v>12</v>
      </c>
      <c r="I2" s="4" t="s">
        <v>13</v>
      </c>
      <c r="J2" s="4" t="s">
        <v>14</v>
      </c>
    </row>
    <row r="3" spans="1:10" x14ac:dyDescent="0.3">
      <c r="A3" s="2" t="s">
        <v>15</v>
      </c>
      <c r="B3" s="3">
        <v>19.333333333333329</v>
      </c>
      <c r="C3" s="3">
        <v>19.153396474737619</v>
      </c>
      <c r="D3" s="3">
        <v>0</v>
      </c>
      <c r="E3" s="3">
        <v>19.153396474737619</v>
      </c>
      <c r="F3" s="4" t="s">
        <v>11</v>
      </c>
      <c r="G3" s="3">
        <v>0.65339647473761886</v>
      </c>
      <c r="H3" s="5" t="s">
        <v>16</v>
      </c>
      <c r="I3" s="4" t="s">
        <v>13</v>
      </c>
      <c r="J3" s="4" t="s">
        <v>17</v>
      </c>
    </row>
    <row r="4" spans="1:10" x14ac:dyDescent="0.3">
      <c r="A4" s="2" t="s">
        <v>18</v>
      </c>
      <c r="B4" s="3">
        <v>20.666666666666671</v>
      </c>
      <c r="C4" s="3">
        <v>18.72397204883865</v>
      </c>
      <c r="D4" s="3">
        <v>0</v>
      </c>
      <c r="E4" s="3">
        <v>18.72397204883865</v>
      </c>
      <c r="F4" s="4" t="s">
        <v>11</v>
      </c>
      <c r="G4" s="3">
        <v>0.2239720488386503</v>
      </c>
      <c r="H4" s="5" t="s">
        <v>12</v>
      </c>
      <c r="I4" s="4" t="s">
        <v>13</v>
      </c>
      <c r="J4" s="4" t="s">
        <v>19</v>
      </c>
    </row>
    <row r="5" spans="1:10" x14ac:dyDescent="0.3">
      <c r="A5" s="2" t="s">
        <v>20</v>
      </c>
      <c r="B5" s="3">
        <v>19</v>
      </c>
      <c r="C5" s="3">
        <v>17.541836821887738</v>
      </c>
      <c r="D5" s="3">
        <v>0</v>
      </c>
      <c r="E5" s="3">
        <v>17.541836821887738</v>
      </c>
      <c r="F5" s="4" t="s">
        <v>21</v>
      </c>
      <c r="G5" s="3">
        <v>4.1836821887738303E-2</v>
      </c>
      <c r="H5" s="5" t="s">
        <v>22</v>
      </c>
      <c r="I5" s="4" t="s">
        <v>13</v>
      </c>
      <c r="J5" s="4" t="s">
        <v>19</v>
      </c>
    </row>
    <row r="6" spans="1:10" x14ac:dyDescent="0.3">
      <c r="A6" s="2" t="s">
        <v>23</v>
      </c>
      <c r="B6" s="3">
        <v>22</v>
      </c>
      <c r="C6" s="3">
        <v>23.25188328883797</v>
      </c>
      <c r="D6" s="3">
        <v>0</v>
      </c>
      <c r="E6" s="3">
        <v>22</v>
      </c>
      <c r="F6" s="4" t="s">
        <v>24</v>
      </c>
      <c r="G6" s="3">
        <v>1</v>
      </c>
      <c r="H6" s="5" t="s">
        <v>25</v>
      </c>
      <c r="I6" s="4" t="s">
        <v>13</v>
      </c>
      <c r="J6" s="4" t="s">
        <v>19</v>
      </c>
    </row>
    <row r="7" spans="1:10" x14ac:dyDescent="0.3">
      <c r="A7" s="2" t="s">
        <v>26</v>
      </c>
      <c r="B7" s="3">
        <v>18.666666666666671</v>
      </c>
      <c r="C7" s="3">
        <v>17.913243227580899</v>
      </c>
      <c r="D7" s="3">
        <v>0.2</v>
      </c>
      <c r="E7" s="3">
        <v>18.113243227580899</v>
      </c>
      <c r="F7" s="4" t="s">
        <v>21</v>
      </c>
      <c r="G7" s="3">
        <v>0.61324322758089878</v>
      </c>
      <c r="H7" s="5" t="s">
        <v>27</v>
      </c>
      <c r="I7" s="4" t="s">
        <v>13</v>
      </c>
      <c r="J7" s="4" t="s">
        <v>17</v>
      </c>
    </row>
    <row r="8" spans="1:10" x14ac:dyDescent="0.3">
      <c r="A8" s="2" t="s">
        <v>28</v>
      </c>
      <c r="B8" s="3">
        <v>22</v>
      </c>
      <c r="C8" s="3">
        <v>21.331575696039561</v>
      </c>
      <c r="D8" s="3">
        <v>0.4</v>
      </c>
      <c r="E8" s="3">
        <v>21.73157569603956</v>
      </c>
      <c r="F8" s="4" t="s">
        <v>24</v>
      </c>
      <c r="G8" s="3">
        <v>0.2315756960395596</v>
      </c>
      <c r="H8" s="5" t="s">
        <v>29</v>
      </c>
      <c r="I8" s="4" t="s">
        <v>13</v>
      </c>
      <c r="J8" s="4" t="s">
        <v>17</v>
      </c>
    </row>
    <row r="9" spans="1:10" x14ac:dyDescent="0.3">
      <c r="A9" s="2" t="s">
        <v>30</v>
      </c>
      <c r="B9" s="3">
        <v>14.33333333333333</v>
      </c>
      <c r="C9" s="3">
        <v>16.57560540753866</v>
      </c>
      <c r="D9" s="3">
        <v>0</v>
      </c>
      <c r="E9" s="3">
        <v>16.57560540753866</v>
      </c>
      <c r="F9" s="4" t="s">
        <v>31</v>
      </c>
      <c r="G9" s="3">
        <v>7.5605407538660074E-2</v>
      </c>
      <c r="H9" s="5" t="s">
        <v>32</v>
      </c>
      <c r="I9" s="4" t="s">
        <v>13</v>
      </c>
      <c r="J9" s="4" t="s">
        <v>17</v>
      </c>
    </row>
    <row r="10" spans="1:10" x14ac:dyDescent="0.3">
      <c r="A10" s="2" t="s">
        <v>33</v>
      </c>
      <c r="B10" s="3">
        <v>22</v>
      </c>
      <c r="C10" s="3">
        <v>21.067220234557809</v>
      </c>
      <c r="D10" s="3">
        <v>0</v>
      </c>
      <c r="E10" s="3">
        <v>21.067220234557809</v>
      </c>
      <c r="F10" s="4" t="s">
        <v>34</v>
      </c>
      <c r="G10" s="3">
        <v>0.56722023455780857</v>
      </c>
      <c r="H10" s="5" t="s">
        <v>35</v>
      </c>
      <c r="I10" s="4" t="s">
        <v>13</v>
      </c>
      <c r="J10" s="4" t="s">
        <v>19</v>
      </c>
    </row>
    <row r="11" spans="1:10" x14ac:dyDescent="0.3">
      <c r="A11" s="2" t="s">
        <v>36</v>
      </c>
      <c r="B11" s="3">
        <v>22</v>
      </c>
      <c r="C11" s="3">
        <v>21.456200315069971</v>
      </c>
      <c r="D11" s="3">
        <v>0</v>
      </c>
      <c r="E11" s="3">
        <v>21.456200315069971</v>
      </c>
      <c r="F11" s="4" t="s">
        <v>34</v>
      </c>
      <c r="G11" s="3">
        <v>0.95620031506997094</v>
      </c>
      <c r="H11" s="5" t="s">
        <v>37</v>
      </c>
      <c r="I11" s="4" t="s">
        <v>13</v>
      </c>
      <c r="J11" s="4" t="s">
        <v>19</v>
      </c>
    </row>
    <row r="12" spans="1:10" x14ac:dyDescent="0.3">
      <c r="A12" s="2" t="s">
        <v>38</v>
      </c>
      <c r="B12" s="3">
        <v>22</v>
      </c>
      <c r="C12" s="3">
        <v>23.741085147534619</v>
      </c>
      <c r="D12" s="3">
        <v>0</v>
      </c>
      <c r="E12" s="3">
        <v>22</v>
      </c>
      <c r="F12" s="4" t="s">
        <v>24</v>
      </c>
      <c r="G12" s="3">
        <v>1</v>
      </c>
      <c r="H12" s="5" t="s">
        <v>25</v>
      </c>
      <c r="I12" s="4" t="s">
        <v>13</v>
      </c>
      <c r="J12" s="4" t="s">
        <v>39</v>
      </c>
    </row>
    <row r="13" spans="1:10" x14ac:dyDescent="0.3">
      <c r="A13" s="2" t="s">
        <v>40</v>
      </c>
      <c r="B13" s="3">
        <v>22</v>
      </c>
      <c r="C13" s="3">
        <v>21.812877017464668</v>
      </c>
      <c r="D13" s="3">
        <v>0</v>
      </c>
      <c r="E13" s="3">
        <v>21.812877017464668</v>
      </c>
      <c r="F13" s="4" t="s">
        <v>24</v>
      </c>
      <c r="G13" s="3">
        <v>0.31287701746466817</v>
      </c>
      <c r="H13" s="5" t="s">
        <v>41</v>
      </c>
      <c r="I13" s="4" t="s">
        <v>13</v>
      </c>
      <c r="J13" s="4" t="s">
        <v>39</v>
      </c>
    </row>
    <row r="14" spans="1:10" x14ac:dyDescent="0.3">
      <c r="A14" s="2" t="s">
        <v>42</v>
      </c>
      <c r="B14" s="3">
        <v>22</v>
      </c>
      <c r="C14" s="3">
        <v>23.173670729623371</v>
      </c>
      <c r="D14" s="3">
        <v>0</v>
      </c>
      <c r="E14" s="3">
        <v>22</v>
      </c>
      <c r="F14" s="4" t="s">
        <v>24</v>
      </c>
      <c r="G14" s="3">
        <v>1</v>
      </c>
      <c r="H14" s="5" t="s">
        <v>25</v>
      </c>
      <c r="I14" s="4" t="s">
        <v>13</v>
      </c>
      <c r="J14" s="4" t="s">
        <v>19</v>
      </c>
    </row>
    <row r="15" spans="1:10" x14ac:dyDescent="0.3">
      <c r="A15" s="2" t="s">
        <v>43</v>
      </c>
      <c r="B15" s="3">
        <v>21.666666666666671</v>
      </c>
      <c r="C15" s="3">
        <v>19.59369365251289</v>
      </c>
      <c r="D15" s="3">
        <v>0.7</v>
      </c>
      <c r="E15" s="3">
        <v>20.293693652512889</v>
      </c>
      <c r="F15" s="4" t="s">
        <v>44</v>
      </c>
      <c r="G15" s="3">
        <v>0.79369365251288926</v>
      </c>
      <c r="H15" s="5" t="s">
        <v>45</v>
      </c>
      <c r="I15" s="4" t="s">
        <v>13</v>
      </c>
      <c r="J15" s="4" t="s">
        <v>39</v>
      </c>
    </row>
    <row r="16" spans="1:10" x14ac:dyDescent="0.3">
      <c r="A16" s="2" t="s">
        <v>46</v>
      </c>
      <c r="B16" s="3">
        <v>17.666666666666671</v>
      </c>
      <c r="C16" s="3">
        <v>18.45310204113985</v>
      </c>
      <c r="D16" s="3">
        <v>0</v>
      </c>
      <c r="E16" s="3">
        <v>18.45310204113985</v>
      </c>
      <c r="F16" s="4" t="s">
        <v>21</v>
      </c>
      <c r="G16" s="3">
        <v>0.95310204113985009</v>
      </c>
      <c r="H16" s="5" t="s">
        <v>37</v>
      </c>
      <c r="I16" s="4" t="s">
        <v>13</v>
      </c>
      <c r="J16" s="4" t="s">
        <v>47</v>
      </c>
    </row>
    <row r="17" spans="1:10" x14ac:dyDescent="0.3">
      <c r="A17" s="2" t="s">
        <v>48</v>
      </c>
      <c r="B17" s="3">
        <v>20.666666666666671</v>
      </c>
      <c r="C17" s="3">
        <v>19.92351730451686</v>
      </c>
      <c r="D17" s="3">
        <v>0</v>
      </c>
      <c r="E17" s="3">
        <v>19.92351730451686</v>
      </c>
      <c r="F17" s="4" t="s">
        <v>44</v>
      </c>
      <c r="G17" s="3">
        <v>0.42351730451686009</v>
      </c>
      <c r="H17" s="5" t="s">
        <v>49</v>
      </c>
      <c r="I17" s="4" t="s">
        <v>13</v>
      </c>
      <c r="J17" s="4" t="s">
        <v>19</v>
      </c>
    </row>
    <row r="18" spans="1:10" x14ac:dyDescent="0.3">
      <c r="A18" s="2" t="s">
        <v>50</v>
      </c>
      <c r="B18" s="3">
        <v>13.33333333333333</v>
      </c>
      <c r="C18" s="3">
        <v>13.083407784304139</v>
      </c>
      <c r="D18" s="3">
        <v>0</v>
      </c>
      <c r="E18" s="3">
        <v>13.083407784304139</v>
      </c>
      <c r="F18" s="4" t="s">
        <v>51</v>
      </c>
      <c r="G18" s="3">
        <v>0.5834077843041392</v>
      </c>
      <c r="H18" s="5" t="s">
        <v>27</v>
      </c>
      <c r="I18" s="4" t="s">
        <v>13</v>
      </c>
      <c r="J18" s="4" t="s">
        <v>19</v>
      </c>
    </row>
    <row r="19" spans="1:10" x14ac:dyDescent="0.3">
      <c r="A19" s="2" t="s">
        <v>52</v>
      </c>
      <c r="B19" s="3">
        <v>17.666666666666671</v>
      </c>
      <c r="C19" s="3">
        <v>17.487681244544088</v>
      </c>
      <c r="D19" s="3">
        <v>0</v>
      </c>
      <c r="E19" s="3">
        <v>17.487681244544088</v>
      </c>
      <c r="F19" s="4" t="s">
        <v>31</v>
      </c>
      <c r="G19" s="3">
        <v>0.98768124454408834</v>
      </c>
      <c r="H19" s="5" t="s">
        <v>25</v>
      </c>
      <c r="I19" s="4" t="s">
        <v>13</v>
      </c>
      <c r="J19" s="4" t="s">
        <v>19</v>
      </c>
    </row>
    <row r="20" spans="1:10" x14ac:dyDescent="0.3">
      <c r="A20" s="2" t="s">
        <v>53</v>
      </c>
      <c r="B20" s="3">
        <v>19.666666666666671</v>
      </c>
      <c r="C20" s="3">
        <v>21.545088419686781</v>
      </c>
      <c r="D20" s="3">
        <v>0</v>
      </c>
      <c r="E20" s="3">
        <v>21.545088419686781</v>
      </c>
      <c r="F20" s="4" t="s">
        <v>24</v>
      </c>
      <c r="G20" s="3">
        <v>4.5088419686781123E-2</v>
      </c>
      <c r="H20" s="5" t="s">
        <v>22</v>
      </c>
      <c r="I20" s="4" t="s">
        <v>13</v>
      </c>
      <c r="J20" s="4" t="s">
        <v>19</v>
      </c>
    </row>
    <row r="21" spans="1:10" x14ac:dyDescent="0.3">
      <c r="A21" s="2" t="s">
        <v>54</v>
      </c>
      <c r="B21" s="3">
        <v>17</v>
      </c>
      <c r="C21" s="3">
        <v>15.69306348343634</v>
      </c>
      <c r="D21" s="3">
        <v>0</v>
      </c>
      <c r="E21" s="3">
        <v>15.69306348343634</v>
      </c>
      <c r="F21" s="4" t="s">
        <v>55</v>
      </c>
      <c r="G21" s="3">
        <v>0.19306348343634031</v>
      </c>
      <c r="H21" s="5" t="s">
        <v>12</v>
      </c>
      <c r="I21" s="4" t="s">
        <v>13</v>
      </c>
      <c r="J21" s="4" t="s">
        <v>19</v>
      </c>
    </row>
    <row r="22" spans="1:10" x14ac:dyDescent="0.3">
      <c r="A22" s="2" t="s">
        <v>56</v>
      </c>
      <c r="B22" s="3">
        <v>17</v>
      </c>
      <c r="C22" s="3">
        <v>16.771424951812602</v>
      </c>
      <c r="D22" s="3">
        <v>0</v>
      </c>
      <c r="E22" s="3">
        <v>16.771424951812602</v>
      </c>
      <c r="F22" s="4" t="s">
        <v>31</v>
      </c>
      <c r="G22" s="3">
        <v>0.27142495181260168</v>
      </c>
      <c r="H22" s="5" t="s">
        <v>29</v>
      </c>
      <c r="I22" s="4" t="s">
        <v>13</v>
      </c>
      <c r="J22" s="4" t="s">
        <v>19</v>
      </c>
    </row>
    <row r="23" spans="1:10" x14ac:dyDescent="0.3">
      <c r="A23" s="2" t="s">
        <v>57</v>
      </c>
      <c r="B23" s="3">
        <v>17</v>
      </c>
      <c r="C23" s="3">
        <v>17.65874044691807</v>
      </c>
      <c r="D23" s="3">
        <v>0</v>
      </c>
      <c r="E23" s="3">
        <v>17.65874044691807</v>
      </c>
      <c r="F23" s="4" t="s">
        <v>21</v>
      </c>
      <c r="G23" s="3">
        <v>0.1587404469180704</v>
      </c>
      <c r="H23" s="5" t="s">
        <v>58</v>
      </c>
      <c r="I23" s="4" t="s">
        <v>13</v>
      </c>
      <c r="J23" s="4" t="s">
        <v>39</v>
      </c>
    </row>
    <row r="24" spans="1:10" x14ac:dyDescent="0.3">
      <c r="A24" s="2" t="s">
        <v>59</v>
      </c>
      <c r="B24" s="3">
        <v>10</v>
      </c>
      <c r="C24" s="3">
        <v>11.604822128627569</v>
      </c>
      <c r="D24" s="3">
        <v>-0.5</v>
      </c>
      <c r="E24" s="3">
        <v>11.104822128627569</v>
      </c>
      <c r="F24" s="4" t="s">
        <v>60</v>
      </c>
      <c r="G24" s="3">
        <v>0.60482212862756946</v>
      </c>
      <c r="H24" s="5" t="s">
        <v>27</v>
      </c>
      <c r="I24" s="4" t="s">
        <v>61</v>
      </c>
      <c r="J24" s="4" t="s">
        <v>62</v>
      </c>
    </row>
    <row r="25" spans="1:10" x14ac:dyDescent="0.3">
      <c r="A25" s="2" t="s">
        <v>63</v>
      </c>
      <c r="B25" s="3">
        <v>22</v>
      </c>
      <c r="C25" s="3">
        <v>21.263648472711569</v>
      </c>
      <c r="D25" s="3">
        <v>0.3</v>
      </c>
      <c r="E25" s="3">
        <v>21.56364847271157</v>
      </c>
      <c r="F25" s="4" t="s">
        <v>24</v>
      </c>
      <c r="G25" s="3">
        <v>6.3648472711570037E-2</v>
      </c>
      <c r="H25" s="5" t="s">
        <v>22</v>
      </c>
      <c r="I25" s="4" t="s">
        <v>13</v>
      </c>
      <c r="J25" s="4" t="s">
        <v>64</v>
      </c>
    </row>
    <row r="26" spans="1:10" x14ac:dyDescent="0.3">
      <c r="A26" s="2" t="s">
        <v>65</v>
      </c>
      <c r="B26" s="3">
        <v>21.333333333333329</v>
      </c>
      <c r="C26" s="3">
        <v>20.017220738999409</v>
      </c>
      <c r="D26" s="3">
        <v>0.5</v>
      </c>
      <c r="E26" s="3">
        <v>20.517220738999409</v>
      </c>
      <c r="F26" s="4" t="s">
        <v>34</v>
      </c>
      <c r="G26" s="3">
        <v>1.7220738999409239E-2</v>
      </c>
      <c r="H26" s="5" t="s">
        <v>66</v>
      </c>
      <c r="I26" s="4" t="s">
        <v>13</v>
      </c>
      <c r="J26" s="4" t="s">
        <v>64</v>
      </c>
    </row>
    <row r="27" spans="1:10" x14ac:dyDescent="0.3">
      <c r="A27" s="2" t="s">
        <v>67</v>
      </c>
      <c r="B27" s="3">
        <v>10.33333333333333</v>
      </c>
      <c r="C27" s="3">
        <v>11.937094137676279</v>
      </c>
      <c r="D27" s="3">
        <v>0.5</v>
      </c>
      <c r="E27" s="3">
        <v>12.437094137676279</v>
      </c>
      <c r="F27" s="4" t="s">
        <v>68</v>
      </c>
      <c r="G27" s="3">
        <v>0.93709413767627936</v>
      </c>
      <c r="H27" s="5" t="s">
        <v>37</v>
      </c>
      <c r="I27" s="4" t="s">
        <v>61</v>
      </c>
      <c r="J27" s="4" t="s">
        <v>62</v>
      </c>
    </row>
    <row r="28" spans="1:10" x14ac:dyDescent="0.3">
      <c r="A28" s="2" t="s">
        <v>69</v>
      </c>
      <c r="B28" s="3">
        <v>5.6666666666666679</v>
      </c>
      <c r="C28" s="3">
        <v>8.5219662893995807</v>
      </c>
      <c r="D28" s="3">
        <v>-2.5</v>
      </c>
      <c r="E28" s="3">
        <v>6.0219662893995807</v>
      </c>
      <c r="F28" s="4" t="s">
        <v>70</v>
      </c>
      <c r="G28" s="3">
        <v>0.52196628939958067</v>
      </c>
      <c r="H28" s="5" t="s">
        <v>71</v>
      </c>
      <c r="I28" s="4" t="s">
        <v>61</v>
      </c>
      <c r="J28" s="4" t="s">
        <v>72</v>
      </c>
    </row>
    <row r="29" spans="1:10" x14ac:dyDescent="0.3">
      <c r="A29" s="2" t="s">
        <v>73</v>
      </c>
      <c r="B29" s="3">
        <v>3.6666666666666679</v>
      </c>
      <c r="C29" s="3">
        <v>6.3757781224976213</v>
      </c>
      <c r="D29" s="3">
        <v>-2.75</v>
      </c>
      <c r="E29" s="3">
        <v>3.6257781224976209</v>
      </c>
      <c r="F29" s="4" t="s">
        <v>74</v>
      </c>
      <c r="G29" s="3">
        <v>0.1257781224976213</v>
      </c>
      <c r="H29" s="5" t="s">
        <v>58</v>
      </c>
      <c r="I29" s="4" t="s">
        <v>61</v>
      </c>
      <c r="J29" s="4" t="s">
        <v>72</v>
      </c>
    </row>
    <row r="30" spans="1:10" x14ac:dyDescent="0.3">
      <c r="A30" s="2" t="s">
        <v>75</v>
      </c>
      <c r="B30" s="3">
        <v>11.33333333333333</v>
      </c>
      <c r="C30" s="3">
        <v>12.78366323103543</v>
      </c>
      <c r="D30" s="3">
        <v>-1</v>
      </c>
      <c r="E30" s="3">
        <v>11.78366323103543</v>
      </c>
      <c r="F30" s="4" t="s">
        <v>68</v>
      </c>
      <c r="G30" s="3">
        <v>0.28366323103542967</v>
      </c>
      <c r="H30" s="5" t="s">
        <v>41</v>
      </c>
      <c r="I30" s="4" t="s">
        <v>61</v>
      </c>
      <c r="J30" s="4" t="s">
        <v>72</v>
      </c>
    </row>
    <row r="31" spans="1:10" x14ac:dyDescent="0.3">
      <c r="A31" s="2" t="s">
        <v>76</v>
      </c>
      <c r="B31" s="3">
        <v>16.666666666666671</v>
      </c>
      <c r="C31" s="3">
        <v>15.965810659826669</v>
      </c>
      <c r="D31" s="3">
        <v>0</v>
      </c>
      <c r="E31" s="3">
        <v>15.965810659826669</v>
      </c>
      <c r="F31" s="4" t="s">
        <v>55</v>
      </c>
      <c r="G31" s="3">
        <v>0.46581065982666908</v>
      </c>
      <c r="H31" s="5" t="s">
        <v>77</v>
      </c>
      <c r="I31" s="4" t="s">
        <v>61</v>
      </c>
      <c r="J31" s="4" t="s">
        <v>72</v>
      </c>
    </row>
    <row r="32" spans="1:10" x14ac:dyDescent="0.3">
      <c r="A32" s="2" t="s">
        <v>78</v>
      </c>
      <c r="B32" s="3">
        <v>12</v>
      </c>
      <c r="C32" s="3">
        <v>11.80176376181157</v>
      </c>
      <c r="D32" s="3">
        <v>-1.5</v>
      </c>
      <c r="E32" s="3">
        <v>10.30176376181157</v>
      </c>
      <c r="F32" s="4" t="s">
        <v>79</v>
      </c>
      <c r="G32" s="3">
        <v>0.80176376181156961</v>
      </c>
      <c r="H32" s="5" t="s">
        <v>45</v>
      </c>
      <c r="I32" s="4" t="s">
        <v>61</v>
      </c>
      <c r="J32" s="4" t="s">
        <v>72</v>
      </c>
    </row>
    <row r="33" spans="1:10" x14ac:dyDescent="0.3">
      <c r="A33" s="2" t="s">
        <v>80</v>
      </c>
      <c r="B33" s="3">
        <v>10.66666666666667</v>
      </c>
      <c r="C33" s="3">
        <v>14.06224571741871</v>
      </c>
      <c r="D33" s="3">
        <v>-1.25</v>
      </c>
      <c r="E33" s="3">
        <v>12.81224571741871</v>
      </c>
      <c r="F33" s="4" t="s">
        <v>51</v>
      </c>
      <c r="G33" s="3">
        <v>0.3122457174187101</v>
      </c>
      <c r="H33" s="5" t="s">
        <v>41</v>
      </c>
      <c r="I33" s="4" t="s">
        <v>61</v>
      </c>
      <c r="J33" s="4" t="s">
        <v>72</v>
      </c>
    </row>
    <row r="34" spans="1:10" x14ac:dyDescent="0.3">
      <c r="A34" s="2" t="s">
        <v>81</v>
      </c>
      <c r="B34" s="3">
        <v>10.66666666666667</v>
      </c>
      <c r="C34" s="3">
        <v>12.09164770312662</v>
      </c>
      <c r="D34" s="3">
        <v>-0.25</v>
      </c>
      <c r="E34" s="3">
        <v>11.84164770312662</v>
      </c>
      <c r="F34" s="4" t="s">
        <v>68</v>
      </c>
      <c r="G34" s="3">
        <v>0.34164770312662007</v>
      </c>
      <c r="H34" s="5" t="s">
        <v>82</v>
      </c>
      <c r="I34" s="4" t="s">
        <v>61</v>
      </c>
      <c r="J34" s="4" t="s">
        <v>72</v>
      </c>
    </row>
    <row r="35" spans="1:10" x14ac:dyDescent="0.3">
      <c r="A35" s="2" t="s">
        <v>83</v>
      </c>
      <c r="B35" s="3">
        <v>5.6666666666666679</v>
      </c>
      <c r="C35" s="3">
        <v>8.399959367475768</v>
      </c>
      <c r="D35" s="3">
        <v>-2.75</v>
      </c>
      <c r="E35" s="3">
        <v>5.649959367475768</v>
      </c>
      <c r="F35" s="4" t="s">
        <v>70</v>
      </c>
      <c r="G35" s="3">
        <v>0.14995936747576799</v>
      </c>
      <c r="H35" s="5" t="s">
        <v>58</v>
      </c>
      <c r="I35" s="4" t="s">
        <v>61</v>
      </c>
      <c r="J35" s="4" t="s">
        <v>72</v>
      </c>
    </row>
    <row r="36" spans="1:10" x14ac:dyDescent="0.3">
      <c r="A36" s="2" t="s">
        <v>84</v>
      </c>
      <c r="B36" s="3">
        <v>7</v>
      </c>
      <c r="C36" s="3">
        <v>5.7739379311958778</v>
      </c>
      <c r="D36" s="3">
        <v>0.75</v>
      </c>
      <c r="E36" s="3">
        <v>6.5239379311958778</v>
      </c>
      <c r="F36" s="4" t="s">
        <v>85</v>
      </c>
      <c r="G36" s="3">
        <v>2.3937931195877841E-2</v>
      </c>
      <c r="H36" s="5" t="s">
        <v>66</v>
      </c>
      <c r="I36" s="4" t="s">
        <v>61</v>
      </c>
      <c r="J36" s="4" t="s">
        <v>72</v>
      </c>
    </row>
    <row r="37" spans="1:10" x14ac:dyDescent="0.3">
      <c r="A37" s="2" t="s">
        <v>86</v>
      </c>
      <c r="B37" s="3">
        <v>12</v>
      </c>
      <c r="C37" s="3">
        <v>10.96966575560427</v>
      </c>
      <c r="D37" s="3">
        <v>1</v>
      </c>
      <c r="E37" s="3">
        <v>11.96966575560427</v>
      </c>
      <c r="F37" s="4" t="s">
        <v>68</v>
      </c>
      <c r="G37" s="3">
        <v>0.46966575560426982</v>
      </c>
      <c r="H37" s="5" t="s">
        <v>77</v>
      </c>
      <c r="I37" s="4" t="s">
        <v>61</v>
      </c>
      <c r="J37" s="4" t="s">
        <v>72</v>
      </c>
    </row>
    <row r="38" spans="1:10" x14ac:dyDescent="0.3">
      <c r="A38" s="2" t="s">
        <v>87</v>
      </c>
      <c r="B38" s="3">
        <v>9.5</v>
      </c>
      <c r="C38" s="3">
        <v>8.8087696307000964</v>
      </c>
      <c r="D38" s="3">
        <v>0</v>
      </c>
      <c r="E38" s="3">
        <v>8.8087696307000964</v>
      </c>
      <c r="F38" s="4" t="s">
        <v>88</v>
      </c>
      <c r="G38" s="3">
        <v>0.30876963070009639</v>
      </c>
      <c r="H38" s="5" t="s">
        <v>41</v>
      </c>
      <c r="I38" s="4" t="s">
        <v>61</v>
      </c>
      <c r="J38" s="4" t="s">
        <v>72</v>
      </c>
    </row>
    <row r="39" spans="1:10" x14ac:dyDescent="0.3">
      <c r="A39" s="2" t="s">
        <v>89</v>
      </c>
      <c r="B39" s="3">
        <v>13.66666666666667</v>
      </c>
      <c r="C39" s="3">
        <v>12.265758333823049</v>
      </c>
      <c r="D39" s="3">
        <v>0.5</v>
      </c>
      <c r="E39" s="3">
        <v>12.765758333823049</v>
      </c>
      <c r="F39" s="4" t="s">
        <v>51</v>
      </c>
      <c r="G39" s="3">
        <v>0.26575833382304909</v>
      </c>
      <c r="H39" s="5" t="s">
        <v>29</v>
      </c>
      <c r="I39" s="4" t="s">
        <v>61</v>
      </c>
      <c r="J39" s="4" t="s">
        <v>72</v>
      </c>
    </row>
    <row r="40" spans="1:10" x14ac:dyDescent="0.3">
      <c r="A40" s="2" t="s">
        <v>90</v>
      </c>
      <c r="B40" s="3">
        <v>8.3333333333333339</v>
      </c>
      <c r="C40" s="3">
        <v>6.2452880007992606</v>
      </c>
      <c r="D40" s="3">
        <v>0</v>
      </c>
      <c r="E40" s="3">
        <v>6.2452880007992606</v>
      </c>
      <c r="F40" s="4" t="s">
        <v>70</v>
      </c>
      <c r="G40" s="3">
        <v>0.74528800079926061</v>
      </c>
      <c r="H40" s="5" t="s">
        <v>91</v>
      </c>
      <c r="I40" s="4" t="s">
        <v>13</v>
      </c>
      <c r="J40" s="4" t="s">
        <v>19</v>
      </c>
    </row>
    <row r="41" spans="1:10" x14ac:dyDescent="0.3">
      <c r="A41" s="2" t="s">
        <v>92</v>
      </c>
      <c r="B41" s="3">
        <v>12.66666666666667</v>
      </c>
      <c r="C41" s="3">
        <v>11.875908798304989</v>
      </c>
      <c r="D41" s="3">
        <v>-0.1</v>
      </c>
      <c r="E41" s="3">
        <v>11.775908798304989</v>
      </c>
      <c r="F41" s="4" t="s">
        <v>68</v>
      </c>
      <c r="G41" s="3">
        <v>0.27590879830498949</v>
      </c>
      <c r="H41" s="5" t="s">
        <v>41</v>
      </c>
      <c r="I41" s="4" t="s">
        <v>61</v>
      </c>
      <c r="J41" s="4" t="s">
        <v>72</v>
      </c>
    </row>
    <row r="42" spans="1:10" x14ac:dyDescent="0.3">
      <c r="A42" s="2" t="s">
        <v>93</v>
      </c>
      <c r="B42" s="3">
        <v>12.33333333333333</v>
      </c>
      <c r="C42" s="3">
        <v>10.379036461976449</v>
      </c>
      <c r="D42" s="3">
        <v>2.25</v>
      </c>
      <c r="E42" s="3">
        <v>12.629036461976449</v>
      </c>
      <c r="F42" s="4" t="s">
        <v>51</v>
      </c>
      <c r="G42" s="3">
        <v>0.12903646197644919</v>
      </c>
      <c r="H42" s="5" t="s">
        <v>58</v>
      </c>
      <c r="I42" s="4" t="s">
        <v>61</v>
      </c>
      <c r="J42" s="4" t="s">
        <v>72</v>
      </c>
    </row>
    <row r="43" spans="1:10" x14ac:dyDescent="0.3">
      <c r="A43" s="2" t="s">
        <v>94</v>
      </c>
      <c r="B43" s="3">
        <v>14</v>
      </c>
      <c r="C43" s="3">
        <v>12.78646263971932</v>
      </c>
      <c r="D43" s="3">
        <v>0.75</v>
      </c>
      <c r="E43" s="3">
        <v>13.53646263971932</v>
      </c>
      <c r="F43" s="4" t="s">
        <v>95</v>
      </c>
      <c r="G43" s="3">
        <v>3.6462639719319512E-2</v>
      </c>
      <c r="H43" s="5" t="s">
        <v>22</v>
      </c>
      <c r="I43" s="4" t="s">
        <v>61</v>
      </c>
      <c r="J43" s="4" t="s">
        <v>72</v>
      </c>
    </row>
    <row r="44" spans="1:10" x14ac:dyDescent="0.3">
      <c r="A44" s="2" t="s">
        <v>96</v>
      </c>
      <c r="B44" s="3">
        <v>14.66666666666667</v>
      </c>
      <c r="C44" s="3">
        <v>13.867453872610159</v>
      </c>
      <c r="D44" s="3">
        <v>0</v>
      </c>
      <c r="E44" s="3">
        <v>13.867453872610159</v>
      </c>
      <c r="F44" s="4" t="s">
        <v>95</v>
      </c>
      <c r="G44" s="3">
        <v>0.36745387261015949</v>
      </c>
      <c r="H44" s="5" t="s">
        <v>82</v>
      </c>
      <c r="I44" s="4" t="s">
        <v>61</v>
      </c>
      <c r="J44" s="4" t="s">
        <v>72</v>
      </c>
    </row>
    <row r="45" spans="1:10" x14ac:dyDescent="0.3">
      <c r="A45" s="2" t="s">
        <v>97</v>
      </c>
      <c r="B45" s="3">
        <v>1</v>
      </c>
      <c r="C45" s="3">
        <v>-1.1667272363614409</v>
      </c>
      <c r="D45" s="3">
        <v>0</v>
      </c>
      <c r="E45" s="3">
        <v>1</v>
      </c>
      <c r="F45" s="4" t="s">
        <v>98</v>
      </c>
      <c r="G45" s="3">
        <v>0</v>
      </c>
      <c r="H45" s="5" t="s">
        <v>66</v>
      </c>
      <c r="I45" s="4" t="s">
        <v>61</v>
      </c>
      <c r="J45" s="4" t="s">
        <v>72</v>
      </c>
    </row>
    <row r="46" spans="1:10" x14ac:dyDescent="0.3">
      <c r="A46" s="2" t="s">
        <v>99</v>
      </c>
      <c r="B46" s="3">
        <v>8.3333333333333339</v>
      </c>
      <c r="C46" s="3">
        <v>9.5286984807141053</v>
      </c>
      <c r="D46" s="3">
        <v>-0.75</v>
      </c>
      <c r="E46" s="3">
        <v>8.7786984807141053</v>
      </c>
      <c r="F46" s="4" t="s">
        <v>88</v>
      </c>
      <c r="G46" s="3">
        <v>0.2786984807141053</v>
      </c>
      <c r="H46" s="5" t="s">
        <v>41</v>
      </c>
      <c r="I46" s="4" t="s">
        <v>13</v>
      </c>
      <c r="J46" s="4" t="s">
        <v>72</v>
      </c>
    </row>
    <row r="47" spans="1:10" x14ac:dyDescent="0.3">
      <c r="A47" s="2" t="s">
        <v>100</v>
      </c>
      <c r="B47" s="3">
        <v>6.5</v>
      </c>
      <c r="C47" s="3">
        <v>6.0312687946614458</v>
      </c>
      <c r="D47" s="3">
        <v>0</v>
      </c>
      <c r="E47" s="3">
        <v>6.0312687946614458</v>
      </c>
      <c r="F47" s="4" t="s">
        <v>70</v>
      </c>
      <c r="G47" s="3">
        <v>0.53126879466144583</v>
      </c>
      <c r="H47" s="5" t="s">
        <v>35</v>
      </c>
      <c r="I47" s="4" t="s">
        <v>13</v>
      </c>
      <c r="J47" s="4" t="s">
        <v>19</v>
      </c>
    </row>
    <row r="48" spans="1:10" x14ac:dyDescent="0.3">
      <c r="A48" s="2" t="s">
        <v>101</v>
      </c>
      <c r="B48" s="3">
        <v>10</v>
      </c>
      <c r="C48" s="3">
        <v>9.6633731509280008</v>
      </c>
      <c r="D48" s="3">
        <v>0</v>
      </c>
      <c r="E48" s="3">
        <v>9.6633731509280008</v>
      </c>
      <c r="F48" s="4" t="s">
        <v>79</v>
      </c>
      <c r="G48" s="3">
        <v>0.16337315092800081</v>
      </c>
      <c r="H48" s="5" t="s">
        <v>58</v>
      </c>
      <c r="I48" s="4" t="s">
        <v>61</v>
      </c>
      <c r="J48" s="4" t="s">
        <v>72</v>
      </c>
    </row>
    <row r="49" spans="1:10" x14ac:dyDescent="0.3">
      <c r="A49" s="2" t="s">
        <v>102</v>
      </c>
      <c r="B49" s="3">
        <v>4.3333333333333321</v>
      </c>
      <c r="C49" s="3">
        <v>3.8711840564951681</v>
      </c>
      <c r="D49" s="3">
        <v>4</v>
      </c>
      <c r="E49" s="3">
        <v>7.8711840564951681</v>
      </c>
      <c r="F49" s="4" t="s">
        <v>103</v>
      </c>
      <c r="G49" s="3">
        <v>0.37118405649516811</v>
      </c>
      <c r="H49" s="5" t="s">
        <v>82</v>
      </c>
      <c r="I49" s="4" t="s">
        <v>61</v>
      </c>
      <c r="J49" s="4" t="s">
        <v>72</v>
      </c>
    </row>
    <row r="50" spans="1:10" x14ac:dyDescent="0.3">
      <c r="A50" s="2" t="s">
        <v>104</v>
      </c>
      <c r="B50" s="3">
        <v>12</v>
      </c>
      <c r="C50" s="3">
        <v>11.43096517193727</v>
      </c>
      <c r="D50" s="3">
        <v>-2</v>
      </c>
      <c r="E50" s="3">
        <v>9.4309651719372702</v>
      </c>
      <c r="F50" s="4" t="s">
        <v>88</v>
      </c>
      <c r="G50" s="3">
        <v>0.93096517193727024</v>
      </c>
      <c r="H50" s="5" t="s">
        <v>37</v>
      </c>
      <c r="I50" s="4" t="s">
        <v>61</v>
      </c>
      <c r="J50" s="4" t="s">
        <v>72</v>
      </c>
    </row>
    <row r="51" spans="1:10" x14ac:dyDescent="0.3">
      <c r="A51" s="2" t="s">
        <v>105</v>
      </c>
      <c r="B51" s="3">
        <v>8.6666666666666661</v>
      </c>
      <c r="C51" s="3">
        <v>9.4645042283588978</v>
      </c>
      <c r="D51" s="3">
        <v>-1.6</v>
      </c>
      <c r="E51" s="3">
        <v>7.8645042283588982</v>
      </c>
      <c r="F51" s="4" t="s">
        <v>103</v>
      </c>
      <c r="G51" s="3">
        <v>0.36450422835889817</v>
      </c>
      <c r="H51" s="5" t="s">
        <v>82</v>
      </c>
      <c r="I51" s="4" t="s">
        <v>61</v>
      </c>
      <c r="J51" s="4" t="s">
        <v>106</v>
      </c>
    </row>
    <row r="52" spans="1:10" x14ac:dyDescent="0.3">
      <c r="A52" s="2" t="s">
        <v>107</v>
      </c>
      <c r="B52" s="3">
        <v>16</v>
      </c>
      <c r="C52" s="3">
        <v>13.1954244267507</v>
      </c>
      <c r="D52" s="3">
        <v>0</v>
      </c>
      <c r="E52" s="3">
        <v>13.1954244267507</v>
      </c>
      <c r="F52" s="4" t="s">
        <v>51</v>
      </c>
      <c r="G52" s="3">
        <v>0.69542442675069971</v>
      </c>
      <c r="H52" s="5" t="s">
        <v>108</v>
      </c>
      <c r="I52" s="4" t="s">
        <v>13</v>
      </c>
      <c r="J52" s="4" t="s">
        <v>19</v>
      </c>
    </row>
    <row r="53" spans="1:10" x14ac:dyDescent="0.3">
      <c r="A53" s="2" t="s">
        <v>109</v>
      </c>
      <c r="B53" s="3">
        <v>6.6666666666666679</v>
      </c>
      <c r="C53" s="3">
        <v>9.1987044688786845</v>
      </c>
      <c r="D53" s="3">
        <v>0</v>
      </c>
      <c r="E53" s="3">
        <v>9.1987044688786845</v>
      </c>
      <c r="F53" s="4" t="s">
        <v>88</v>
      </c>
      <c r="G53" s="3">
        <v>0.69870446887868454</v>
      </c>
      <c r="H53" s="5" t="s">
        <v>108</v>
      </c>
      <c r="I53" s="4" t="s">
        <v>61</v>
      </c>
      <c r="J53" s="4" t="s">
        <v>106</v>
      </c>
    </row>
    <row r="54" spans="1:10" x14ac:dyDescent="0.3">
      <c r="A54" s="2" t="s">
        <v>110</v>
      </c>
      <c r="B54" s="3">
        <v>16.333333333333329</v>
      </c>
      <c r="C54" s="3">
        <v>16.199873674021759</v>
      </c>
      <c r="D54" s="3">
        <v>-0.7</v>
      </c>
      <c r="E54" s="3">
        <v>15.49987367402176</v>
      </c>
      <c r="F54" s="4" t="s">
        <v>111</v>
      </c>
      <c r="G54" s="3">
        <v>0.99987367402176019</v>
      </c>
      <c r="H54" s="5" t="s">
        <v>25</v>
      </c>
      <c r="I54" s="4" t="s">
        <v>61</v>
      </c>
      <c r="J54" s="4" t="s">
        <v>106</v>
      </c>
    </row>
    <row r="55" spans="1:10" x14ac:dyDescent="0.3">
      <c r="A55" s="2" t="s">
        <v>112</v>
      </c>
      <c r="B55" s="3">
        <v>10</v>
      </c>
      <c r="C55" s="3">
        <v>9.9644322752401262</v>
      </c>
      <c r="D55" s="3">
        <v>-0.4</v>
      </c>
      <c r="E55" s="3">
        <v>9.5644322752401258</v>
      </c>
      <c r="F55" s="4" t="s">
        <v>79</v>
      </c>
      <c r="G55" s="3">
        <v>6.4432275240125847E-2</v>
      </c>
      <c r="H55" s="5" t="s">
        <v>22</v>
      </c>
      <c r="I55" s="4" t="s">
        <v>61</v>
      </c>
      <c r="J55" s="4" t="s">
        <v>106</v>
      </c>
    </row>
    <row r="56" spans="1:10" x14ac:dyDescent="0.3">
      <c r="A56" s="2" t="s">
        <v>113</v>
      </c>
      <c r="B56" s="3">
        <v>18.333333333333329</v>
      </c>
      <c r="C56" s="3">
        <v>19.20378403482599</v>
      </c>
      <c r="D56" s="3">
        <v>-2.5</v>
      </c>
      <c r="E56" s="3">
        <v>16.70378403482599</v>
      </c>
      <c r="F56" s="4" t="s">
        <v>31</v>
      </c>
      <c r="G56" s="3">
        <v>0.20378403482598981</v>
      </c>
      <c r="H56" s="5" t="s">
        <v>12</v>
      </c>
      <c r="I56" s="4" t="s">
        <v>61</v>
      </c>
      <c r="J56" s="4" t="s">
        <v>106</v>
      </c>
    </row>
    <row r="57" spans="1:10" x14ac:dyDescent="0.3">
      <c r="A57" s="2" t="s">
        <v>114</v>
      </c>
      <c r="B57" s="3">
        <v>1.3333333333333319</v>
      </c>
      <c r="C57" s="3">
        <v>-1.7799974343076761</v>
      </c>
      <c r="D57" s="3">
        <v>0</v>
      </c>
      <c r="E57" s="3">
        <v>1</v>
      </c>
      <c r="F57" s="4" t="s">
        <v>98</v>
      </c>
      <c r="G57" s="3">
        <v>0</v>
      </c>
      <c r="H57" s="5" t="s">
        <v>66</v>
      </c>
      <c r="I57" s="4" t="s">
        <v>61</v>
      </c>
      <c r="J57" s="4" t="s">
        <v>106</v>
      </c>
    </row>
    <row r="58" spans="1:10" x14ac:dyDescent="0.3">
      <c r="A58" s="2" t="s">
        <v>115</v>
      </c>
      <c r="B58" s="3">
        <v>12.66666666666667</v>
      </c>
      <c r="C58" s="3">
        <v>14.53341609483542</v>
      </c>
      <c r="D58" s="3">
        <v>-0.7</v>
      </c>
      <c r="E58" s="3">
        <v>13.833416094835419</v>
      </c>
      <c r="F58" s="4" t="s">
        <v>95</v>
      </c>
      <c r="G58" s="3">
        <v>0.33341609483542101</v>
      </c>
      <c r="H58" s="5" t="s">
        <v>82</v>
      </c>
      <c r="I58" s="4" t="s">
        <v>61</v>
      </c>
      <c r="J58" s="4" t="s">
        <v>106</v>
      </c>
    </row>
    <row r="59" spans="1:10" x14ac:dyDescent="0.3">
      <c r="A59" s="2" t="s">
        <v>116</v>
      </c>
      <c r="B59" s="3">
        <v>20</v>
      </c>
      <c r="C59" s="3">
        <v>17.23035764020851</v>
      </c>
      <c r="D59" s="3">
        <v>3.5</v>
      </c>
      <c r="E59" s="3">
        <v>20.73035764020851</v>
      </c>
      <c r="F59" s="4" t="s">
        <v>34</v>
      </c>
      <c r="G59" s="3">
        <v>0.23035764020850991</v>
      </c>
      <c r="H59" s="5" t="s">
        <v>29</v>
      </c>
      <c r="I59" s="4" t="s">
        <v>61</v>
      </c>
      <c r="J59" s="4" t="s">
        <v>106</v>
      </c>
    </row>
    <row r="60" spans="1:10" x14ac:dyDescent="0.3">
      <c r="A60" s="2" t="s">
        <v>117</v>
      </c>
      <c r="B60" s="3">
        <v>18.333333333333329</v>
      </c>
      <c r="C60" s="3">
        <v>16.361500721087161</v>
      </c>
      <c r="D60" s="3">
        <v>0.2</v>
      </c>
      <c r="E60" s="3">
        <v>16.56150072108716</v>
      </c>
      <c r="F60" s="4" t="s">
        <v>31</v>
      </c>
      <c r="G60" s="3">
        <v>6.1500721087160308E-2</v>
      </c>
      <c r="H60" s="5" t="s">
        <v>22</v>
      </c>
      <c r="I60" s="4" t="s">
        <v>61</v>
      </c>
      <c r="J60" s="4" t="s">
        <v>106</v>
      </c>
    </row>
    <row r="61" spans="1:10" x14ac:dyDescent="0.3">
      <c r="A61" s="2" t="s">
        <v>118</v>
      </c>
      <c r="B61" s="3">
        <v>19.666666666666671</v>
      </c>
      <c r="C61" s="3">
        <v>18.471338433893632</v>
      </c>
      <c r="D61" s="3">
        <v>2.4</v>
      </c>
      <c r="E61" s="3">
        <v>20.87133843389363</v>
      </c>
      <c r="F61" s="4" t="s">
        <v>34</v>
      </c>
      <c r="G61" s="3">
        <v>0.37133843389363358</v>
      </c>
      <c r="H61" s="5" t="s">
        <v>82</v>
      </c>
      <c r="I61" s="4" t="s">
        <v>61</v>
      </c>
      <c r="J61" s="4" t="s">
        <v>106</v>
      </c>
    </row>
    <row r="62" spans="1:10" x14ac:dyDescent="0.3">
      <c r="A62" s="2" t="s">
        <v>119</v>
      </c>
      <c r="B62" s="3">
        <v>7.3333333333333339</v>
      </c>
      <c r="C62" s="3">
        <v>6.7979197616785694</v>
      </c>
      <c r="D62" s="3">
        <v>0.5</v>
      </c>
      <c r="E62" s="3">
        <v>7.2979197616785694</v>
      </c>
      <c r="F62" s="4" t="s">
        <v>85</v>
      </c>
      <c r="G62" s="3">
        <v>0.79791976167856937</v>
      </c>
      <c r="H62" s="5" t="s">
        <v>45</v>
      </c>
      <c r="I62" s="4" t="s">
        <v>61</v>
      </c>
      <c r="J62" s="4" t="s">
        <v>106</v>
      </c>
    </row>
    <row r="63" spans="1:10" x14ac:dyDescent="0.3">
      <c r="A63" s="2" t="s">
        <v>120</v>
      </c>
      <c r="B63" s="3">
        <v>8.6666666666666661</v>
      </c>
      <c r="C63" s="3">
        <v>9.0610353158332657</v>
      </c>
      <c r="D63" s="3">
        <v>0</v>
      </c>
      <c r="E63" s="3">
        <v>9.0610353158332657</v>
      </c>
      <c r="F63" s="4" t="s">
        <v>88</v>
      </c>
      <c r="G63" s="3">
        <v>0.56103531583326571</v>
      </c>
      <c r="H63" s="5" t="s">
        <v>35</v>
      </c>
      <c r="I63" s="4" t="s">
        <v>13</v>
      </c>
      <c r="J63" s="4" t="s">
        <v>19</v>
      </c>
    </row>
    <row r="64" spans="1:10" x14ac:dyDescent="0.3">
      <c r="A64" s="2" t="s">
        <v>121</v>
      </c>
      <c r="B64" s="3">
        <v>8</v>
      </c>
      <c r="C64" s="3">
        <v>9.201030658348488</v>
      </c>
      <c r="D64" s="3">
        <v>0</v>
      </c>
      <c r="E64" s="3">
        <v>9.201030658348488</v>
      </c>
      <c r="F64" s="4" t="s">
        <v>88</v>
      </c>
      <c r="G64" s="3">
        <v>0.70103065834848799</v>
      </c>
      <c r="H64" s="5" t="s">
        <v>108</v>
      </c>
      <c r="I64" s="4" t="s">
        <v>13</v>
      </c>
      <c r="J64" s="4" t="s">
        <v>19</v>
      </c>
    </row>
    <row r="65" spans="1:10" x14ac:dyDescent="0.3">
      <c r="A65" s="2" t="s">
        <v>122</v>
      </c>
      <c r="B65" s="3">
        <v>6</v>
      </c>
      <c r="C65" s="3">
        <v>4.3422831312120067</v>
      </c>
      <c r="D65" s="3">
        <v>1.6</v>
      </c>
      <c r="E65" s="3">
        <v>5.9422831312120064</v>
      </c>
      <c r="F65" s="4" t="s">
        <v>70</v>
      </c>
      <c r="G65" s="3">
        <v>0.44228313121200641</v>
      </c>
      <c r="H65" s="5" t="s">
        <v>77</v>
      </c>
      <c r="I65" s="4" t="s">
        <v>61</v>
      </c>
      <c r="J65" s="4" t="s">
        <v>64</v>
      </c>
    </row>
    <row r="66" spans="1:10" x14ac:dyDescent="0.3">
      <c r="A66" s="2" t="s">
        <v>123</v>
      </c>
      <c r="B66" s="3">
        <v>20</v>
      </c>
      <c r="C66" s="3">
        <v>20.484869814075111</v>
      </c>
      <c r="D66" s="3">
        <v>0</v>
      </c>
      <c r="E66" s="3">
        <v>20.484869814075111</v>
      </c>
      <c r="F66" s="4" t="s">
        <v>44</v>
      </c>
      <c r="G66" s="3">
        <v>0.98486981407511109</v>
      </c>
      <c r="H66" s="5" t="s">
        <v>25</v>
      </c>
      <c r="I66" s="4" t="s">
        <v>13</v>
      </c>
      <c r="J66" s="4" t="s">
        <v>19</v>
      </c>
    </row>
    <row r="67" spans="1:10" x14ac:dyDescent="0.3">
      <c r="A67" s="2" t="s">
        <v>124</v>
      </c>
      <c r="B67" s="3">
        <v>19.666666666666671</v>
      </c>
      <c r="C67" s="3">
        <v>19.647102630402099</v>
      </c>
      <c r="D67" s="3">
        <v>0</v>
      </c>
      <c r="E67" s="3">
        <v>19.647102630402099</v>
      </c>
      <c r="F67" s="4" t="s">
        <v>44</v>
      </c>
      <c r="G67" s="3">
        <v>0.14710263040209881</v>
      </c>
      <c r="H67" s="5" t="s">
        <v>58</v>
      </c>
      <c r="I67" s="4" t="s">
        <v>61</v>
      </c>
      <c r="J67" s="4" t="s">
        <v>47</v>
      </c>
    </row>
    <row r="68" spans="1:10" x14ac:dyDescent="0.3">
      <c r="A68" s="2" t="s">
        <v>125</v>
      </c>
      <c r="B68" s="3">
        <v>13.33333333333333</v>
      </c>
      <c r="C68" s="3">
        <v>13.070944746193341</v>
      </c>
      <c r="D68" s="3">
        <v>0.5</v>
      </c>
      <c r="E68" s="3">
        <v>13.570944746193341</v>
      </c>
      <c r="F68" s="4" t="s">
        <v>95</v>
      </c>
      <c r="G68" s="3">
        <v>7.0944746193340791E-2</v>
      </c>
      <c r="H68" s="5" t="s">
        <v>22</v>
      </c>
      <c r="I68" s="4" t="s">
        <v>61</v>
      </c>
      <c r="J68" s="4" t="s">
        <v>64</v>
      </c>
    </row>
    <row r="69" spans="1:10" x14ac:dyDescent="0.3">
      <c r="A69" s="2" t="s">
        <v>126</v>
      </c>
      <c r="B69" s="3">
        <v>14</v>
      </c>
      <c r="C69" s="3">
        <v>13.583488226102521</v>
      </c>
      <c r="D69" s="3">
        <v>-0.4</v>
      </c>
      <c r="E69" s="3">
        <v>13.18348822610252</v>
      </c>
      <c r="F69" s="4" t="s">
        <v>51</v>
      </c>
      <c r="G69" s="3">
        <v>0.68348822610252036</v>
      </c>
      <c r="H69" s="5" t="s">
        <v>108</v>
      </c>
      <c r="I69" s="4" t="s">
        <v>61</v>
      </c>
      <c r="J69" s="4" t="s">
        <v>64</v>
      </c>
    </row>
    <row r="70" spans="1:10" x14ac:dyDescent="0.3">
      <c r="A70" s="2" t="s">
        <v>127</v>
      </c>
      <c r="B70" s="3">
        <v>19.666666666666671</v>
      </c>
      <c r="C70" s="3">
        <v>18.804138870685549</v>
      </c>
      <c r="D70" s="3">
        <v>0</v>
      </c>
      <c r="E70" s="3">
        <v>18.804138870685549</v>
      </c>
      <c r="F70" s="4" t="s">
        <v>11</v>
      </c>
      <c r="G70" s="3">
        <v>0.30413887068554862</v>
      </c>
      <c r="H70" s="5" t="s">
        <v>41</v>
      </c>
      <c r="I70" s="4" t="s">
        <v>61</v>
      </c>
      <c r="J70" s="4" t="s">
        <v>128</v>
      </c>
    </row>
    <row r="71" spans="1:10" x14ac:dyDescent="0.3">
      <c r="A71" s="2" t="s">
        <v>129</v>
      </c>
      <c r="B71" s="3">
        <v>4</v>
      </c>
      <c r="C71" s="3">
        <v>6.7175518720848357</v>
      </c>
      <c r="D71" s="3">
        <v>0</v>
      </c>
      <c r="E71" s="3">
        <v>6.7175518720848357</v>
      </c>
      <c r="F71" s="4" t="s">
        <v>85</v>
      </c>
      <c r="G71" s="3">
        <v>0.2175518720848357</v>
      </c>
      <c r="H71" s="5" t="s">
        <v>12</v>
      </c>
      <c r="I71" s="4" t="s">
        <v>13</v>
      </c>
      <c r="J71" s="4" t="s">
        <v>19</v>
      </c>
    </row>
    <row r="72" spans="1:10" x14ac:dyDescent="0.3">
      <c r="A72" s="2" t="s">
        <v>130</v>
      </c>
      <c r="B72" s="3">
        <v>19.5</v>
      </c>
      <c r="C72" s="3">
        <v>19.015943080954681</v>
      </c>
      <c r="D72" s="3">
        <v>0</v>
      </c>
      <c r="E72" s="3">
        <v>19.015943080954681</v>
      </c>
      <c r="F72" s="4" t="s">
        <v>11</v>
      </c>
      <c r="G72" s="3">
        <v>0.51594308095468122</v>
      </c>
      <c r="H72" s="5" t="s">
        <v>71</v>
      </c>
      <c r="I72" s="4" t="s">
        <v>13</v>
      </c>
      <c r="J72" s="4" t="s">
        <v>19</v>
      </c>
    </row>
    <row r="73" spans="1:10" x14ac:dyDescent="0.3">
      <c r="A73" s="2" t="s">
        <v>131</v>
      </c>
      <c r="B73" s="3">
        <v>15.66666666666667</v>
      </c>
      <c r="C73" s="3">
        <v>14.817134136386031</v>
      </c>
      <c r="D73" s="3">
        <v>0.75</v>
      </c>
      <c r="E73" s="3">
        <v>15.567134136386031</v>
      </c>
      <c r="F73" s="4" t="s">
        <v>55</v>
      </c>
      <c r="G73" s="3">
        <v>6.7134136386030718E-2</v>
      </c>
      <c r="H73" s="5" t="s">
        <v>22</v>
      </c>
      <c r="I73" s="4" t="s">
        <v>61</v>
      </c>
      <c r="J73" s="4" t="s">
        <v>128</v>
      </c>
    </row>
    <row r="74" spans="1:10" x14ac:dyDescent="0.3">
      <c r="A74" s="2" t="s">
        <v>132</v>
      </c>
      <c r="B74" s="3">
        <v>4</v>
      </c>
      <c r="C74" s="3">
        <v>6.5611610335821844</v>
      </c>
      <c r="D74" s="3">
        <v>-4</v>
      </c>
      <c r="E74" s="3">
        <v>2.5611610335821839</v>
      </c>
      <c r="F74" s="4" t="s">
        <v>133</v>
      </c>
      <c r="G74" s="3">
        <v>6.1161033582184388E-2</v>
      </c>
      <c r="H74" s="5" t="s">
        <v>22</v>
      </c>
      <c r="I74" s="4" t="s">
        <v>61</v>
      </c>
      <c r="J74" s="4" t="s">
        <v>64</v>
      </c>
    </row>
    <row r="75" spans="1:10" x14ac:dyDescent="0.3">
      <c r="A75" s="2" t="s">
        <v>134</v>
      </c>
      <c r="B75" s="3">
        <v>6.6666666666666679</v>
      </c>
      <c r="C75" s="3">
        <v>5.6469731211504239</v>
      </c>
      <c r="D75" s="3">
        <v>0.8</v>
      </c>
      <c r="E75" s="3">
        <v>6.4469731211504238</v>
      </c>
      <c r="F75" s="4" t="s">
        <v>70</v>
      </c>
      <c r="G75" s="3">
        <v>0.94697312115042376</v>
      </c>
      <c r="H75" s="5" t="s">
        <v>37</v>
      </c>
      <c r="I75" s="4" t="s">
        <v>61</v>
      </c>
      <c r="J75" s="4" t="s">
        <v>64</v>
      </c>
    </row>
    <row r="76" spans="1:10" x14ac:dyDescent="0.3">
      <c r="A76" s="2" t="s">
        <v>135</v>
      </c>
      <c r="B76" s="3">
        <v>14.33333333333333</v>
      </c>
      <c r="C76" s="3">
        <v>11.85065684158365</v>
      </c>
      <c r="D76" s="3">
        <v>1.25</v>
      </c>
      <c r="E76" s="3">
        <v>13.10065684158365</v>
      </c>
      <c r="F76" s="4" t="s">
        <v>51</v>
      </c>
      <c r="G76" s="3">
        <v>0.60065684158364974</v>
      </c>
      <c r="H76" s="5" t="s">
        <v>27</v>
      </c>
      <c r="I76" s="4" t="s">
        <v>61</v>
      </c>
      <c r="J76" s="4" t="s">
        <v>128</v>
      </c>
    </row>
    <row r="77" spans="1:10" x14ac:dyDescent="0.3">
      <c r="A77" s="2" t="s">
        <v>136</v>
      </c>
      <c r="B77" s="3">
        <v>22</v>
      </c>
      <c r="C77" s="3">
        <v>17.810916152294482</v>
      </c>
      <c r="D77" s="3">
        <v>3.25</v>
      </c>
      <c r="E77" s="3">
        <v>21.060916152294482</v>
      </c>
      <c r="F77" s="4" t="s">
        <v>34</v>
      </c>
      <c r="G77" s="3">
        <v>0.56091615229448166</v>
      </c>
      <c r="H77" s="5" t="s">
        <v>35</v>
      </c>
      <c r="I77" s="4" t="s">
        <v>13</v>
      </c>
      <c r="J77" s="4" t="s">
        <v>128</v>
      </c>
    </row>
    <row r="78" spans="1:10" x14ac:dyDescent="0.3">
      <c r="A78" s="2" t="s">
        <v>137</v>
      </c>
      <c r="B78" s="3">
        <v>15</v>
      </c>
      <c r="C78" s="3">
        <v>12.708005223717061</v>
      </c>
      <c r="D78" s="3">
        <v>0.5</v>
      </c>
      <c r="E78" s="3">
        <v>13.208005223717061</v>
      </c>
      <c r="F78" s="4" t="s">
        <v>51</v>
      </c>
      <c r="G78" s="3">
        <v>0.70800522371706087</v>
      </c>
      <c r="H78" s="5" t="s">
        <v>108</v>
      </c>
      <c r="I78" s="4" t="s">
        <v>13</v>
      </c>
      <c r="J78" s="4" t="s">
        <v>128</v>
      </c>
    </row>
    <row r="79" spans="1:10" x14ac:dyDescent="0.3">
      <c r="A79" s="2" t="s">
        <v>138</v>
      </c>
      <c r="B79" s="3">
        <v>11.66666666666667</v>
      </c>
      <c r="C79" s="3">
        <v>13.079010013690651</v>
      </c>
      <c r="D79" s="3">
        <v>0</v>
      </c>
      <c r="E79" s="3">
        <v>13.079010013690651</v>
      </c>
      <c r="F79" s="4" t="s">
        <v>51</v>
      </c>
      <c r="G79" s="3">
        <v>0.57901001369065064</v>
      </c>
      <c r="H79" s="5" t="s">
        <v>27</v>
      </c>
      <c r="I79" s="4" t="s">
        <v>61</v>
      </c>
      <c r="J79" s="4" t="s">
        <v>128</v>
      </c>
    </row>
    <row r="80" spans="1:10" x14ac:dyDescent="0.3">
      <c r="A80" s="2" t="s">
        <v>139</v>
      </c>
      <c r="B80" s="3"/>
      <c r="C80" s="3">
        <v>10.475399817125091</v>
      </c>
      <c r="D80" s="3">
        <v>0</v>
      </c>
      <c r="E80" s="3">
        <v>10.475399817125091</v>
      </c>
      <c r="F80" s="4" t="s">
        <v>79</v>
      </c>
      <c r="G80" s="3">
        <v>0.97539981712509061</v>
      </c>
      <c r="H80" s="5" t="s">
        <v>25</v>
      </c>
      <c r="I80" s="4"/>
      <c r="J80" s="4"/>
    </row>
    <row r="81" spans="1:10" x14ac:dyDescent="0.3">
      <c r="A81" s="2" t="s">
        <v>140</v>
      </c>
      <c r="B81" s="3">
        <v>7</v>
      </c>
      <c r="C81" s="3">
        <v>7.9745946727029491</v>
      </c>
      <c r="D81" s="3">
        <v>-1</v>
      </c>
      <c r="E81" s="3">
        <v>6.9745946727029491</v>
      </c>
      <c r="F81" s="4" t="s">
        <v>85</v>
      </c>
      <c r="G81" s="3">
        <v>0.47459467270294908</v>
      </c>
      <c r="H81" s="5" t="s">
        <v>77</v>
      </c>
      <c r="I81" s="4" t="s">
        <v>61</v>
      </c>
      <c r="J81" s="4" t="s">
        <v>141</v>
      </c>
    </row>
    <row r="82" spans="1:10" x14ac:dyDescent="0.3">
      <c r="A82" s="2" t="s">
        <v>142</v>
      </c>
      <c r="B82" s="3">
        <v>15</v>
      </c>
      <c r="C82" s="3">
        <v>12.28202797892699</v>
      </c>
      <c r="D82" s="3">
        <v>0</v>
      </c>
      <c r="E82" s="3">
        <v>12.28202797892699</v>
      </c>
      <c r="F82" s="4" t="s">
        <v>68</v>
      </c>
      <c r="G82" s="3">
        <v>0.78202797892699039</v>
      </c>
      <c r="H82" s="5" t="s">
        <v>45</v>
      </c>
      <c r="I82" s="4" t="s">
        <v>13</v>
      </c>
      <c r="J82" s="4" t="s">
        <v>19</v>
      </c>
    </row>
    <row r="83" spans="1:10" x14ac:dyDescent="0.3">
      <c r="A83" s="2" t="s">
        <v>143</v>
      </c>
      <c r="B83" s="3">
        <v>7</v>
      </c>
      <c r="C83" s="3">
        <v>7.7166526608868544</v>
      </c>
      <c r="D83" s="3">
        <v>0</v>
      </c>
      <c r="E83" s="3">
        <v>7.7166526608868544</v>
      </c>
      <c r="F83" s="4" t="s">
        <v>103</v>
      </c>
      <c r="G83" s="3">
        <v>0.21665266088685439</v>
      </c>
      <c r="H83" s="5" t="s">
        <v>12</v>
      </c>
      <c r="I83" s="4" t="s">
        <v>61</v>
      </c>
      <c r="J83" s="4" t="s">
        <v>141</v>
      </c>
    </row>
    <row r="84" spans="1:10" x14ac:dyDescent="0.3">
      <c r="A84" s="2" t="s">
        <v>144</v>
      </c>
      <c r="B84" s="3">
        <v>8</v>
      </c>
      <c r="C84" s="3">
        <v>9.5974388378694648</v>
      </c>
      <c r="D84" s="3">
        <v>0</v>
      </c>
      <c r="E84" s="3">
        <v>9.5974388378694648</v>
      </c>
      <c r="F84" s="4" t="s">
        <v>79</v>
      </c>
      <c r="G84" s="3">
        <v>9.7438837869464834E-2</v>
      </c>
      <c r="H84" s="5" t="s">
        <v>32</v>
      </c>
      <c r="I84" s="4" t="s">
        <v>13</v>
      </c>
      <c r="J84" s="4" t="s">
        <v>19</v>
      </c>
    </row>
    <row r="85" spans="1:10" x14ac:dyDescent="0.3">
      <c r="A85" s="2" t="s">
        <v>145</v>
      </c>
      <c r="B85" s="3">
        <v>5.6666666666666679</v>
      </c>
      <c r="C85" s="3">
        <v>3.7726126910805662</v>
      </c>
      <c r="D85" s="3">
        <v>0</v>
      </c>
      <c r="E85" s="3">
        <v>3.7726126910805662</v>
      </c>
      <c r="F85" s="4" t="s">
        <v>74</v>
      </c>
      <c r="G85" s="3">
        <v>0.27261269108056618</v>
      </c>
      <c r="H85" s="5" t="s">
        <v>29</v>
      </c>
      <c r="I85" s="4" t="s">
        <v>13</v>
      </c>
      <c r="J85" s="4" t="s">
        <v>19</v>
      </c>
    </row>
    <row r="86" spans="1:10" x14ac:dyDescent="0.3">
      <c r="A86" s="2" t="s">
        <v>146</v>
      </c>
      <c r="B86" s="3">
        <v>7</v>
      </c>
      <c r="C86" s="3">
        <v>6.349119144225341</v>
      </c>
      <c r="D86" s="3">
        <v>0</v>
      </c>
      <c r="E86" s="3">
        <v>6.349119144225341</v>
      </c>
      <c r="F86" s="4" t="s">
        <v>70</v>
      </c>
      <c r="G86" s="3">
        <v>0.84911914422534096</v>
      </c>
      <c r="H86" s="5" t="s">
        <v>147</v>
      </c>
      <c r="I86" s="4" t="s">
        <v>13</v>
      </c>
      <c r="J86" s="4" t="s">
        <v>19</v>
      </c>
    </row>
    <row r="87" spans="1:10" x14ac:dyDescent="0.3">
      <c r="A87" s="2" t="s">
        <v>148</v>
      </c>
      <c r="B87" s="3">
        <v>9.3333333333333339</v>
      </c>
      <c r="C87" s="3">
        <v>7.9366785596589802</v>
      </c>
      <c r="D87" s="3">
        <v>0</v>
      </c>
      <c r="E87" s="3">
        <v>7.9366785596589802</v>
      </c>
      <c r="F87" s="4" t="s">
        <v>103</v>
      </c>
      <c r="G87" s="3">
        <v>0.43667855965898023</v>
      </c>
      <c r="H87" s="5" t="s">
        <v>77</v>
      </c>
      <c r="I87" s="4" t="s">
        <v>13</v>
      </c>
      <c r="J87" s="4" t="s">
        <v>19</v>
      </c>
    </row>
    <row r="88" spans="1:10" x14ac:dyDescent="0.3">
      <c r="A88" s="2" t="s">
        <v>149</v>
      </c>
      <c r="B88" s="3">
        <v>2</v>
      </c>
      <c r="C88" s="3">
        <v>7.2218771258119023</v>
      </c>
      <c r="D88" s="3">
        <v>0</v>
      </c>
      <c r="E88" s="3">
        <v>7.2218771258119023</v>
      </c>
      <c r="F88" s="4" t="s">
        <v>85</v>
      </c>
      <c r="G88" s="3">
        <v>0.72187712581190233</v>
      </c>
      <c r="H88" s="5" t="s">
        <v>108</v>
      </c>
      <c r="I88" s="4" t="s">
        <v>61</v>
      </c>
      <c r="J88" s="4" t="s">
        <v>141</v>
      </c>
    </row>
    <row r="89" spans="1:10" x14ac:dyDescent="0.3">
      <c r="A89" s="2" t="s">
        <v>150</v>
      </c>
      <c r="B89" s="3">
        <v>5</v>
      </c>
      <c r="C89" s="3">
        <v>7.6194959163976446</v>
      </c>
      <c r="D89" s="3">
        <v>-1.5</v>
      </c>
      <c r="E89" s="3">
        <v>6.1194959163976446</v>
      </c>
      <c r="F89" s="4" t="s">
        <v>70</v>
      </c>
      <c r="G89" s="3">
        <v>0.61949591639764456</v>
      </c>
      <c r="H89" s="5" t="s">
        <v>27</v>
      </c>
      <c r="I89" s="4" t="s">
        <v>61</v>
      </c>
      <c r="J89" s="4" t="s">
        <v>141</v>
      </c>
    </row>
    <row r="90" spans="1:10" x14ac:dyDescent="0.3">
      <c r="A90" s="2" t="s">
        <v>151</v>
      </c>
      <c r="B90" s="3">
        <v>6.3333333333333321</v>
      </c>
      <c r="C90" s="3">
        <v>7.3490591412304509</v>
      </c>
      <c r="D90" s="3">
        <v>-1</v>
      </c>
      <c r="E90" s="3">
        <v>6.3490591412304509</v>
      </c>
      <c r="F90" s="4" t="s">
        <v>70</v>
      </c>
      <c r="G90" s="3">
        <v>0.8490591412304509</v>
      </c>
      <c r="H90" s="5" t="s">
        <v>147</v>
      </c>
      <c r="I90" s="4" t="s">
        <v>61</v>
      </c>
      <c r="J90" s="4" t="s">
        <v>141</v>
      </c>
    </row>
    <row r="91" spans="1:10" x14ac:dyDescent="0.3">
      <c r="A91" s="2" t="s">
        <v>152</v>
      </c>
      <c r="B91" s="3">
        <v>10.66666666666667</v>
      </c>
      <c r="C91" s="3">
        <v>9.8343363524272487</v>
      </c>
      <c r="D91" s="3">
        <v>1.5</v>
      </c>
      <c r="E91" s="3">
        <v>11.33433635242725</v>
      </c>
      <c r="F91" s="4" t="s">
        <v>60</v>
      </c>
      <c r="G91" s="3">
        <v>0.83433635242724868</v>
      </c>
      <c r="H91" s="5" t="s">
        <v>147</v>
      </c>
      <c r="I91" s="4" t="s">
        <v>61</v>
      </c>
      <c r="J91" s="4" t="s">
        <v>141</v>
      </c>
    </row>
    <row r="92" spans="1:10" x14ac:dyDescent="0.3">
      <c r="A92" s="2" t="s">
        <v>153</v>
      </c>
      <c r="B92" s="3">
        <v>7</v>
      </c>
      <c r="C92" s="3">
        <v>8.6955271989666318</v>
      </c>
      <c r="D92" s="3">
        <v>-0.5</v>
      </c>
      <c r="E92" s="3">
        <v>8.1955271989666318</v>
      </c>
      <c r="F92" s="4" t="s">
        <v>103</v>
      </c>
      <c r="G92" s="3">
        <v>0.69552719896663184</v>
      </c>
      <c r="H92" s="5" t="s">
        <v>108</v>
      </c>
      <c r="I92" s="4" t="s">
        <v>61</v>
      </c>
      <c r="J92" s="4" t="s">
        <v>141</v>
      </c>
    </row>
    <row r="93" spans="1:10" x14ac:dyDescent="0.3">
      <c r="A93" s="2" t="s">
        <v>154</v>
      </c>
      <c r="B93" s="3">
        <v>8</v>
      </c>
      <c r="C93" s="3">
        <v>7.5390272566919174</v>
      </c>
      <c r="D93" s="3">
        <v>0</v>
      </c>
      <c r="E93" s="3">
        <v>7.5390272566919174</v>
      </c>
      <c r="F93" s="4" t="s">
        <v>103</v>
      </c>
      <c r="G93" s="3">
        <v>3.9027256691917422E-2</v>
      </c>
      <c r="H93" s="5" t="s">
        <v>22</v>
      </c>
      <c r="I93" s="4" t="s">
        <v>13</v>
      </c>
      <c r="J93" s="4" t="s">
        <v>19</v>
      </c>
    </row>
    <row r="94" spans="1:10" x14ac:dyDescent="0.3">
      <c r="A94" s="2" t="s">
        <v>155</v>
      </c>
      <c r="B94" s="3">
        <v>7</v>
      </c>
      <c r="C94" s="3">
        <v>6.7140863955827204</v>
      </c>
      <c r="D94" s="3">
        <v>0</v>
      </c>
      <c r="E94" s="3">
        <v>6.7140863955827204</v>
      </c>
      <c r="F94" s="4" t="s">
        <v>85</v>
      </c>
      <c r="G94" s="3">
        <v>0.21408639558272041</v>
      </c>
      <c r="H94" s="5" t="s">
        <v>12</v>
      </c>
      <c r="I94" s="4" t="s">
        <v>13</v>
      </c>
      <c r="J94" s="4" t="s">
        <v>19</v>
      </c>
    </row>
    <row r="95" spans="1:10" x14ac:dyDescent="0.3">
      <c r="A95" s="2" t="s">
        <v>156</v>
      </c>
      <c r="B95" s="3">
        <v>13</v>
      </c>
      <c r="C95" s="3">
        <v>11.76522618626568</v>
      </c>
      <c r="D95" s="3">
        <v>0</v>
      </c>
      <c r="E95" s="3">
        <v>11.76522618626568</v>
      </c>
      <c r="F95" s="4" t="s">
        <v>68</v>
      </c>
      <c r="G95" s="3">
        <v>0.2652261862656804</v>
      </c>
      <c r="H95" s="5" t="s">
        <v>29</v>
      </c>
      <c r="I95" s="4" t="s">
        <v>13</v>
      </c>
      <c r="J95" s="4" t="s">
        <v>19</v>
      </c>
    </row>
    <row r="96" spans="1:10" x14ac:dyDescent="0.3">
      <c r="A96" s="2" t="s">
        <v>157</v>
      </c>
      <c r="B96" s="3">
        <v>12.33333333333333</v>
      </c>
      <c r="C96" s="3">
        <v>11.18381195473572</v>
      </c>
      <c r="D96" s="3">
        <v>1.4</v>
      </c>
      <c r="E96" s="3">
        <v>12.583811954735721</v>
      </c>
      <c r="F96" s="4" t="s">
        <v>51</v>
      </c>
      <c r="G96" s="3">
        <v>8.3811954735720562E-2</v>
      </c>
      <c r="H96" s="5" t="s">
        <v>32</v>
      </c>
      <c r="I96" s="4" t="s">
        <v>61</v>
      </c>
      <c r="J96" s="4" t="s">
        <v>106</v>
      </c>
    </row>
    <row r="97" spans="1:10" x14ac:dyDescent="0.3">
      <c r="A97" s="2" t="s">
        <v>158</v>
      </c>
      <c r="B97" s="3">
        <v>5.3333333333333321</v>
      </c>
      <c r="C97" s="3">
        <v>1.547946348566775</v>
      </c>
      <c r="D97" s="3">
        <v>0</v>
      </c>
      <c r="E97" s="3">
        <v>1.547946348566775</v>
      </c>
      <c r="F97" s="4" t="s">
        <v>159</v>
      </c>
      <c r="G97" s="3">
        <v>4.7946348566775043E-2</v>
      </c>
      <c r="H97" s="5" t="s">
        <v>22</v>
      </c>
      <c r="I97" s="4" t="s">
        <v>61</v>
      </c>
      <c r="J97" s="4" t="s">
        <v>141</v>
      </c>
    </row>
    <row r="98" spans="1:10" x14ac:dyDescent="0.3">
      <c r="A98" s="2" t="s">
        <v>160</v>
      </c>
      <c r="B98" s="3">
        <v>4</v>
      </c>
      <c r="C98" s="3">
        <v>5.1966055823515553</v>
      </c>
      <c r="D98" s="3">
        <v>0</v>
      </c>
      <c r="E98" s="3">
        <v>5.1966055823515553</v>
      </c>
      <c r="F98" s="4" t="s">
        <v>161</v>
      </c>
      <c r="G98" s="3">
        <v>0.69660558235155534</v>
      </c>
      <c r="H98" s="5" t="s">
        <v>108</v>
      </c>
      <c r="I98" s="4" t="s">
        <v>13</v>
      </c>
      <c r="J98" s="4" t="s">
        <v>19</v>
      </c>
    </row>
    <row r="99" spans="1:10" x14ac:dyDescent="0.3">
      <c r="A99" s="2" t="s">
        <v>162</v>
      </c>
      <c r="B99" s="3">
        <v>7.3333333333333339</v>
      </c>
      <c r="C99" s="3">
        <v>7.927874610934178</v>
      </c>
      <c r="D99" s="3">
        <v>0.5</v>
      </c>
      <c r="E99" s="3">
        <v>8.4278746109341789</v>
      </c>
      <c r="F99" s="4" t="s">
        <v>103</v>
      </c>
      <c r="G99" s="3">
        <v>0.92787461093417889</v>
      </c>
      <c r="H99" s="5" t="s">
        <v>37</v>
      </c>
      <c r="I99" s="4" t="s">
        <v>61</v>
      </c>
      <c r="J99" s="4" t="s">
        <v>141</v>
      </c>
    </row>
    <row r="100" spans="1:10" x14ac:dyDescent="0.3">
      <c r="A100" s="2" t="s">
        <v>163</v>
      </c>
      <c r="B100" s="3">
        <v>8.6666666666666661</v>
      </c>
      <c r="C100" s="3">
        <v>8.7033043109753265</v>
      </c>
      <c r="D100" s="3">
        <v>0</v>
      </c>
      <c r="E100" s="3">
        <v>8.7033043109753265</v>
      </c>
      <c r="F100" s="4" t="s">
        <v>88</v>
      </c>
      <c r="G100" s="3">
        <v>0.2033043109753265</v>
      </c>
      <c r="H100" s="5" t="s">
        <v>12</v>
      </c>
      <c r="I100" s="4" t="s">
        <v>13</v>
      </c>
      <c r="J100" s="4" t="s">
        <v>19</v>
      </c>
    </row>
    <row r="101" spans="1:10" x14ac:dyDescent="0.3">
      <c r="A101" s="2" t="s">
        <v>164</v>
      </c>
      <c r="B101" s="3">
        <v>11</v>
      </c>
      <c r="C101" s="3">
        <v>11.41778012037634</v>
      </c>
      <c r="D101" s="3">
        <v>0</v>
      </c>
      <c r="E101" s="3">
        <v>11.41778012037634</v>
      </c>
      <c r="F101" s="4" t="s">
        <v>60</v>
      </c>
      <c r="G101" s="3">
        <v>0.91778012037634049</v>
      </c>
      <c r="H101" s="5" t="s">
        <v>165</v>
      </c>
      <c r="I101" s="4" t="s">
        <v>13</v>
      </c>
      <c r="J101" s="4" t="s">
        <v>19</v>
      </c>
    </row>
    <row r="102" spans="1:10" x14ac:dyDescent="0.3">
      <c r="A102" s="2" t="s">
        <v>166</v>
      </c>
      <c r="B102" s="3">
        <v>6.5</v>
      </c>
      <c r="C102" s="3">
        <v>7.7550042870541294</v>
      </c>
      <c r="D102" s="3">
        <v>-1</v>
      </c>
      <c r="E102" s="3">
        <v>6.7550042870541294</v>
      </c>
      <c r="F102" s="4" t="s">
        <v>85</v>
      </c>
      <c r="G102" s="3">
        <v>0.25500428705412942</v>
      </c>
      <c r="H102" s="5" t="s">
        <v>29</v>
      </c>
      <c r="I102" s="4" t="s">
        <v>61</v>
      </c>
      <c r="J102" s="4" t="s">
        <v>141</v>
      </c>
    </row>
    <row r="103" spans="1:10" x14ac:dyDescent="0.3">
      <c r="A103" s="2" t="s">
        <v>167</v>
      </c>
      <c r="B103" s="3">
        <v>9.5</v>
      </c>
      <c r="C103" s="3">
        <v>10.193910549157289</v>
      </c>
      <c r="D103" s="3">
        <v>0</v>
      </c>
      <c r="E103" s="3">
        <v>10.193910549157289</v>
      </c>
      <c r="F103" s="4" t="s">
        <v>79</v>
      </c>
      <c r="G103" s="3">
        <v>0.69391054915728922</v>
      </c>
      <c r="H103" s="5" t="s">
        <v>108</v>
      </c>
      <c r="I103" s="4" t="s">
        <v>13</v>
      </c>
      <c r="J103" s="4" t="s">
        <v>19</v>
      </c>
    </row>
    <row r="104" spans="1:10" x14ac:dyDescent="0.3">
      <c r="A104" s="2" t="s">
        <v>168</v>
      </c>
      <c r="B104" s="3">
        <v>9</v>
      </c>
      <c r="C104" s="3">
        <v>9.6247661239318756</v>
      </c>
      <c r="D104" s="3">
        <v>0</v>
      </c>
      <c r="E104" s="3">
        <v>9.6247661239318756</v>
      </c>
      <c r="F104" s="4" t="s">
        <v>79</v>
      </c>
      <c r="G104" s="3">
        <v>0.1247661239318756</v>
      </c>
      <c r="H104" s="5" t="s">
        <v>32</v>
      </c>
      <c r="I104" s="4" t="s">
        <v>13</v>
      </c>
      <c r="J104" s="4" t="s">
        <v>19</v>
      </c>
    </row>
    <row r="105" spans="1:10" x14ac:dyDescent="0.3">
      <c r="A105" s="2" t="s">
        <v>169</v>
      </c>
      <c r="B105" s="3">
        <v>8</v>
      </c>
      <c r="C105" s="3">
        <v>5.3453433353282893</v>
      </c>
      <c r="D105" s="3">
        <v>0</v>
      </c>
      <c r="E105" s="3">
        <v>5.3453433353282893</v>
      </c>
      <c r="F105" s="4" t="s">
        <v>161</v>
      </c>
      <c r="G105" s="3">
        <v>0.84534333532828931</v>
      </c>
      <c r="H105" s="5" t="s">
        <v>147</v>
      </c>
      <c r="I105" s="4" t="s">
        <v>13</v>
      </c>
      <c r="J105" s="4" t="s">
        <v>19</v>
      </c>
    </row>
    <row r="106" spans="1:10" x14ac:dyDescent="0.3">
      <c r="A106" s="2" t="s">
        <v>170</v>
      </c>
      <c r="B106" s="3">
        <v>6.5</v>
      </c>
      <c r="C106" s="3">
        <v>8.5296627880589551</v>
      </c>
      <c r="D106" s="3">
        <v>0</v>
      </c>
      <c r="E106" s="3">
        <v>8.5296627880589551</v>
      </c>
      <c r="F106" s="4" t="s">
        <v>88</v>
      </c>
      <c r="G106" s="3">
        <v>2.9662788058955059E-2</v>
      </c>
      <c r="H106" s="5" t="s">
        <v>22</v>
      </c>
      <c r="I106" s="4" t="s">
        <v>13</v>
      </c>
      <c r="J106" s="4" t="s">
        <v>19</v>
      </c>
    </row>
    <row r="107" spans="1:10" x14ac:dyDescent="0.3">
      <c r="A107" s="2" t="s">
        <v>171</v>
      </c>
      <c r="B107" s="3">
        <v>7.3333333333333339</v>
      </c>
      <c r="C107" s="3">
        <v>7.7153034887911094</v>
      </c>
      <c r="D107" s="3">
        <v>0</v>
      </c>
      <c r="E107" s="3">
        <v>7.7153034887911094</v>
      </c>
      <c r="F107" s="4" t="s">
        <v>103</v>
      </c>
      <c r="G107" s="3">
        <v>0.21530348879110939</v>
      </c>
      <c r="H107" s="5" t="s">
        <v>12</v>
      </c>
      <c r="I107" s="4" t="s">
        <v>13</v>
      </c>
      <c r="J107" s="4" t="s">
        <v>19</v>
      </c>
    </row>
    <row r="108" spans="1:10" x14ac:dyDescent="0.3">
      <c r="A108" s="2" t="s">
        <v>172</v>
      </c>
      <c r="B108" s="3">
        <v>6</v>
      </c>
      <c r="C108" s="3">
        <v>5.6441098589379939</v>
      </c>
      <c r="D108" s="3">
        <v>0</v>
      </c>
      <c r="E108" s="3">
        <v>5.6441098589379939</v>
      </c>
      <c r="F108" s="4" t="s">
        <v>70</v>
      </c>
      <c r="G108" s="3">
        <v>0.14410985893799391</v>
      </c>
      <c r="H108" s="5" t="s">
        <v>58</v>
      </c>
      <c r="I108" s="4" t="s">
        <v>13</v>
      </c>
      <c r="J108" s="4" t="s">
        <v>19</v>
      </c>
    </row>
    <row r="109" spans="1:10" x14ac:dyDescent="0.3">
      <c r="A109" s="2" t="s">
        <v>173</v>
      </c>
      <c r="B109" s="3">
        <v>2.3333333333333321</v>
      </c>
      <c r="C109" s="3">
        <v>4.2729014951330786</v>
      </c>
      <c r="D109" s="3">
        <v>1</v>
      </c>
      <c r="E109" s="3">
        <v>5.2729014951330786</v>
      </c>
      <c r="F109" s="4" t="s">
        <v>161</v>
      </c>
      <c r="G109" s="3">
        <v>0.7729014951330786</v>
      </c>
      <c r="H109" s="5" t="s">
        <v>91</v>
      </c>
      <c r="I109" s="4" t="s">
        <v>61</v>
      </c>
      <c r="J109" s="4" t="s">
        <v>141</v>
      </c>
    </row>
    <row r="110" spans="1:10" x14ac:dyDescent="0.3">
      <c r="A110" s="2" t="s">
        <v>174</v>
      </c>
      <c r="B110" s="3">
        <v>9</v>
      </c>
      <c r="C110" s="3">
        <v>9.9773717685173935</v>
      </c>
      <c r="D110" s="3">
        <v>0</v>
      </c>
      <c r="E110" s="3">
        <v>9.9773717685173935</v>
      </c>
      <c r="F110" s="4" t="s">
        <v>79</v>
      </c>
      <c r="G110" s="3">
        <v>0.47737176851739349</v>
      </c>
      <c r="H110" s="5" t="s">
        <v>71</v>
      </c>
      <c r="I110" s="4" t="s">
        <v>13</v>
      </c>
      <c r="J110" s="4" t="s">
        <v>19</v>
      </c>
    </row>
    <row r="111" spans="1:10" x14ac:dyDescent="0.3">
      <c r="A111" s="2" t="s">
        <v>175</v>
      </c>
      <c r="B111" s="3">
        <v>7.5</v>
      </c>
      <c r="C111" s="3">
        <v>9.0542487088138017</v>
      </c>
      <c r="D111" s="3">
        <v>-1</v>
      </c>
      <c r="E111" s="3">
        <v>8.0542487088138017</v>
      </c>
      <c r="F111" s="4" t="s">
        <v>103</v>
      </c>
      <c r="G111" s="3">
        <v>0.55424870881380173</v>
      </c>
      <c r="H111" s="5" t="s">
        <v>35</v>
      </c>
      <c r="I111" s="4" t="s">
        <v>61</v>
      </c>
      <c r="J111" s="4" t="s">
        <v>64</v>
      </c>
    </row>
    <row r="112" spans="1:10" x14ac:dyDescent="0.3">
      <c r="A112" s="2" t="s">
        <v>176</v>
      </c>
      <c r="B112" s="3">
        <v>10</v>
      </c>
      <c r="C112" s="3">
        <v>10.3663825066666</v>
      </c>
      <c r="D112" s="3">
        <v>-0.5</v>
      </c>
      <c r="E112" s="3">
        <v>9.8663825066666</v>
      </c>
      <c r="F112" s="4" t="s">
        <v>79</v>
      </c>
      <c r="G112" s="3">
        <v>0.36638250666659999</v>
      </c>
      <c r="H112" s="5" t="s">
        <v>82</v>
      </c>
      <c r="I112" s="4" t="s">
        <v>61</v>
      </c>
      <c r="J112" s="4" t="s">
        <v>62</v>
      </c>
    </row>
    <row r="113" spans="1:10" x14ac:dyDescent="0.3">
      <c r="A113" s="2" t="s">
        <v>177</v>
      </c>
      <c r="B113" s="3">
        <v>12.66666666666667</v>
      </c>
      <c r="C113" s="3">
        <v>12.16287101280259</v>
      </c>
      <c r="D113" s="3">
        <v>0.25</v>
      </c>
      <c r="E113" s="3">
        <v>12.41287101280259</v>
      </c>
      <c r="F113" s="4" t="s">
        <v>68</v>
      </c>
      <c r="G113" s="3">
        <v>0.91287101280259009</v>
      </c>
      <c r="H113" s="5" t="s">
        <v>165</v>
      </c>
      <c r="I113" s="4" t="s">
        <v>61</v>
      </c>
      <c r="J113" s="4" t="s">
        <v>62</v>
      </c>
    </row>
    <row r="114" spans="1:10" x14ac:dyDescent="0.3">
      <c r="A114" s="2" t="s">
        <v>178</v>
      </c>
      <c r="B114" s="3">
        <v>1.3333333333333319</v>
      </c>
      <c r="C114" s="3">
        <v>5.8715070345175384</v>
      </c>
      <c r="D114" s="3">
        <v>-5</v>
      </c>
      <c r="E114" s="3">
        <v>1</v>
      </c>
      <c r="F114" s="4" t="s">
        <v>98</v>
      </c>
      <c r="G114" s="3">
        <v>0</v>
      </c>
      <c r="H114" s="5" t="s">
        <v>66</v>
      </c>
      <c r="I114" s="4" t="s">
        <v>61</v>
      </c>
      <c r="J114" s="4" t="s">
        <v>19</v>
      </c>
    </row>
    <row r="115" spans="1:10" x14ac:dyDescent="0.3">
      <c r="A115" s="2" t="s">
        <v>179</v>
      </c>
      <c r="B115" s="3">
        <v>10.5</v>
      </c>
      <c r="C115" s="3">
        <v>11.319079176860379</v>
      </c>
      <c r="D115" s="3">
        <v>0</v>
      </c>
      <c r="E115" s="3">
        <v>11.319079176860379</v>
      </c>
      <c r="F115" s="4" t="s">
        <v>60</v>
      </c>
      <c r="G115" s="3">
        <v>0.81907917686037912</v>
      </c>
      <c r="H115" s="5" t="s">
        <v>45</v>
      </c>
      <c r="I115" s="4" t="s">
        <v>13</v>
      </c>
      <c r="J115" s="4" t="s">
        <v>19</v>
      </c>
    </row>
    <row r="116" spans="1:10" x14ac:dyDescent="0.3">
      <c r="A116" s="2" t="s">
        <v>180</v>
      </c>
      <c r="B116" s="3">
        <v>11</v>
      </c>
      <c r="C116" s="3">
        <v>12.04764313126036</v>
      </c>
      <c r="D116" s="3">
        <v>-2.5</v>
      </c>
      <c r="E116" s="3">
        <v>9.5476431312603598</v>
      </c>
      <c r="F116" s="4" t="s">
        <v>79</v>
      </c>
      <c r="G116" s="3">
        <v>4.7643131260359788E-2</v>
      </c>
      <c r="H116" s="5" t="s">
        <v>22</v>
      </c>
      <c r="I116" s="4" t="s">
        <v>61</v>
      </c>
      <c r="J116" s="4" t="s">
        <v>62</v>
      </c>
    </row>
    <row r="117" spans="1:10" x14ac:dyDescent="0.3">
      <c r="A117" s="2" t="s">
        <v>181</v>
      </c>
      <c r="B117" s="3">
        <v>14</v>
      </c>
      <c r="C117" s="3">
        <v>12.715782326146851</v>
      </c>
      <c r="D117" s="3">
        <v>0</v>
      </c>
      <c r="E117" s="3">
        <v>12.715782326146851</v>
      </c>
      <c r="F117" s="4" t="s">
        <v>51</v>
      </c>
      <c r="G117" s="3">
        <v>0.21578232614685081</v>
      </c>
      <c r="H117" s="5" t="s">
        <v>12</v>
      </c>
      <c r="I117" s="4" t="s">
        <v>61</v>
      </c>
      <c r="J117" s="4" t="s">
        <v>62</v>
      </c>
    </row>
    <row r="118" spans="1:10" x14ac:dyDescent="0.3">
      <c r="A118" s="2" t="s">
        <v>182</v>
      </c>
      <c r="B118" s="3">
        <v>8</v>
      </c>
      <c r="C118" s="3">
        <v>7.5594631779059611</v>
      </c>
      <c r="D118" s="3">
        <v>0.75</v>
      </c>
      <c r="E118" s="3">
        <v>8.3094631779059611</v>
      </c>
      <c r="F118" s="4" t="s">
        <v>103</v>
      </c>
      <c r="G118" s="3">
        <v>0.80946317790596112</v>
      </c>
      <c r="H118" s="5" t="s">
        <v>45</v>
      </c>
      <c r="I118" s="4" t="s">
        <v>61</v>
      </c>
      <c r="J118" s="4" t="s">
        <v>62</v>
      </c>
    </row>
    <row r="119" spans="1:10" x14ac:dyDescent="0.3">
      <c r="A119" s="2" t="s">
        <v>183</v>
      </c>
      <c r="B119" s="3">
        <v>15</v>
      </c>
      <c r="C119" s="3">
        <v>13.846668237620211</v>
      </c>
      <c r="D119" s="3">
        <v>0</v>
      </c>
      <c r="E119" s="3">
        <v>13.846668237620211</v>
      </c>
      <c r="F119" s="4" t="s">
        <v>95</v>
      </c>
      <c r="G119" s="3">
        <v>0.34666823762021082</v>
      </c>
      <c r="H119" s="5" t="s">
        <v>82</v>
      </c>
      <c r="I119" s="4" t="s">
        <v>61</v>
      </c>
      <c r="J119" s="4" t="s">
        <v>19</v>
      </c>
    </row>
    <row r="120" spans="1:10" x14ac:dyDescent="0.3">
      <c r="A120" s="2" t="s">
        <v>184</v>
      </c>
      <c r="B120" s="3">
        <v>8.6666666666666661</v>
      </c>
      <c r="C120" s="3">
        <v>8.64338754619002</v>
      </c>
      <c r="D120" s="3">
        <v>0</v>
      </c>
      <c r="E120" s="3">
        <v>8.64338754619002</v>
      </c>
      <c r="F120" s="4" t="s">
        <v>88</v>
      </c>
      <c r="G120" s="3">
        <v>0.14338754619002</v>
      </c>
      <c r="H120" s="5" t="s">
        <v>58</v>
      </c>
      <c r="I120" s="4" t="s">
        <v>13</v>
      </c>
      <c r="J120" s="4" t="s">
        <v>19</v>
      </c>
    </row>
    <row r="121" spans="1:10" x14ac:dyDescent="0.3">
      <c r="A121" s="2" t="s">
        <v>185</v>
      </c>
      <c r="B121" s="3">
        <v>1</v>
      </c>
      <c r="C121" s="3">
        <v>10.235816408782959</v>
      </c>
      <c r="D121" s="3">
        <v>0</v>
      </c>
      <c r="E121" s="3">
        <v>10.235816408782959</v>
      </c>
      <c r="F121" s="4" t="s">
        <v>79</v>
      </c>
      <c r="G121" s="3">
        <v>0.73581640878295929</v>
      </c>
      <c r="H121" s="5" t="s">
        <v>91</v>
      </c>
      <c r="I121" s="4" t="s">
        <v>61</v>
      </c>
      <c r="J121" s="4" t="s">
        <v>62</v>
      </c>
    </row>
    <row r="122" spans="1:10" x14ac:dyDescent="0.3">
      <c r="A122" s="2" t="s">
        <v>186</v>
      </c>
      <c r="B122" s="3">
        <v>17.666666666666671</v>
      </c>
      <c r="C122" s="3">
        <v>15.248317184767039</v>
      </c>
      <c r="D122" s="3">
        <v>0.5</v>
      </c>
      <c r="E122" s="3">
        <v>15.748317184767039</v>
      </c>
      <c r="F122" s="4" t="s">
        <v>55</v>
      </c>
      <c r="G122" s="3">
        <v>0.2483171847670391</v>
      </c>
      <c r="H122" s="5" t="s">
        <v>29</v>
      </c>
      <c r="I122" s="4" t="s">
        <v>61</v>
      </c>
      <c r="J122" s="4" t="s">
        <v>47</v>
      </c>
    </row>
    <row r="123" spans="1:10" x14ac:dyDescent="0.3">
      <c r="A123" s="2" t="s">
        <v>187</v>
      </c>
      <c r="B123" s="3">
        <v>1.6666666666666681</v>
      </c>
      <c r="C123" s="3">
        <v>5.8593883299417904</v>
      </c>
      <c r="D123" s="3">
        <v>-4</v>
      </c>
      <c r="E123" s="3">
        <v>1.8593883299417899</v>
      </c>
      <c r="F123" s="4" t="s">
        <v>159</v>
      </c>
      <c r="G123" s="3">
        <v>0.35938832994179037</v>
      </c>
      <c r="H123" s="5" t="s">
        <v>82</v>
      </c>
      <c r="I123" s="4" t="s">
        <v>61</v>
      </c>
      <c r="J123" s="4" t="s">
        <v>62</v>
      </c>
    </row>
    <row r="124" spans="1:10" x14ac:dyDescent="0.3">
      <c r="A124" s="2" t="s">
        <v>188</v>
      </c>
      <c r="B124" s="3">
        <v>10.33333333333333</v>
      </c>
      <c r="C124" s="3">
        <v>10.68780774659948</v>
      </c>
      <c r="D124" s="3">
        <v>1.25</v>
      </c>
      <c r="E124" s="3">
        <v>11.93780774659948</v>
      </c>
      <c r="F124" s="4" t="s">
        <v>68</v>
      </c>
      <c r="G124" s="3">
        <v>0.4378077465994803</v>
      </c>
      <c r="H124" s="5" t="s">
        <v>77</v>
      </c>
      <c r="I124" s="4" t="s">
        <v>61</v>
      </c>
      <c r="J124" s="4" t="s">
        <v>62</v>
      </c>
    </row>
    <row r="125" spans="1:10" x14ac:dyDescent="0.3">
      <c r="A125" s="2" t="s">
        <v>189</v>
      </c>
      <c r="B125" s="3">
        <v>19</v>
      </c>
      <c r="C125" s="3">
        <v>18.014490641192769</v>
      </c>
      <c r="D125" s="3">
        <v>0.3</v>
      </c>
      <c r="E125" s="3">
        <v>18.314490641192769</v>
      </c>
      <c r="F125" s="4" t="s">
        <v>21</v>
      </c>
      <c r="G125" s="3">
        <v>0.81449064119276926</v>
      </c>
      <c r="H125" s="5" t="s">
        <v>45</v>
      </c>
      <c r="I125" s="4" t="s">
        <v>13</v>
      </c>
      <c r="J125" s="4" t="s">
        <v>106</v>
      </c>
    </row>
    <row r="126" spans="1:10" x14ac:dyDescent="0.3">
      <c r="A126" s="2" t="s">
        <v>190</v>
      </c>
      <c r="B126" s="3">
        <v>16.666666666666671</v>
      </c>
      <c r="C126" s="3">
        <v>15.55796335099383</v>
      </c>
      <c r="D126" s="3">
        <v>0</v>
      </c>
      <c r="E126" s="3">
        <v>15.55796335099383</v>
      </c>
      <c r="F126" s="4" t="s">
        <v>55</v>
      </c>
      <c r="G126" s="3">
        <v>5.7963350993830431E-2</v>
      </c>
      <c r="H126" s="5" t="s">
        <v>22</v>
      </c>
      <c r="I126" s="4" t="s">
        <v>13</v>
      </c>
      <c r="J126" s="4" t="s">
        <v>19</v>
      </c>
    </row>
    <row r="127" spans="1:10" x14ac:dyDescent="0.3">
      <c r="A127" s="2" t="s">
        <v>191</v>
      </c>
      <c r="B127" s="3">
        <v>18</v>
      </c>
      <c r="C127" s="3">
        <v>17.92323850894098</v>
      </c>
      <c r="D127" s="3">
        <v>0</v>
      </c>
      <c r="E127" s="3">
        <v>17.92323850894098</v>
      </c>
      <c r="F127" s="4" t="s">
        <v>21</v>
      </c>
      <c r="G127" s="3">
        <v>0.42323850894097959</v>
      </c>
      <c r="H127" s="5" t="s">
        <v>49</v>
      </c>
      <c r="I127" s="4" t="s">
        <v>13</v>
      </c>
      <c r="J127" s="4" t="s">
        <v>19</v>
      </c>
    </row>
    <row r="128" spans="1:10" x14ac:dyDescent="0.3">
      <c r="A128" s="2" t="s">
        <v>192</v>
      </c>
      <c r="B128" s="3">
        <v>16.333333333333329</v>
      </c>
      <c r="C128" s="3">
        <v>16.069848335802298</v>
      </c>
      <c r="D128" s="3">
        <v>0</v>
      </c>
      <c r="E128" s="3">
        <v>16.069848335802298</v>
      </c>
      <c r="F128" s="4" t="s">
        <v>55</v>
      </c>
      <c r="G128" s="3">
        <v>0.56984833580229832</v>
      </c>
      <c r="H128" s="5" t="s">
        <v>35</v>
      </c>
      <c r="I128" s="4" t="s">
        <v>13</v>
      </c>
      <c r="J128" s="4" t="s">
        <v>19</v>
      </c>
    </row>
    <row r="129" spans="1:10" x14ac:dyDescent="0.3">
      <c r="A129" s="2" t="s">
        <v>193</v>
      </c>
      <c r="B129" s="3">
        <v>12</v>
      </c>
      <c r="C129" s="3">
        <v>12.14113772485592</v>
      </c>
      <c r="D129" s="3">
        <v>0.8</v>
      </c>
      <c r="E129" s="3">
        <v>12.941137724855921</v>
      </c>
      <c r="F129" s="4" t="s">
        <v>51</v>
      </c>
      <c r="G129" s="3">
        <v>0.44113772485592051</v>
      </c>
      <c r="H129" s="5" t="s">
        <v>77</v>
      </c>
      <c r="I129" s="4" t="s">
        <v>61</v>
      </c>
      <c r="J129" s="4" t="s">
        <v>19</v>
      </c>
    </row>
    <row r="130" spans="1:10" x14ac:dyDescent="0.3">
      <c r="A130" s="2" t="s">
        <v>194</v>
      </c>
      <c r="B130" s="3">
        <v>9.5</v>
      </c>
      <c r="C130" s="3">
        <v>10.27912439278054</v>
      </c>
      <c r="D130" s="3">
        <v>0</v>
      </c>
      <c r="E130" s="3">
        <v>10.27912439278054</v>
      </c>
      <c r="F130" s="4" t="s">
        <v>79</v>
      </c>
      <c r="G130" s="3">
        <v>0.77912439278054002</v>
      </c>
      <c r="H130" s="5" t="s">
        <v>45</v>
      </c>
      <c r="I130" s="4" t="s">
        <v>13</v>
      </c>
      <c r="J130" s="4" t="s">
        <v>19</v>
      </c>
    </row>
    <row r="131" spans="1:10" x14ac:dyDescent="0.3">
      <c r="A131" s="2" t="s">
        <v>195</v>
      </c>
      <c r="B131" s="3">
        <v>13.66666666666667</v>
      </c>
      <c r="C131" s="3">
        <v>13.553636410211571</v>
      </c>
      <c r="D131" s="3">
        <v>-1.2</v>
      </c>
      <c r="E131" s="3">
        <v>12.353636410211569</v>
      </c>
      <c r="F131" s="4" t="s">
        <v>68</v>
      </c>
      <c r="G131" s="3">
        <v>0.85363641021157122</v>
      </c>
      <c r="H131" s="5" t="s">
        <v>147</v>
      </c>
      <c r="I131" s="4" t="s">
        <v>13</v>
      </c>
      <c r="J131" s="4" t="s">
        <v>106</v>
      </c>
    </row>
    <row r="132" spans="1:10" x14ac:dyDescent="0.3">
      <c r="A132" s="2" t="s">
        <v>196</v>
      </c>
      <c r="B132" s="3">
        <v>17</v>
      </c>
      <c r="C132" s="3">
        <v>17.851103442029391</v>
      </c>
      <c r="D132" s="3">
        <v>0</v>
      </c>
      <c r="E132" s="3">
        <v>17.851103442029391</v>
      </c>
      <c r="F132" s="4" t="s">
        <v>21</v>
      </c>
      <c r="G132" s="3">
        <v>0.35110344202939098</v>
      </c>
      <c r="H132" s="5" t="s">
        <v>82</v>
      </c>
      <c r="I132" s="4" t="s">
        <v>13</v>
      </c>
      <c r="J132" s="4" t="s">
        <v>19</v>
      </c>
    </row>
    <row r="133" spans="1:10" x14ac:dyDescent="0.3">
      <c r="A133" s="2" t="s">
        <v>197</v>
      </c>
      <c r="B133" s="3">
        <v>8.6666666666666661</v>
      </c>
      <c r="C133" s="3">
        <v>10.320189919901621</v>
      </c>
      <c r="D133" s="3">
        <v>0</v>
      </c>
      <c r="E133" s="3">
        <v>10.320189919901621</v>
      </c>
      <c r="F133" s="4" t="s">
        <v>79</v>
      </c>
      <c r="G133" s="3">
        <v>0.82018991990162071</v>
      </c>
      <c r="H133" s="5" t="s">
        <v>45</v>
      </c>
      <c r="I133" s="4" t="s">
        <v>61</v>
      </c>
      <c r="J133" s="4" t="s">
        <v>47</v>
      </c>
    </row>
    <row r="134" spans="1:10" x14ac:dyDescent="0.3">
      <c r="A134" s="2" t="s">
        <v>198</v>
      </c>
      <c r="B134" s="3">
        <v>16</v>
      </c>
      <c r="C134" s="3">
        <v>15.24754330107473</v>
      </c>
      <c r="D134" s="3">
        <v>0</v>
      </c>
      <c r="E134" s="3">
        <v>15.24754330107473</v>
      </c>
      <c r="F134" s="4" t="s">
        <v>111</v>
      </c>
      <c r="G134" s="3">
        <v>0.74754330107472988</v>
      </c>
      <c r="H134" s="5" t="s">
        <v>91</v>
      </c>
      <c r="I134" s="4" t="s">
        <v>13</v>
      </c>
      <c r="J134" s="4" t="s">
        <v>19</v>
      </c>
    </row>
    <row r="135" spans="1:10" x14ac:dyDescent="0.3">
      <c r="A135" s="2" t="s">
        <v>199</v>
      </c>
      <c r="B135" s="3">
        <v>18</v>
      </c>
      <c r="C135" s="3">
        <v>15.920367655745689</v>
      </c>
      <c r="D135" s="3">
        <v>0</v>
      </c>
      <c r="E135" s="3">
        <v>15.920367655745689</v>
      </c>
      <c r="F135" s="4" t="s">
        <v>55</v>
      </c>
      <c r="G135" s="3">
        <v>0.42036765574568952</v>
      </c>
      <c r="H135" s="5" t="s">
        <v>49</v>
      </c>
      <c r="I135" s="4" t="s">
        <v>13</v>
      </c>
      <c r="J135" s="4" t="s">
        <v>19</v>
      </c>
    </row>
    <row r="136" spans="1:10" x14ac:dyDescent="0.3">
      <c r="A136" s="2" t="s">
        <v>200</v>
      </c>
      <c r="B136" s="3">
        <v>11</v>
      </c>
      <c r="C136" s="3">
        <v>10.80310437312616</v>
      </c>
      <c r="D136" s="3">
        <v>0</v>
      </c>
      <c r="E136" s="3">
        <v>10.80310437312616</v>
      </c>
      <c r="F136" s="4" t="s">
        <v>60</v>
      </c>
      <c r="G136" s="3">
        <v>0.30310437312616051</v>
      </c>
      <c r="H136" s="5" t="s">
        <v>41</v>
      </c>
      <c r="I136" s="4" t="s">
        <v>13</v>
      </c>
      <c r="J136" s="4" t="s">
        <v>19</v>
      </c>
    </row>
    <row r="137" spans="1:10" x14ac:dyDescent="0.3">
      <c r="A137" s="2" t="s">
        <v>201</v>
      </c>
      <c r="B137" s="3">
        <v>8</v>
      </c>
      <c r="C137" s="3">
        <v>10.790745299664151</v>
      </c>
      <c r="D137" s="3">
        <v>-1.5</v>
      </c>
      <c r="E137" s="3">
        <v>9.2907452996641506</v>
      </c>
      <c r="F137" s="4" t="s">
        <v>88</v>
      </c>
      <c r="G137" s="3">
        <v>0.79074529966415064</v>
      </c>
      <c r="H137" s="5" t="s">
        <v>45</v>
      </c>
      <c r="I137" s="4" t="s">
        <v>13</v>
      </c>
      <c r="J137" s="4" t="s">
        <v>19</v>
      </c>
    </row>
    <row r="138" spans="1:10" x14ac:dyDescent="0.3">
      <c r="A138" s="2" t="s">
        <v>202</v>
      </c>
      <c r="B138" s="3">
        <v>16.333333333333329</v>
      </c>
      <c r="C138" s="3">
        <v>16.632656615149109</v>
      </c>
      <c r="D138" s="3">
        <v>-0.2</v>
      </c>
      <c r="E138" s="3">
        <v>16.43265661514911</v>
      </c>
      <c r="F138" s="4" t="s">
        <v>55</v>
      </c>
      <c r="G138" s="3">
        <v>0.93265661514911002</v>
      </c>
      <c r="H138" s="5" t="s">
        <v>37</v>
      </c>
      <c r="I138" s="4" t="s">
        <v>61</v>
      </c>
      <c r="J138" s="4" t="s">
        <v>106</v>
      </c>
    </row>
    <row r="139" spans="1:10" x14ac:dyDescent="0.3">
      <c r="A139" t="s">
        <v>203</v>
      </c>
      <c r="B139">
        <v>13</v>
      </c>
      <c r="C139">
        <v>13.805773980857991</v>
      </c>
      <c r="D139">
        <v>-1.4</v>
      </c>
      <c r="E139">
        <v>12.40577398085799</v>
      </c>
      <c r="F139" t="s">
        <v>68</v>
      </c>
      <c r="G139">
        <v>0.90577398085799032</v>
      </c>
      <c r="H139" s="6" t="s">
        <v>165</v>
      </c>
      <c r="I139" t="s">
        <v>61</v>
      </c>
      <c r="J139" t="s">
        <v>106</v>
      </c>
    </row>
  </sheetData>
  <autoFilter ref="A1:J13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Q138"/>
  <sheetViews>
    <sheetView workbookViewId="0">
      <selection activeCell="I18" sqref="I18"/>
    </sheetView>
  </sheetViews>
  <sheetFormatPr defaultRowHeight="14.4" x14ac:dyDescent="0.3"/>
  <sheetData>
    <row r="1" spans="1:43" x14ac:dyDescent="0.3">
      <c r="A1" t="s">
        <v>210</v>
      </c>
      <c r="B1" t="s">
        <v>211</v>
      </c>
      <c r="C1" t="s">
        <v>0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  <c r="AE1" t="s">
        <v>239</v>
      </c>
      <c r="AF1" t="s">
        <v>240</v>
      </c>
      <c r="AG1" t="s">
        <v>241</v>
      </c>
      <c r="AH1" t="s">
        <v>242</v>
      </c>
      <c r="AI1" t="s">
        <v>243</v>
      </c>
      <c r="AJ1" t="s">
        <v>244</v>
      </c>
      <c r="AK1" t="s">
        <v>245</v>
      </c>
      <c r="AL1" t="s">
        <v>246</v>
      </c>
      <c r="AM1" t="s">
        <v>247</v>
      </c>
      <c r="AN1" t="s">
        <v>248</v>
      </c>
      <c r="AO1" t="s">
        <v>249</v>
      </c>
      <c r="AP1" t="s">
        <v>250</v>
      </c>
      <c r="AQ1" t="s">
        <v>251</v>
      </c>
    </row>
    <row r="2" spans="1:43" x14ac:dyDescent="0.3">
      <c r="A2">
        <v>111</v>
      </c>
      <c r="B2">
        <v>2023</v>
      </c>
      <c r="C2" t="s">
        <v>10</v>
      </c>
      <c r="D2">
        <v>21.333333333333329</v>
      </c>
      <c r="E2">
        <v>19.029274899275421</v>
      </c>
      <c r="F2">
        <v>2.3040584340579109</v>
      </c>
      <c r="G2">
        <v>1.661434358574585</v>
      </c>
      <c r="H2">
        <v>2.8554324339156079</v>
      </c>
      <c r="I2">
        <v>-0.52759164351240584</v>
      </c>
      <c r="J2">
        <v>0.28282164583268993</v>
      </c>
      <c r="K2">
        <v>0.30213081591089108</v>
      </c>
      <c r="L2">
        <v>0.90987171206692075</v>
      </c>
      <c r="M2">
        <v>-0.51474063744598952</v>
      </c>
      <c r="N2">
        <v>-1.716575503674816</v>
      </c>
      <c r="O2">
        <v>-0.1613375137960387</v>
      </c>
      <c r="P2">
        <v>-2.3965533231891638</v>
      </c>
      <c r="Q2">
        <v>1.9052497423687671</v>
      </c>
      <c r="R2">
        <v>1.661434358574585</v>
      </c>
      <c r="S2">
        <v>9.113751274705443</v>
      </c>
      <c r="T2">
        <v>2.210259888524568E-2</v>
      </c>
      <c r="U2">
        <v>9.0916486758201973</v>
      </c>
      <c r="V2">
        <v>2.8554324339156079</v>
      </c>
      <c r="W2">
        <v>4.6286620780019438</v>
      </c>
      <c r="X2">
        <v>9.4936803620183419E-2</v>
      </c>
      <c r="Y2">
        <v>4.5337252743817604</v>
      </c>
      <c r="Z2">
        <v>-0.52759164351240584</v>
      </c>
      <c r="AA2">
        <v>-0.28282164583268993</v>
      </c>
      <c r="AB2">
        <v>-0.36105429762281449</v>
      </c>
      <c r="AC2">
        <v>-0.24320733419896781</v>
      </c>
      <c r="AD2">
        <v>0.82446263453161928</v>
      </c>
      <c r="AE2">
        <v>5.8924097794714652E-3</v>
      </c>
      <c r="AF2">
        <v>1.0970560927526209</v>
      </c>
      <c r="AG2">
        <v>1.264017256941371</v>
      </c>
      <c r="AH2">
        <v>1.257669702556939</v>
      </c>
      <c r="AI2">
        <v>1.010132175839501</v>
      </c>
      <c r="AJ2">
        <v>-1.3046813725951161</v>
      </c>
      <c r="AK2">
        <v>3.6896934875844792E-2</v>
      </c>
      <c r="AL2">
        <v>-0.27643747461869722</v>
      </c>
      <c r="AM2">
        <v>1.716575503674816</v>
      </c>
      <c r="AN2">
        <v>-0.1613375137960387</v>
      </c>
      <c r="AO2">
        <v>-2.7120369507074269</v>
      </c>
      <c r="AP2">
        <v>-2.0810696956708998</v>
      </c>
      <c r="AQ2">
        <v>1.9052497423687671</v>
      </c>
    </row>
    <row r="3" spans="1:43" x14ac:dyDescent="0.3">
      <c r="A3">
        <v>112</v>
      </c>
      <c r="B3">
        <v>2023</v>
      </c>
      <c r="C3" t="s">
        <v>15</v>
      </c>
      <c r="D3">
        <v>19.333333333333329</v>
      </c>
      <c r="E3">
        <v>19.233673515526011</v>
      </c>
      <c r="F3">
        <v>9.965981780732136E-2</v>
      </c>
      <c r="G3">
        <v>1.270494470742954</v>
      </c>
      <c r="H3">
        <v>1.754030639048116</v>
      </c>
      <c r="I3">
        <v>-0.92463477625193724</v>
      </c>
      <c r="J3">
        <v>0.24867020872533441</v>
      </c>
      <c r="K3">
        <v>0.30213081591089108</v>
      </c>
      <c r="L3">
        <v>1.1678865398034659</v>
      </c>
      <c r="M3">
        <v>9.7672457560987525E-2</v>
      </c>
      <c r="N3">
        <v>-1.175318857459122</v>
      </c>
      <c r="O3">
        <v>-0.2339960069520404</v>
      </c>
      <c r="P3">
        <v>-0.6021331893209263</v>
      </c>
      <c r="Q3">
        <v>1.9052497423687671</v>
      </c>
      <c r="R3">
        <v>1.270494470742954</v>
      </c>
      <c r="S3">
        <v>9.113751274705443</v>
      </c>
      <c r="T3">
        <v>2.210259888524568E-2</v>
      </c>
      <c r="U3">
        <v>9.0916486758201973</v>
      </c>
      <c r="V3">
        <v>1.754030639048116</v>
      </c>
      <c r="W3">
        <v>4.6286620780019438</v>
      </c>
      <c r="X3">
        <v>9.4936803620183419E-2</v>
      </c>
      <c r="Y3">
        <v>4.5337252743817604</v>
      </c>
      <c r="Z3">
        <v>-0.92463477625193724</v>
      </c>
      <c r="AA3">
        <v>-0.24867020872533441</v>
      </c>
      <c r="AB3">
        <v>-0.36105429762281449</v>
      </c>
      <c r="AC3">
        <v>-0.24320733419896781</v>
      </c>
      <c r="AD3">
        <v>1.2527490197120781</v>
      </c>
      <c r="AE3">
        <v>0.58652216471911089</v>
      </c>
      <c r="AF3">
        <v>1.034259225876478</v>
      </c>
      <c r="AG3">
        <v>1.426237343097488</v>
      </c>
      <c r="AH3">
        <v>1.333625163269393</v>
      </c>
      <c r="AI3">
        <v>1.3739263221462461</v>
      </c>
      <c r="AJ3">
        <v>-0.63404892150257741</v>
      </c>
      <c r="AK3">
        <v>0.77305253613881897</v>
      </c>
      <c r="AL3">
        <v>0.15401375804672099</v>
      </c>
      <c r="AM3">
        <v>1.175318857459122</v>
      </c>
      <c r="AN3">
        <v>-0.2339960069520404</v>
      </c>
      <c r="AO3">
        <v>-0.70020330175882162</v>
      </c>
      <c r="AP3">
        <v>-0.50406307688303109</v>
      </c>
      <c r="AQ3">
        <v>1.9052497423687671</v>
      </c>
    </row>
    <row r="4" spans="1:43" x14ac:dyDescent="0.3">
      <c r="A4">
        <v>122</v>
      </c>
      <c r="B4">
        <v>2023</v>
      </c>
      <c r="C4" t="s">
        <v>18</v>
      </c>
      <c r="D4">
        <v>21</v>
      </c>
      <c r="E4">
        <v>18.795248033100929</v>
      </c>
      <c r="F4">
        <v>2.2047519668990669</v>
      </c>
      <c r="G4">
        <v>1.369163982881741</v>
      </c>
      <c r="H4">
        <v>0.77017187901661344</v>
      </c>
      <c r="I4">
        <v>-0.83111526994799223</v>
      </c>
      <c r="J4">
        <v>0.24309913630335209</v>
      </c>
      <c r="K4">
        <v>0.30213081591089108</v>
      </c>
      <c r="L4">
        <v>1.2393601875000799</v>
      </c>
      <c r="M4">
        <v>0.77258859100673527</v>
      </c>
      <c r="N4">
        <v>-0.56838462620832475</v>
      </c>
      <c r="O4">
        <v>0.30582853723439918</v>
      </c>
      <c r="P4">
        <v>-1.6526392833976331</v>
      </c>
      <c r="Q4">
        <v>1.9052497423687671</v>
      </c>
      <c r="R4">
        <v>1.369163982881741</v>
      </c>
      <c r="S4">
        <v>9.113751274705443</v>
      </c>
      <c r="T4">
        <v>2.210259888524568E-2</v>
      </c>
      <c r="U4">
        <v>9.0916486758201973</v>
      </c>
      <c r="V4">
        <v>0.77017187901661344</v>
      </c>
      <c r="W4">
        <v>4.6286620780019438</v>
      </c>
      <c r="X4">
        <v>9.4936803620183419E-2</v>
      </c>
      <c r="Y4">
        <v>4.5337252743817604</v>
      </c>
      <c r="Z4">
        <v>-0.83111526994799223</v>
      </c>
      <c r="AA4">
        <v>-0.24309913630335209</v>
      </c>
      <c r="AB4">
        <v>-0.36105429762281449</v>
      </c>
      <c r="AC4">
        <v>-0.24320733419896781</v>
      </c>
      <c r="AD4">
        <v>1.4195834063934309</v>
      </c>
      <c r="AE4">
        <v>0.8413153850151599</v>
      </c>
      <c r="AF4">
        <v>1.219696946611128</v>
      </c>
      <c r="AG4">
        <v>1.227261802019781</v>
      </c>
      <c r="AH4">
        <v>1.7077709230110141</v>
      </c>
      <c r="AI4">
        <v>1.0205326619499651</v>
      </c>
      <c r="AJ4">
        <v>-8.4995308156846621E-3</v>
      </c>
      <c r="AK4">
        <v>1.7049827918674481</v>
      </c>
      <c r="AL4">
        <v>0.62128251196844242</v>
      </c>
      <c r="AM4">
        <v>0.56838462620832475</v>
      </c>
      <c r="AN4">
        <v>0.30582853723439918</v>
      </c>
      <c r="AO4">
        <v>-1.686847834597313</v>
      </c>
      <c r="AP4">
        <v>-1.6184307321979521</v>
      </c>
      <c r="AQ4">
        <v>1.9052497423687671</v>
      </c>
    </row>
    <row r="5" spans="1:43" x14ac:dyDescent="0.3">
      <c r="A5">
        <v>124</v>
      </c>
      <c r="B5">
        <v>2023</v>
      </c>
      <c r="C5" t="s">
        <v>20</v>
      </c>
      <c r="D5">
        <v>19.333333333333329</v>
      </c>
      <c r="E5">
        <v>17.55446124480671</v>
      </c>
      <c r="F5">
        <v>1.7788720885266149</v>
      </c>
      <c r="G5">
        <v>1.3513205002504789</v>
      </c>
      <c r="H5">
        <v>0.89074215851027905</v>
      </c>
      <c r="I5">
        <v>-0.80286731449577353</v>
      </c>
      <c r="J5">
        <v>0.31567570991026889</v>
      </c>
      <c r="K5">
        <v>0.30213081591089108</v>
      </c>
      <c r="L5">
        <v>1.021882541251298</v>
      </c>
      <c r="M5">
        <v>0.52358694626273594</v>
      </c>
      <c r="N5">
        <v>-1.255748894970385</v>
      </c>
      <c r="O5">
        <v>7.1159319616474398E-2</v>
      </c>
      <c r="P5">
        <v>-1.442173757299237</v>
      </c>
      <c r="Q5">
        <v>1.9052497423687671</v>
      </c>
      <c r="R5">
        <v>1.3513205002504789</v>
      </c>
      <c r="S5">
        <v>9.113751274705443</v>
      </c>
      <c r="T5">
        <v>2.210259888524568E-2</v>
      </c>
      <c r="U5">
        <v>9.0916486758201973</v>
      </c>
      <c r="V5">
        <v>0.89074215851027905</v>
      </c>
      <c r="W5">
        <v>4.6286620780019438</v>
      </c>
      <c r="X5">
        <v>9.4936803620183419E-2</v>
      </c>
      <c r="Y5">
        <v>4.5337252743817604</v>
      </c>
      <c r="Z5">
        <v>-0.80286731449577353</v>
      </c>
      <c r="AA5">
        <v>-0.31567570991026889</v>
      </c>
      <c r="AB5">
        <v>-0.36105429762281449</v>
      </c>
      <c r="AC5">
        <v>-0.24320733419896781</v>
      </c>
      <c r="AD5">
        <v>1.324227648529702</v>
      </c>
      <c r="AE5">
        <v>0.45367636911826981</v>
      </c>
      <c r="AF5">
        <v>0.89521734222858229</v>
      </c>
      <c r="AG5">
        <v>1.0079022759922029</v>
      </c>
      <c r="AH5">
        <v>1.2229595785274801</v>
      </c>
      <c r="AI5">
        <v>1.2273120331115479</v>
      </c>
      <c r="AJ5">
        <v>-0.53263083064007211</v>
      </c>
      <c r="AK5">
        <v>1.6332070019874989</v>
      </c>
      <c r="AL5">
        <v>0.47018466744078102</v>
      </c>
      <c r="AM5">
        <v>1.255748894970385</v>
      </c>
      <c r="AN5">
        <v>7.1159319616474398E-2</v>
      </c>
      <c r="AO5">
        <v>-1.278492170464073</v>
      </c>
      <c r="AP5">
        <v>-1.6058553441344019</v>
      </c>
      <c r="AQ5">
        <v>1.9052497423687671</v>
      </c>
    </row>
    <row r="6" spans="1:43" x14ac:dyDescent="0.3">
      <c r="A6">
        <v>128</v>
      </c>
      <c r="B6">
        <v>2023</v>
      </c>
      <c r="C6" t="s">
        <v>23</v>
      </c>
      <c r="D6">
        <v>22</v>
      </c>
      <c r="E6">
        <v>23.01202789670231</v>
      </c>
      <c r="F6">
        <v>-1.012027896702314</v>
      </c>
      <c r="G6">
        <v>1.51637693590375</v>
      </c>
      <c r="H6">
        <v>0.64753098934320419</v>
      </c>
      <c r="I6">
        <v>-0.63700335350198867</v>
      </c>
      <c r="J6">
        <v>0.37777790420325358</v>
      </c>
      <c r="K6">
        <v>0.30213081591089108</v>
      </c>
      <c r="L6">
        <v>1.7698904223026399</v>
      </c>
      <c r="M6">
        <v>1.251326971040672</v>
      </c>
      <c r="N6">
        <v>0.67396079257964125</v>
      </c>
      <c r="O6">
        <v>1.433218354692873</v>
      </c>
      <c r="P6">
        <v>0.54832727572017115</v>
      </c>
      <c r="Q6">
        <v>1.9052497423687671</v>
      </c>
      <c r="R6">
        <v>1.51637693590375</v>
      </c>
      <c r="S6">
        <v>9.113751274705443</v>
      </c>
      <c r="T6">
        <v>2.210259888524568E-2</v>
      </c>
      <c r="U6">
        <v>9.0916486758201973</v>
      </c>
      <c r="V6">
        <v>0.64753098934320419</v>
      </c>
      <c r="W6">
        <v>4.6286620780019438</v>
      </c>
      <c r="X6">
        <v>9.4936803620183419E-2</v>
      </c>
      <c r="Y6">
        <v>4.5337252743817604</v>
      </c>
      <c r="Z6">
        <v>-0.63700335350198867</v>
      </c>
      <c r="AA6">
        <v>-0.37777790420325358</v>
      </c>
      <c r="AB6">
        <v>-0.36105429762281449</v>
      </c>
      <c r="AC6">
        <v>-0.24320733419896781</v>
      </c>
      <c r="AD6">
        <v>1.7021874146994209</v>
      </c>
      <c r="AE6">
        <v>0.98824427243919188</v>
      </c>
      <c r="AF6">
        <v>1.991487445343201</v>
      </c>
      <c r="AG6">
        <v>1.7703085149561071</v>
      </c>
      <c r="AH6">
        <v>1.8822413297468359</v>
      </c>
      <c r="AI6">
        <v>2.284873556631084</v>
      </c>
      <c r="AJ6">
        <v>1.0395625882976569</v>
      </c>
      <c r="AK6">
        <v>1.767435979153795</v>
      </c>
      <c r="AL6">
        <v>0.94698234567056461</v>
      </c>
      <c r="AM6">
        <v>-0.67396079257964125</v>
      </c>
      <c r="AN6">
        <v>1.433218354692873</v>
      </c>
      <c r="AO6">
        <v>0.58422421833590032</v>
      </c>
      <c r="AP6">
        <v>0.51243033310444186</v>
      </c>
      <c r="AQ6">
        <v>1.9052497423687671</v>
      </c>
    </row>
    <row r="7" spans="1:43" x14ac:dyDescent="0.3">
      <c r="A7">
        <v>132</v>
      </c>
      <c r="B7">
        <v>2023</v>
      </c>
      <c r="C7" t="s">
        <v>26</v>
      </c>
      <c r="D7">
        <v>19.666666666666671</v>
      </c>
      <c r="E7">
        <v>18.468881195475021</v>
      </c>
      <c r="F7">
        <v>1.197785471191654</v>
      </c>
      <c r="G7">
        <v>1.197255581743677</v>
      </c>
      <c r="H7">
        <v>1.7036777754906129</v>
      </c>
      <c r="I7">
        <v>-0.86918670295314626</v>
      </c>
      <c r="J7">
        <v>0.39506349192351298</v>
      </c>
      <c r="K7">
        <v>0.30213081591089108</v>
      </c>
      <c r="L7">
        <v>0.94904983699918388</v>
      </c>
      <c r="M7">
        <v>0.57768211351217469</v>
      </c>
      <c r="N7">
        <v>-1.43283388947705</v>
      </c>
      <c r="O7">
        <v>8.8848733860541054E-2</v>
      </c>
      <c r="P7">
        <v>-1.4326135886982689</v>
      </c>
      <c r="Q7">
        <v>1.9052497423687671</v>
      </c>
      <c r="R7">
        <v>1.197255581743677</v>
      </c>
      <c r="S7">
        <v>9.113751274705443</v>
      </c>
      <c r="T7">
        <v>2.210259888524568E-2</v>
      </c>
      <c r="U7">
        <v>9.0916486758201973</v>
      </c>
      <c r="V7">
        <v>1.7036777754906129</v>
      </c>
      <c r="W7">
        <v>4.6286620780019438</v>
      </c>
      <c r="X7">
        <v>9.4936803620183419E-2</v>
      </c>
      <c r="Y7">
        <v>4.5337252743817604</v>
      </c>
      <c r="Z7">
        <v>-0.86918670295314626</v>
      </c>
      <c r="AA7">
        <v>-0.39506349192351298</v>
      </c>
      <c r="AB7">
        <v>-0.36105429762281449</v>
      </c>
      <c r="AC7">
        <v>-0.24320733419896781</v>
      </c>
      <c r="AD7">
        <v>1.1334157806207661</v>
      </c>
      <c r="AE7">
        <v>0.38173611872560309</v>
      </c>
      <c r="AF7">
        <v>1.015756677619436</v>
      </c>
      <c r="AG7">
        <v>0.99118441002038904</v>
      </c>
      <c r="AH7">
        <v>1.0996007239604739</v>
      </c>
      <c r="AI7">
        <v>1.0726053110484339</v>
      </c>
      <c r="AJ7">
        <v>-0.525839552502257</v>
      </c>
      <c r="AK7">
        <v>1.8141314930297161</v>
      </c>
      <c r="AL7">
        <v>0.44475440000906519</v>
      </c>
      <c r="AM7">
        <v>1.43283388947705</v>
      </c>
      <c r="AN7">
        <v>8.8848733860541054E-2</v>
      </c>
      <c r="AO7">
        <v>-1.455559086171526</v>
      </c>
      <c r="AP7">
        <v>-1.409668091225013</v>
      </c>
      <c r="AQ7">
        <v>1.9052497423687671</v>
      </c>
    </row>
    <row r="8" spans="1:43" x14ac:dyDescent="0.3">
      <c r="A8">
        <v>134</v>
      </c>
      <c r="B8">
        <v>2023</v>
      </c>
      <c r="C8" t="s">
        <v>28</v>
      </c>
      <c r="D8">
        <v>22</v>
      </c>
      <c r="E8">
        <v>21.466101158885358</v>
      </c>
      <c r="F8">
        <v>0.5338988411146417</v>
      </c>
      <c r="G8">
        <v>1.3496460335697831</v>
      </c>
      <c r="H8">
        <v>1.9121006030774139</v>
      </c>
      <c r="I8">
        <v>-1.0209921760711751</v>
      </c>
      <c r="J8">
        <v>0.27776570681958962</v>
      </c>
      <c r="K8">
        <v>0.30213081591089108</v>
      </c>
      <c r="L8">
        <v>1.267290829888857</v>
      </c>
      <c r="M8">
        <v>0.75472260134243585</v>
      </c>
      <c r="N8">
        <v>-0.1203657022336678</v>
      </c>
      <c r="O8">
        <v>1.0582493238087769</v>
      </c>
      <c r="P8">
        <v>-1.5395165010476</v>
      </c>
      <c r="Q8">
        <v>1.9052497423687671</v>
      </c>
      <c r="R8">
        <v>1.3496460335697831</v>
      </c>
      <c r="S8">
        <v>9.113751274705443</v>
      </c>
      <c r="T8">
        <v>2.210259888524568E-2</v>
      </c>
      <c r="U8">
        <v>9.0916486758201973</v>
      </c>
      <c r="V8">
        <v>1.9121006030774139</v>
      </c>
      <c r="W8">
        <v>4.6286620780019438</v>
      </c>
      <c r="X8">
        <v>9.4936803620183419E-2</v>
      </c>
      <c r="Y8">
        <v>4.5337252743817604</v>
      </c>
      <c r="Z8">
        <v>-1.0209921760711751</v>
      </c>
      <c r="AA8">
        <v>-0.27776570681958962</v>
      </c>
      <c r="AB8">
        <v>-0.36105429762281449</v>
      </c>
      <c r="AC8">
        <v>-0.24320733419896781</v>
      </c>
      <c r="AD8">
        <v>1.475488491670055</v>
      </c>
      <c r="AE8">
        <v>0.67269140853164211</v>
      </c>
      <c r="AF8">
        <v>1.0614512617420371</v>
      </c>
      <c r="AG8">
        <v>1.3358427514922839</v>
      </c>
      <c r="AH8">
        <v>1.497856497105587</v>
      </c>
      <c r="AI8">
        <v>1.560414568791533</v>
      </c>
      <c r="AJ8">
        <v>0.2882868418269271</v>
      </c>
      <c r="AK8">
        <v>1.3404112798220511</v>
      </c>
      <c r="AL8">
        <v>0.63546968237832979</v>
      </c>
      <c r="AM8">
        <v>0.1203657022336678</v>
      </c>
      <c r="AN8">
        <v>1.0582493238087769</v>
      </c>
      <c r="AO8">
        <v>-1.5706084794119111</v>
      </c>
      <c r="AP8">
        <v>-1.508424522683288</v>
      </c>
      <c r="AQ8">
        <v>1.9052497423687671</v>
      </c>
    </row>
    <row r="9" spans="1:43" x14ac:dyDescent="0.3">
      <c r="A9">
        <v>136</v>
      </c>
      <c r="B9">
        <v>2023</v>
      </c>
      <c r="C9" t="s">
        <v>30</v>
      </c>
      <c r="D9">
        <v>13.66666666666667</v>
      </c>
      <c r="E9">
        <v>16.496385543905351</v>
      </c>
      <c r="F9">
        <v>-2.8297188772386779</v>
      </c>
      <c r="G9">
        <v>1.0922305344243239</v>
      </c>
      <c r="H9">
        <v>1.5556688627810491</v>
      </c>
      <c r="I9">
        <v>-1.0692800257313819</v>
      </c>
      <c r="J9">
        <v>0.35066662368395057</v>
      </c>
      <c r="K9">
        <v>0.30213081591089108</v>
      </c>
      <c r="L9">
        <v>0.54432527887520954</v>
      </c>
      <c r="M9">
        <v>0.29317023586796082</v>
      </c>
      <c r="N9">
        <v>-2.1277827524500168</v>
      </c>
      <c r="O9">
        <v>0.42801221793044131</v>
      </c>
      <c r="P9">
        <v>-0.90886719344651201</v>
      </c>
      <c r="Q9">
        <v>1.9052497423687671</v>
      </c>
      <c r="R9">
        <v>1.0922305344243239</v>
      </c>
      <c r="S9">
        <v>9.113751274705443</v>
      </c>
      <c r="T9">
        <v>2.210259888524568E-2</v>
      </c>
      <c r="U9">
        <v>9.0916486758201973</v>
      </c>
      <c r="V9">
        <v>1.5556688627810491</v>
      </c>
      <c r="W9">
        <v>4.6286620780019438</v>
      </c>
      <c r="X9">
        <v>9.4936803620183419E-2</v>
      </c>
      <c r="Y9">
        <v>4.5337252743817604</v>
      </c>
      <c r="Z9">
        <v>-1.0692800257313819</v>
      </c>
      <c r="AA9">
        <v>-0.35066662368395057</v>
      </c>
      <c r="AB9">
        <v>-0.36105429762281449</v>
      </c>
      <c r="AC9">
        <v>-0.24320733419896781</v>
      </c>
      <c r="AD9">
        <v>1.089851783617342</v>
      </c>
      <c r="AE9">
        <v>0.66830479331361703</v>
      </c>
      <c r="AF9">
        <v>0.41802366182197082</v>
      </c>
      <c r="AG9">
        <v>0.41256339573656847</v>
      </c>
      <c r="AH9">
        <v>0.25050446263592913</v>
      </c>
      <c r="AI9">
        <v>0.42670357612583032</v>
      </c>
      <c r="AJ9">
        <v>-0.57247633705751322</v>
      </c>
      <c r="AK9">
        <v>1.4281097449282421</v>
      </c>
      <c r="AL9">
        <v>2.3877299733153841E-2</v>
      </c>
      <c r="AM9">
        <v>2.1277827524500168</v>
      </c>
      <c r="AN9">
        <v>0.42801221793044131</v>
      </c>
      <c r="AO9">
        <v>-0.96013717910711904</v>
      </c>
      <c r="AP9">
        <v>-0.85759720778590498</v>
      </c>
      <c r="AQ9">
        <v>1.9052497423687671</v>
      </c>
    </row>
    <row r="10" spans="1:43" x14ac:dyDescent="0.3">
      <c r="A10">
        <v>137</v>
      </c>
      <c r="B10">
        <v>2023</v>
      </c>
      <c r="C10" t="s">
        <v>33</v>
      </c>
      <c r="D10">
        <v>22</v>
      </c>
      <c r="E10">
        <v>20.748664434561931</v>
      </c>
      <c r="F10">
        <v>1.2513355654380649</v>
      </c>
      <c r="G10">
        <v>2.0327942670787209</v>
      </c>
      <c r="H10">
        <v>-0.1439772881900038</v>
      </c>
      <c r="I10">
        <v>-0.5307351563293452</v>
      </c>
      <c r="J10">
        <v>0.35246005110746542</v>
      </c>
      <c r="K10">
        <v>0.30213081591089108</v>
      </c>
      <c r="L10">
        <v>1.6981915782777419</v>
      </c>
      <c r="M10">
        <v>0.91029767289505836</v>
      </c>
      <c r="N10">
        <v>0.92703064117725686</v>
      </c>
      <c r="O10">
        <v>0.70045247283412526</v>
      </c>
      <c r="P10">
        <v>-1.498154147546316</v>
      </c>
      <c r="Q10">
        <v>1.9052497423687671</v>
      </c>
      <c r="R10">
        <v>2.0327942670787209</v>
      </c>
      <c r="S10">
        <v>9.113751274705443</v>
      </c>
      <c r="T10">
        <v>2.210259888524568E-2</v>
      </c>
      <c r="U10">
        <v>9.0916486758201973</v>
      </c>
      <c r="V10">
        <v>-0.1439772881900038</v>
      </c>
      <c r="W10">
        <v>4.6286620780019438</v>
      </c>
      <c r="X10">
        <v>9.4936803620183419E-2</v>
      </c>
      <c r="Y10">
        <v>4.5337252743817604</v>
      </c>
      <c r="Z10">
        <v>-0.5307351563293452</v>
      </c>
      <c r="AA10">
        <v>-0.35246005110746542</v>
      </c>
      <c r="AB10">
        <v>-0.36105429762281449</v>
      </c>
      <c r="AC10">
        <v>-0.24320733419896781</v>
      </c>
      <c r="AD10">
        <v>1.666466498190547</v>
      </c>
      <c r="AE10">
        <v>1.231199132854317</v>
      </c>
      <c r="AF10">
        <v>1.877857580052815</v>
      </c>
      <c r="AG10">
        <v>1.8720047019611421</v>
      </c>
      <c r="AH10">
        <v>1.714078338051503</v>
      </c>
      <c r="AI10">
        <v>1.827543218556126</v>
      </c>
      <c r="AJ10">
        <v>0.50984289354805601</v>
      </c>
      <c r="AK10">
        <v>1.3350487208080319</v>
      </c>
      <c r="AL10">
        <v>0.88600140432908725</v>
      </c>
      <c r="AM10">
        <v>-0.92703064117725686</v>
      </c>
      <c r="AN10">
        <v>0.70045247283412526</v>
      </c>
      <c r="AO10">
        <v>-2.3386796793578828</v>
      </c>
      <c r="AP10">
        <v>-0.65762861573474862</v>
      </c>
      <c r="AQ10">
        <v>1.9052497423687671</v>
      </c>
    </row>
    <row r="11" spans="1:43" x14ac:dyDescent="0.3">
      <c r="A11">
        <v>138</v>
      </c>
      <c r="B11">
        <v>2023</v>
      </c>
      <c r="C11" t="s">
        <v>36</v>
      </c>
      <c r="D11">
        <v>22</v>
      </c>
      <c r="E11">
        <v>21.367099740978698</v>
      </c>
      <c r="F11">
        <v>0.63290025902129798</v>
      </c>
      <c r="G11">
        <v>1.4651433313055731</v>
      </c>
      <c r="H11">
        <v>1.1862090619174781</v>
      </c>
      <c r="I11">
        <v>-0.64198058212880926</v>
      </c>
      <c r="J11">
        <v>0.26219723046227011</v>
      </c>
      <c r="K11">
        <v>0.30213081591089108</v>
      </c>
      <c r="L11">
        <v>1.4952929352448201</v>
      </c>
      <c r="M11">
        <v>0.71436790151895524</v>
      </c>
      <c r="N11">
        <v>0.33696032452726682</v>
      </c>
      <c r="O11">
        <v>1.2336564175374061</v>
      </c>
      <c r="P11">
        <v>-2.0233007602911841</v>
      </c>
      <c r="Q11">
        <v>1.9052497423687671</v>
      </c>
      <c r="R11">
        <v>1.4651433313055731</v>
      </c>
      <c r="S11">
        <v>9.113751274705443</v>
      </c>
      <c r="T11">
        <v>2.210259888524568E-2</v>
      </c>
      <c r="U11">
        <v>9.0916486758201973</v>
      </c>
      <c r="V11">
        <v>1.1862090619174781</v>
      </c>
      <c r="W11">
        <v>4.6286620780019438</v>
      </c>
      <c r="X11">
        <v>9.4936803620183419E-2</v>
      </c>
      <c r="Y11">
        <v>4.5337252743817604</v>
      </c>
      <c r="Z11">
        <v>-0.64198058212880926</v>
      </c>
      <c r="AA11">
        <v>-0.26219723046227011</v>
      </c>
      <c r="AB11">
        <v>-0.36105429762281449</v>
      </c>
      <c r="AC11">
        <v>-0.24320733419896781</v>
      </c>
      <c r="AD11">
        <v>1.5812797613831591</v>
      </c>
      <c r="AE11">
        <v>0.75795175715177998</v>
      </c>
      <c r="AF11">
        <v>1.5544735434002079</v>
      </c>
      <c r="AG11">
        <v>1.7151645431901119</v>
      </c>
      <c r="AH11">
        <v>1.5959556050334409</v>
      </c>
      <c r="AI11">
        <v>1.766932401310221</v>
      </c>
      <c r="AJ11">
        <v>0.28931430457102458</v>
      </c>
      <c r="AK11">
        <v>1.1735119431241909</v>
      </c>
      <c r="AL11">
        <v>0.68027745686164998</v>
      </c>
      <c r="AM11">
        <v>-0.33696032452726682</v>
      </c>
      <c r="AN11">
        <v>1.2336564175374061</v>
      </c>
      <c r="AO11">
        <v>-1.8277385356420679</v>
      </c>
      <c r="AP11">
        <v>-2.2188629849402992</v>
      </c>
      <c r="AQ11">
        <v>1.9052497423687671</v>
      </c>
    </row>
    <row r="12" spans="1:43" x14ac:dyDescent="0.3">
      <c r="A12">
        <v>142</v>
      </c>
      <c r="B12">
        <v>2023</v>
      </c>
      <c r="C12" t="s">
        <v>38</v>
      </c>
      <c r="D12">
        <v>22</v>
      </c>
      <c r="E12">
        <v>23.808847475185551</v>
      </c>
      <c r="F12">
        <v>-1.808847475185555</v>
      </c>
      <c r="G12">
        <v>1.704068107576018</v>
      </c>
      <c r="H12">
        <v>0.73985481639658812</v>
      </c>
      <c r="I12">
        <v>-0.71733756993488262</v>
      </c>
      <c r="J12">
        <v>0.27522819780546781</v>
      </c>
      <c r="K12">
        <v>0.30213081591089108</v>
      </c>
      <c r="L12">
        <v>1.655148192585215</v>
      </c>
      <c r="M12">
        <v>2.4488778075664972</v>
      </c>
      <c r="N12">
        <v>0.3867185964383798</v>
      </c>
      <c r="O12">
        <v>2.4058128666573988</v>
      </c>
      <c r="P12">
        <v>0.40779863179764381</v>
      </c>
      <c r="Q12">
        <v>1.9052497423687671</v>
      </c>
      <c r="R12">
        <v>1.704068107576018</v>
      </c>
      <c r="S12">
        <v>9.113751274705443</v>
      </c>
      <c r="T12">
        <v>2.210259888524568E-2</v>
      </c>
      <c r="U12">
        <v>9.0916486758201973</v>
      </c>
      <c r="V12">
        <v>0.73985481639658812</v>
      </c>
      <c r="W12">
        <v>4.6286620780019438</v>
      </c>
      <c r="X12">
        <v>9.4936803620183419E-2</v>
      </c>
      <c r="Y12">
        <v>4.5337252743817604</v>
      </c>
      <c r="Z12">
        <v>-0.71733756993488262</v>
      </c>
      <c r="AA12">
        <v>-0.27522819780546781</v>
      </c>
      <c r="AB12">
        <v>-0.36105429762281449</v>
      </c>
      <c r="AC12">
        <v>-0.24320733419896781</v>
      </c>
      <c r="AD12">
        <v>1.827688967878855</v>
      </c>
      <c r="AE12">
        <v>1.0384834541987391</v>
      </c>
      <c r="AF12">
        <v>1.7498419470856761</v>
      </c>
      <c r="AG12">
        <v>1.4954665712345721</v>
      </c>
      <c r="AH12">
        <v>1.8017019793303399</v>
      </c>
      <c r="AI12">
        <v>2.017706235783105</v>
      </c>
      <c r="AJ12">
        <v>3.4528470335803991</v>
      </c>
      <c r="AK12">
        <v>2.7287365580976668</v>
      </c>
      <c r="AL12">
        <v>1.165049831021425</v>
      </c>
      <c r="AM12">
        <v>-0.3867185964383798</v>
      </c>
      <c r="AN12">
        <v>2.4058128666573988</v>
      </c>
      <c r="AO12">
        <v>0.27991650204599922</v>
      </c>
      <c r="AP12">
        <v>0.53568076154928823</v>
      </c>
      <c r="AQ12">
        <v>1.9052497423687671</v>
      </c>
    </row>
    <row r="13" spans="1:43" x14ac:dyDescent="0.3">
      <c r="A13">
        <v>144</v>
      </c>
      <c r="B13">
        <v>2023</v>
      </c>
      <c r="C13" t="s">
        <v>40</v>
      </c>
      <c r="D13">
        <v>22</v>
      </c>
      <c r="E13">
        <v>21.79511765429903</v>
      </c>
      <c r="F13">
        <v>0.20488234570096961</v>
      </c>
      <c r="G13">
        <v>1.3507389350468391</v>
      </c>
      <c r="H13">
        <v>0.83452117279066684</v>
      </c>
      <c r="I13">
        <v>-0.64918446566762855</v>
      </c>
      <c r="J13">
        <v>0.23674582426047541</v>
      </c>
      <c r="K13">
        <v>0.30213081591089108</v>
      </c>
      <c r="L13">
        <v>1.52081558251142</v>
      </c>
      <c r="M13">
        <v>0.96748506267861434</v>
      </c>
      <c r="N13">
        <v>0.72888659021686664</v>
      </c>
      <c r="O13">
        <v>0.8456272197041077</v>
      </c>
      <c r="P13">
        <v>-0.20619644162377329</v>
      </c>
      <c r="Q13">
        <v>1.9052497423687671</v>
      </c>
      <c r="R13">
        <v>1.3507389350468391</v>
      </c>
      <c r="S13">
        <v>9.113751274705443</v>
      </c>
      <c r="T13">
        <v>2.210259888524568E-2</v>
      </c>
      <c r="U13">
        <v>9.0916486758201973</v>
      </c>
      <c r="V13">
        <v>0.83452117279066684</v>
      </c>
      <c r="W13">
        <v>4.6286620780019438</v>
      </c>
      <c r="X13">
        <v>9.4936803620183419E-2</v>
      </c>
      <c r="Y13">
        <v>4.5337252743817604</v>
      </c>
      <c r="Z13">
        <v>-0.64918446566762855</v>
      </c>
      <c r="AA13">
        <v>-0.23674582426047541</v>
      </c>
      <c r="AB13">
        <v>-0.36105429762281449</v>
      </c>
      <c r="AC13">
        <v>-0.24320733419896781</v>
      </c>
      <c r="AD13">
        <v>1.6019835314461119</v>
      </c>
      <c r="AE13">
        <v>0.87764249075745293</v>
      </c>
      <c r="AF13">
        <v>1.527421534084999</v>
      </c>
      <c r="AG13">
        <v>1.6323145700394439</v>
      </c>
      <c r="AH13">
        <v>1.5546071147143501</v>
      </c>
      <c r="AI13">
        <v>1.9309242540261611</v>
      </c>
      <c r="AJ13">
        <v>0.61025858173339298</v>
      </c>
      <c r="AK13">
        <v>1.5569761630805179</v>
      </c>
      <c r="AL13">
        <v>0.73522044322193159</v>
      </c>
      <c r="AM13">
        <v>-0.72888659021686664</v>
      </c>
      <c r="AN13">
        <v>0.8456272197041077</v>
      </c>
      <c r="AO13">
        <v>-0.18051969640136289</v>
      </c>
      <c r="AP13">
        <v>-0.23187318684618369</v>
      </c>
      <c r="AQ13">
        <v>1.9052497423687671</v>
      </c>
    </row>
    <row r="14" spans="1:43" x14ac:dyDescent="0.3">
      <c r="A14">
        <v>146</v>
      </c>
      <c r="B14">
        <v>2023</v>
      </c>
      <c r="C14" t="s">
        <v>42</v>
      </c>
      <c r="D14">
        <v>22</v>
      </c>
      <c r="E14">
        <v>23.34442631747909</v>
      </c>
      <c r="F14">
        <v>-1.3444263174790869</v>
      </c>
      <c r="G14">
        <v>1.819097399398385</v>
      </c>
      <c r="H14">
        <v>1.0617376146506241</v>
      </c>
      <c r="I14">
        <v>-0.67520576620784856</v>
      </c>
      <c r="J14">
        <v>0.63696632493142502</v>
      </c>
      <c r="K14">
        <v>0.30213081591089108</v>
      </c>
      <c r="L14">
        <v>1.728927329399903</v>
      </c>
      <c r="M14">
        <v>0.54713366527938201</v>
      </c>
      <c r="N14">
        <v>0.53807709189999042</v>
      </c>
      <c r="O14">
        <v>1.079507654961734</v>
      </c>
      <c r="P14">
        <v>1.4385814242004371</v>
      </c>
      <c r="Q14">
        <v>1.9052497423687671</v>
      </c>
      <c r="R14">
        <v>1.819097399398385</v>
      </c>
      <c r="S14">
        <v>9.113751274705443</v>
      </c>
      <c r="T14">
        <v>2.210259888524568E-2</v>
      </c>
      <c r="U14">
        <v>9.0916486758201973</v>
      </c>
      <c r="V14">
        <v>1.0617376146506241</v>
      </c>
      <c r="W14">
        <v>4.6286620780019438</v>
      </c>
      <c r="X14">
        <v>9.4936803620183419E-2</v>
      </c>
      <c r="Y14">
        <v>4.5337252743817604</v>
      </c>
      <c r="Z14">
        <v>-0.67520576620784856</v>
      </c>
      <c r="AA14">
        <v>-0.63696632493142502</v>
      </c>
      <c r="AB14">
        <v>-0.36105429762281449</v>
      </c>
      <c r="AC14">
        <v>-0.24320733419896781</v>
      </c>
      <c r="AD14">
        <v>1.7025531426496929</v>
      </c>
      <c r="AE14">
        <v>1.252058277519746</v>
      </c>
      <c r="AF14">
        <v>2.1251041403243378</v>
      </c>
      <c r="AG14">
        <v>1.6452198085610279</v>
      </c>
      <c r="AH14">
        <v>1.7240616758949761</v>
      </c>
      <c r="AI14">
        <v>1.924566931449637</v>
      </c>
      <c r="AJ14">
        <v>0.66656855212332355</v>
      </c>
      <c r="AK14">
        <v>0.23341409751267159</v>
      </c>
      <c r="AL14">
        <v>0.74141834620215097</v>
      </c>
      <c r="AM14">
        <v>-0.53807709189999042</v>
      </c>
      <c r="AN14">
        <v>1.079507654961734</v>
      </c>
      <c r="AO14">
        <v>1.4049197933252919</v>
      </c>
      <c r="AP14">
        <v>1.4722430550755821</v>
      </c>
      <c r="AQ14">
        <v>1.9052497423687671</v>
      </c>
    </row>
    <row r="15" spans="1:43" x14ac:dyDescent="0.3">
      <c r="A15">
        <v>156</v>
      </c>
      <c r="B15">
        <v>2023</v>
      </c>
      <c r="C15" t="s">
        <v>43</v>
      </c>
      <c r="D15">
        <v>21.666666666666671</v>
      </c>
      <c r="E15">
        <v>19.981505760195638</v>
      </c>
      <c r="F15">
        <v>1.68516090647103</v>
      </c>
      <c r="G15">
        <v>1.34383240059333</v>
      </c>
      <c r="H15">
        <v>1.52490951803153</v>
      </c>
      <c r="I15">
        <v>-0.67040317718196907</v>
      </c>
      <c r="J15">
        <v>0.37327525662932298</v>
      </c>
      <c r="K15">
        <v>0.30213081591089108</v>
      </c>
      <c r="L15">
        <v>1.402255839364678</v>
      </c>
      <c r="M15">
        <v>0.64907222545347865</v>
      </c>
      <c r="N15">
        <v>-1.3797139476043261</v>
      </c>
      <c r="O15">
        <v>2.628924108803057E-2</v>
      </c>
      <c r="P15">
        <v>-0.4958285414478425</v>
      </c>
      <c r="Q15">
        <v>1.9052497423687671</v>
      </c>
      <c r="R15">
        <v>1.34383240059333</v>
      </c>
      <c r="S15">
        <v>9.113751274705443</v>
      </c>
      <c r="T15">
        <v>2.210259888524568E-2</v>
      </c>
      <c r="U15">
        <v>9.0916486758201973</v>
      </c>
      <c r="V15">
        <v>1.52490951803153</v>
      </c>
      <c r="W15">
        <v>4.6286620780019438</v>
      </c>
      <c r="X15">
        <v>9.4936803620183419E-2</v>
      </c>
      <c r="Y15">
        <v>4.5337252743817604</v>
      </c>
      <c r="Z15">
        <v>-0.67040317718196907</v>
      </c>
      <c r="AA15">
        <v>-0.37327525662932298</v>
      </c>
      <c r="AB15">
        <v>-0.36105429762281449</v>
      </c>
      <c r="AC15">
        <v>-0.24320733419896781</v>
      </c>
      <c r="AD15">
        <v>1.4958488342675089</v>
      </c>
      <c r="AE15">
        <v>0.95424800449949698</v>
      </c>
      <c r="AF15">
        <v>1.432673969056204</v>
      </c>
      <c r="AG15">
        <v>1.549058007485385</v>
      </c>
      <c r="AH15">
        <v>1.4138271153344899</v>
      </c>
      <c r="AI15">
        <v>1.567879105544983</v>
      </c>
      <c r="AJ15">
        <v>0.16844960177145391</v>
      </c>
      <c r="AK15">
        <v>1.0529781166706209</v>
      </c>
      <c r="AL15">
        <v>0.72578895791836073</v>
      </c>
      <c r="AM15">
        <v>1.3797139476043261</v>
      </c>
      <c r="AN15">
        <v>2.628924108803057E-2</v>
      </c>
      <c r="AO15">
        <v>-0.53260062461256763</v>
      </c>
      <c r="AP15">
        <v>-0.45905645828311742</v>
      </c>
      <c r="AQ15">
        <v>1.9052497423687671</v>
      </c>
    </row>
    <row r="16" spans="1:43" x14ac:dyDescent="0.3">
      <c r="A16">
        <v>158</v>
      </c>
      <c r="B16">
        <v>2023</v>
      </c>
      <c r="C16" t="s">
        <v>46</v>
      </c>
      <c r="D16">
        <v>17.666666666666671</v>
      </c>
      <c r="E16">
        <v>18.125708714930511</v>
      </c>
      <c r="F16">
        <v>-0.45904204826384287</v>
      </c>
      <c r="G16">
        <v>0.98130124475439762</v>
      </c>
      <c r="H16">
        <v>1.869341722101503</v>
      </c>
      <c r="I16">
        <v>-1.2358862050291659</v>
      </c>
      <c r="J16">
        <v>0.59796881797755075</v>
      </c>
      <c r="K16">
        <v>0.30213081591089108</v>
      </c>
      <c r="L16">
        <v>1.310967693719113</v>
      </c>
      <c r="M16">
        <v>0.27962494184603309</v>
      </c>
      <c r="N16">
        <v>-4.0756560151033927</v>
      </c>
      <c r="O16">
        <v>0.63166030632942172</v>
      </c>
      <c r="P16">
        <v>0.84028633819335508</v>
      </c>
      <c r="Q16">
        <v>1.9052497423687671</v>
      </c>
      <c r="R16">
        <v>0.98130124475439762</v>
      </c>
      <c r="S16">
        <v>9.113751274705443</v>
      </c>
      <c r="T16">
        <v>2.210259888524568E-2</v>
      </c>
      <c r="U16">
        <v>9.0916486758201973</v>
      </c>
      <c r="V16">
        <v>1.869341722101503</v>
      </c>
      <c r="W16">
        <v>4.6286620780019438</v>
      </c>
      <c r="X16">
        <v>9.4936803620183419E-2</v>
      </c>
      <c r="Y16">
        <v>4.5337252743817604</v>
      </c>
      <c r="Z16">
        <v>-1.2358862050291659</v>
      </c>
      <c r="AA16">
        <v>-0.59796881797755075</v>
      </c>
      <c r="AB16">
        <v>-0.36105429762281449</v>
      </c>
      <c r="AC16">
        <v>-0.24320733419896781</v>
      </c>
      <c r="AD16">
        <v>1.0786725506007979</v>
      </c>
      <c r="AE16">
        <v>1.1081801685638659</v>
      </c>
      <c r="AF16">
        <v>1.5608957211054579</v>
      </c>
      <c r="AG16">
        <v>1.3498700859092589</v>
      </c>
      <c r="AH16">
        <v>1.481019889563947</v>
      </c>
      <c r="AI16">
        <v>1.2871677465713509</v>
      </c>
      <c r="AJ16">
        <v>-0.49975202282895109</v>
      </c>
      <c r="AK16">
        <v>0.61935334470623793</v>
      </c>
      <c r="AL16">
        <v>0.71927350366081266</v>
      </c>
      <c r="AM16">
        <v>4.0756560151033927</v>
      </c>
      <c r="AN16">
        <v>0.63166030632942172</v>
      </c>
      <c r="AO16">
        <v>0.67332602270168374</v>
      </c>
      <c r="AP16">
        <v>1.007246653685026</v>
      </c>
      <c r="AQ16">
        <v>1.9052497423687671</v>
      </c>
    </row>
    <row r="17" spans="1:43" x14ac:dyDescent="0.3">
      <c r="A17">
        <v>172</v>
      </c>
      <c r="B17">
        <v>2023</v>
      </c>
      <c r="C17" t="s">
        <v>48</v>
      </c>
      <c r="D17">
        <v>21</v>
      </c>
      <c r="E17">
        <v>19.861939404396139</v>
      </c>
      <c r="F17">
        <v>1.138060595603857</v>
      </c>
      <c r="G17">
        <v>1.3249461062895489</v>
      </c>
      <c r="H17">
        <v>0.48280936871389052</v>
      </c>
      <c r="I17">
        <v>-0.95628820392250702</v>
      </c>
      <c r="J17">
        <v>0.37296999238702261</v>
      </c>
      <c r="K17">
        <v>0.30213081591089108</v>
      </c>
      <c r="L17">
        <v>1.65504693900521</v>
      </c>
      <c r="M17">
        <v>0.93623479314214919</v>
      </c>
      <c r="N17">
        <v>-0.54099118338065477</v>
      </c>
      <c r="O17">
        <v>7.4611858800075134E-2</v>
      </c>
      <c r="P17">
        <v>-0.77156079574573666</v>
      </c>
      <c r="Q17">
        <v>1.9052497423687671</v>
      </c>
      <c r="R17">
        <v>1.3249461062895489</v>
      </c>
      <c r="S17">
        <v>9.113751274705443</v>
      </c>
      <c r="T17">
        <v>2.210259888524568E-2</v>
      </c>
      <c r="U17">
        <v>9.0916486758201973</v>
      </c>
      <c r="V17">
        <v>0.48280936871389052</v>
      </c>
      <c r="W17">
        <v>4.6286620780019438</v>
      </c>
      <c r="X17">
        <v>9.4936803620183419E-2</v>
      </c>
      <c r="Y17">
        <v>4.5337252743817604</v>
      </c>
      <c r="Z17">
        <v>-0.95628820392250702</v>
      </c>
      <c r="AA17">
        <v>-0.37296999238702261</v>
      </c>
      <c r="AB17">
        <v>-0.36105429762281449</v>
      </c>
      <c r="AC17">
        <v>-0.24320733419896781</v>
      </c>
      <c r="AD17">
        <v>1.6664363925361041</v>
      </c>
      <c r="AE17">
        <v>0.82457018701003781</v>
      </c>
      <c r="AF17">
        <v>1.681141560846779</v>
      </c>
      <c r="AG17">
        <v>1.685843541437781</v>
      </c>
      <c r="AH17">
        <v>1.944681515096552</v>
      </c>
      <c r="AI17">
        <v>2.1276084371040058</v>
      </c>
      <c r="AJ17">
        <v>6.9562577668798642E-2</v>
      </c>
      <c r="AK17">
        <v>1.941347893023833</v>
      </c>
      <c r="AL17">
        <v>0.79779390873381628</v>
      </c>
      <c r="AM17">
        <v>0.54099118338065477</v>
      </c>
      <c r="AN17">
        <v>7.4611858800075134E-2</v>
      </c>
      <c r="AO17">
        <v>-0.80947157947027593</v>
      </c>
      <c r="AP17">
        <v>-0.73365001202119751</v>
      </c>
      <c r="AQ17">
        <v>1.9052497423687671</v>
      </c>
    </row>
    <row r="18" spans="1:43" x14ac:dyDescent="0.3">
      <c r="A18">
        <v>174</v>
      </c>
      <c r="B18">
        <v>2023</v>
      </c>
      <c r="C18" t="s">
        <v>50</v>
      </c>
      <c r="D18">
        <v>12</v>
      </c>
      <c r="E18">
        <v>12.512664159362769</v>
      </c>
      <c r="F18">
        <v>-0.51266415936277276</v>
      </c>
      <c r="G18">
        <v>0.70149152293211292</v>
      </c>
      <c r="H18">
        <v>0.38257974950656809</v>
      </c>
      <c r="I18">
        <v>-0.64442553654198431</v>
      </c>
      <c r="J18">
        <v>0.4515373767490844</v>
      </c>
      <c r="K18">
        <v>0.30213081591089108</v>
      </c>
      <c r="L18">
        <v>0.2494178433316348</v>
      </c>
      <c r="M18">
        <v>0.54043143000638139</v>
      </c>
      <c r="N18">
        <v>-2.9757570546672119</v>
      </c>
      <c r="O18">
        <v>-0.52817303476820698</v>
      </c>
      <c r="P18">
        <v>-1.1576142241650551</v>
      </c>
      <c r="Q18">
        <v>1.9052497423687671</v>
      </c>
      <c r="R18">
        <v>0.70149152293211292</v>
      </c>
      <c r="S18">
        <v>9.113751274705443</v>
      </c>
      <c r="T18">
        <v>2.210259888524568E-2</v>
      </c>
      <c r="U18">
        <v>9.0916486758201973</v>
      </c>
      <c r="V18">
        <v>0.38257974950656809</v>
      </c>
      <c r="W18">
        <v>4.6286620780019438</v>
      </c>
      <c r="X18">
        <v>9.4936803620183419E-2</v>
      </c>
      <c r="Y18">
        <v>4.5337252743817604</v>
      </c>
      <c r="Z18">
        <v>-0.64442553654198431</v>
      </c>
      <c r="AA18">
        <v>-0.4515373767490844</v>
      </c>
      <c r="AB18">
        <v>-0.36105429762281449</v>
      </c>
      <c r="AC18">
        <v>-0.24320733419896781</v>
      </c>
      <c r="AD18">
        <v>0.97459841821519122</v>
      </c>
      <c r="AE18">
        <v>0.25741599921235769</v>
      </c>
      <c r="AF18">
        <v>-0.1006727678959651</v>
      </c>
      <c r="AG18">
        <v>0.33863113207032142</v>
      </c>
      <c r="AH18">
        <v>6.0100042674311849E-2</v>
      </c>
      <c r="AI18">
        <v>-3.3565764286408548E-2</v>
      </c>
      <c r="AJ18">
        <v>3.4541211095479051E-3</v>
      </c>
      <c r="AK18">
        <v>1.5469935532236521</v>
      </c>
      <c r="AL18">
        <v>7.0846615685944456E-2</v>
      </c>
      <c r="AM18">
        <v>2.9757570546672119</v>
      </c>
      <c r="AN18">
        <v>-0.52817303476820698</v>
      </c>
      <c r="AO18">
        <v>-1.090168322070034</v>
      </c>
      <c r="AP18">
        <v>-1.225060126260076</v>
      </c>
      <c r="AQ18">
        <v>1.9052497423687671</v>
      </c>
    </row>
    <row r="19" spans="1:43" x14ac:dyDescent="0.3">
      <c r="A19">
        <v>176</v>
      </c>
      <c r="B19">
        <v>2023</v>
      </c>
      <c r="C19" t="s">
        <v>52</v>
      </c>
      <c r="D19">
        <v>17</v>
      </c>
      <c r="E19">
        <v>16.97835433161821</v>
      </c>
      <c r="F19">
        <v>2.164566838178672E-2</v>
      </c>
      <c r="G19">
        <v>1.6787835304617089</v>
      </c>
      <c r="H19">
        <v>-0.68206316209888163</v>
      </c>
      <c r="I19">
        <v>-0.38857852116331099</v>
      </c>
      <c r="J19">
        <v>5.8948482135644312E-2</v>
      </c>
      <c r="K19">
        <v>0.30213081591089108</v>
      </c>
      <c r="L19">
        <v>1.437122027044953</v>
      </c>
      <c r="M19">
        <v>0.39214099275564379</v>
      </c>
      <c r="N19">
        <v>-9.7250748448047333E-2</v>
      </c>
      <c r="O19">
        <v>0.26865231943345508</v>
      </c>
      <c r="P19">
        <v>0.35428182191646468</v>
      </c>
      <c r="Q19">
        <v>-0.52486557418804092</v>
      </c>
      <c r="R19">
        <v>1.6787835304617089</v>
      </c>
      <c r="S19">
        <v>9.113751274705443</v>
      </c>
      <c r="T19">
        <v>2.210259888524568E-2</v>
      </c>
      <c r="U19">
        <v>9.0916486758201973</v>
      </c>
      <c r="V19">
        <v>-0.68206316209888163</v>
      </c>
      <c r="W19">
        <v>4.6286620780019438</v>
      </c>
      <c r="X19">
        <v>9.4936803620183419E-2</v>
      </c>
      <c r="Y19">
        <v>4.5337252743817604</v>
      </c>
      <c r="Z19">
        <v>-0.38857852116331099</v>
      </c>
      <c r="AA19">
        <v>-5.8948482135644312E-2</v>
      </c>
      <c r="AB19">
        <v>-0.36105429762281449</v>
      </c>
      <c r="AC19">
        <v>-0.24320733419896781</v>
      </c>
      <c r="AD19">
        <v>1.4582234563590479</v>
      </c>
      <c r="AE19">
        <v>1.4230262468678569</v>
      </c>
      <c r="AF19">
        <v>1.475598267906681</v>
      </c>
      <c r="AG19">
        <v>1.139895052172788</v>
      </c>
      <c r="AH19">
        <v>1.6804276878261191</v>
      </c>
      <c r="AI19">
        <v>1.4455614511372259</v>
      </c>
      <c r="AJ19">
        <v>-2.7770722284245639E-2</v>
      </c>
      <c r="AK19">
        <v>1.0985186178358299</v>
      </c>
      <c r="AL19">
        <v>0.10567508271534649</v>
      </c>
      <c r="AM19">
        <v>9.7250748448047333E-2</v>
      </c>
      <c r="AN19">
        <v>0.26865231943345508</v>
      </c>
      <c r="AO19">
        <v>0.3251335249452838</v>
      </c>
      <c r="AP19">
        <v>0.38343011888764561</v>
      </c>
      <c r="AQ19">
        <v>-0.52486557418804092</v>
      </c>
    </row>
    <row r="20" spans="1:43" x14ac:dyDescent="0.3">
      <c r="A20">
        <v>178</v>
      </c>
      <c r="B20">
        <v>2023</v>
      </c>
      <c r="C20" t="s">
        <v>53</v>
      </c>
      <c r="D20">
        <v>19.333333333333329</v>
      </c>
      <c r="E20">
        <v>20.949827524424961</v>
      </c>
      <c r="F20">
        <v>-1.6164941910916359</v>
      </c>
      <c r="G20">
        <v>1.85564443861767</v>
      </c>
      <c r="H20">
        <v>0.82409228352565944</v>
      </c>
      <c r="I20">
        <v>1.164316810404717</v>
      </c>
      <c r="J20">
        <v>0.37157722428152701</v>
      </c>
      <c r="K20">
        <v>0.30213081591089108</v>
      </c>
      <c r="L20">
        <v>1.464936415538026</v>
      </c>
      <c r="M20">
        <v>0.27855520746623941</v>
      </c>
      <c r="N20">
        <v>0.44411702735315373</v>
      </c>
      <c r="O20">
        <v>0.69189224459613397</v>
      </c>
      <c r="P20">
        <v>-1.455605690526701</v>
      </c>
      <c r="Q20">
        <v>1.9052497423687671</v>
      </c>
      <c r="R20">
        <v>1.85564443861767</v>
      </c>
      <c r="S20">
        <v>9.113751274705443</v>
      </c>
      <c r="T20">
        <v>2.210259888524568E-2</v>
      </c>
      <c r="U20">
        <v>9.0916486758201973</v>
      </c>
      <c r="V20">
        <v>0.82409228352565944</v>
      </c>
      <c r="W20">
        <v>4.6286620780019438</v>
      </c>
      <c r="X20">
        <v>9.4936803620183419E-2</v>
      </c>
      <c r="Y20">
        <v>4.5337252743817604</v>
      </c>
      <c r="Z20">
        <v>1.164316810404717</v>
      </c>
      <c r="AA20">
        <v>-0.37157722428152701</v>
      </c>
      <c r="AB20">
        <v>-0.36105429762281449</v>
      </c>
      <c r="AC20">
        <v>-0.24320733419896781</v>
      </c>
      <c r="AD20">
        <v>1.500097076616705</v>
      </c>
      <c r="AE20">
        <v>1.0493124620502161</v>
      </c>
      <c r="AF20">
        <v>1.5159539197175389</v>
      </c>
      <c r="AG20">
        <v>1.66791612877711</v>
      </c>
      <c r="AH20">
        <v>1.5863709130128001</v>
      </c>
      <c r="AI20">
        <v>1.469967993053789</v>
      </c>
      <c r="AJ20">
        <v>0.72175081950143982</v>
      </c>
      <c r="AK20">
        <v>-0.47658871594347069</v>
      </c>
      <c r="AL20">
        <v>0.59050351884074914</v>
      </c>
      <c r="AM20">
        <v>-0.44411702735315373</v>
      </c>
      <c r="AN20">
        <v>0.69189224459613397</v>
      </c>
      <c r="AO20">
        <v>-1.4870344085398901</v>
      </c>
      <c r="AP20">
        <v>-1.4241769725135121</v>
      </c>
      <c r="AQ20">
        <v>1.9052497423687671</v>
      </c>
    </row>
    <row r="21" spans="1:43" x14ac:dyDescent="0.3">
      <c r="A21">
        <v>181</v>
      </c>
      <c r="B21">
        <v>2023</v>
      </c>
      <c r="C21" t="s">
        <v>54</v>
      </c>
      <c r="D21">
        <v>17</v>
      </c>
      <c r="E21">
        <v>14.980882968201611</v>
      </c>
      <c r="F21">
        <v>2.0191170317983889</v>
      </c>
      <c r="G21">
        <v>1.142206533974085</v>
      </c>
      <c r="H21">
        <v>-0.85791570828180741</v>
      </c>
      <c r="I21">
        <v>0.48038447321923722</v>
      </c>
      <c r="J21">
        <v>0.38796609829002893</v>
      </c>
      <c r="K21">
        <v>0.30213081591089108</v>
      </c>
      <c r="L21">
        <v>0.51106105554388803</v>
      </c>
      <c r="M21">
        <v>9.5158475015597266E-2</v>
      </c>
      <c r="N21">
        <v>0.31203951497714483</v>
      </c>
      <c r="O21">
        <v>0.21647630592847791</v>
      </c>
      <c r="P21">
        <v>-0.34242791131388678</v>
      </c>
      <c r="Q21">
        <v>1.9052497423687671</v>
      </c>
      <c r="R21">
        <v>1.142206533974085</v>
      </c>
      <c r="S21">
        <v>9.113751274705443</v>
      </c>
      <c r="T21">
        <v>2.210259888524568E-2</v>
      </c>
      <c r="U21">
        <v>9.0916486758201973</v>
      </c>
      <c r="V21">
        <v>-0.85791570828180741</v>
      </c>
      <c r="W21">
        <v>4.6286620780019438</v>
      </c>
      <c r="X21">
        <v>9.4936803620183419E-2</v>
      </c>
      <c r="Y21">
        <v>4.5337252743817604</v>
      </c>
      <c r="Z21">
        <v>0.48038447321923722</v>
      </c>
      <c r="AA21">
        <v>-0.38796609829002893</v>
      </c>
      <c r="AB21">
        <v>-0.36105429762281449</v>
      </c>
      <c r="AC21">
        <v>-0.24320733419896781</v>
      </c>
      <c r="AD21">
        <v>0.86475515041889239</v>
      </c>
      <c r="AE21">
        <v>0.99694335616217844</v>
      </c>
      <c r="AF21">
        <v>0.17863203091887869</v>
      </c>
      <c r="AG21">
        <v>0.46177093506814271</v>
      </c>
      <c r="AH21">
        <v>0.5857204699215145</v>
      </c>
      <c r="AI21">
        <v>-2.1455609226278729E-2</v>
      </c>
      <c r="AJ21">
        <v>-0.32621105934418509</v>
      </c>
      <c r="AK21">
        <v>0.1653508484885815</v>
      </c>
      <c r="AL21">
        <v>0.44633563590239539</v>
      </c>
      <c r="AM21">
        <v>-0.31203951497714483</v>
      </c>
      <c r="AN21">
        <v>0.21647630592847791</v>
      </c>
      <c r="AO21">
        <v>-0.25169372621296171</v>
      </c>
      <c r="AP21">
        <v>-0.43316209641481201</v>
      </c>
      <c r="AQ21">
        <v>1.9052497423687671</v>
      </c>
    </row>
    <row r="22" spans="1:43" x14ac:dyDescent="0.3">
      <c r="A22">
        <v>182</v>
      </c>
      <c r="B22">
        <v>2023</v>
      </c>
      <c r="C22" t="s">
        <v>56</v>
      </c>
      <c r="D22">
        <v>14.66666666666667</v>
      </c>
      <c r="E22">
        <v>16.513610849215109</v>
      </c>
      <c r="F22">
        <v>-1.8469441825484429</v>
      </c>
      <c r="G22">
        <v>0.82184851953227289</v>
      </c>
      <c r="H22">
        <v>0.47325398593426288</v>
      </c>
      <c r="I22">
        <v>-0.56033656868885728</v>
      </c>
      <c r="J22">
        <v>0.4057477404040265</v>
      </c>
      <c r="K22">
        <v>0.30213081591089108</v>
      </c>
      <c r="L22">
        <v>0.82534139022546815</v>
      </c>
      <c r="M22">
        <v>0.62997994187993966</v>
      </c>
      <c r="N22">
        <v>-1.102501196555143</v>
      </c>
      <c r="O22">
        <v>0.23165713364962859</v>
      </c>
      <c r="P22">
        <v>-1.101825890093352</v>
      </c>
      <c r="Q22">
        <v>1.9052497423687671</v>
      </c>
      <c r="R22">
        <v>0.82184851953227289</v>
      </c>
      <c r="S22">
        <v>9.113751274705443</v>
      </c>
      <c r="T22">
        <v>2.210259888524568E-2</v>
      </c>
      <c r="U22">
        <v>9.0916486758201973</v>
      </c>
      <c r="V22">
        <v>0.47325398593426288</v>
      </c>
      <c r="W22">
        <v>4.6286620780019438</v>
      </c>
      <c r="X22">
        <v>9.4936803620183419E-2</v>
      </c>
      <c r="Y22">
        <v>4.5337252743817604</v>
      </c>
      <c r="Z22">
        <v>-0.56033656868885728</v>
      </c>
      <c r="AA22">
        <v>-0.4057477404040265</v>
      </c>
      <c r="AB22">
        <v>-0.36105429762281449</v>
      </c>
      <c r="AC22">
        <v>-0.24320733419896781</v>
      </c>
      <c r="AD22">
        <v>1.1966175845150111</v>
      </c>
      <c r="AE22">
        <v>0.82288514315992944</v>
      </c>
      <c r="AF22">
        <v>0.83979819423727753</v>
      </c>
      <c r="AG22">
        <v>0.53899793577136179</v>
      </c>
      <c r="AH22">
        <v>0.97828130274046121</v>
      </c>
      <c r="AI22">
        <v>0.57546818092876817</v>
      </c>
      <c r="AJ22">
        <v>0.36850411606732231</v>
      </c>
      <c r="AK22">
        <v>1.1647668468859449</v>
      </c>
      <c r="AL22">
        <v>0.35666886268655179</v>
      </c>
      <c r="AM22">
        <v>1.102501196555143</v>
      </c>
      <c r="AN22">
        <v>0.23165713364962859</v>
      </c>
      <c r="AO22">
        <v>-1.054162612507098</v>
      </c>
      <c r="AP22">
        <v>-1.1494891676796071</v>
      </c>
      <c r="AQ22">
        <v>1.9052497423687671</v>
      </c>
    </row>
    <row r="23" spans="1:43" x14ac:dyDescent="0.3">
      <c r="A23">
        <v>184</v>
      </c>
      <c r="B23">
        <v>2023</v>
      </c>
      <c r="C23" t="s">
        <v>57</v>
      </c>
      <c r="D23">
        <v>16</v>
      </c>
      <c r="E23">
        <v>17.301613014417448</v>
      </c>
      <c r="F23">
        <v>-1.301613014417448</v>
      </c>
      <c r="G23">
        <v>0.97078065189066365</v>
      </c>
      <c r="H23">
        <v>1.3715265731531721</v>
      </c>
      <c r="I23">
        <v>-0.7472009416958062</v>
      </c>
      <c r="J23">
        <v>0.39439572639348092</v>
      </c>
      <c r="K23">
        <v>0.30213081591089108</v>
      </c>
      <c r="L23">
        <v>0.62668272432006578</v>
      </c>
      <c r="M23">
        <v>0.30059393108378579</v>
      </c>
      <c r="N23">
        <v>-1.306451768358315</v>
      </c>
      <c r="O23">
        <v>0.40283583669272371</v>
      </c>
      <c r="P23">
        <v>-0.55291388958705145</v>
      </c>
      <c r="Q23">
        <v>1.9052497423687671</v>
      </c>
      <c r="R23">
        <v>0.97078065189066365</v>
      </c>
      <c r="S23">
        <v>9.113751274705443</v>
      </c>
      <c r="T23">
        <v>2.210259888524568E-2</v>
      </c>
      <c r="U23">
        <v>9.0916486758201973</v>
      </c>
      <c r="V23">
        <v>1.3715265731531721</v>
      </c>
      <c r="W23">
        <v>4.6286620780019438</v>
      </c>
      <c r="X23">
        <v>9.4936803620183419E-2</v>
      </c>
      <c r="Y23">
        <v>4.5337252743817604</v>
      </c>
      <c r="Z23">
        <v>-0.7472009416958062</v>
      </c>
      <c r="AA23">
        <v>-0.39439572639348092</v>
      </c>
      <c r="AB23">
        <v>-0.36105429762281449</v>
      </c>
      <c r="AC23">
        <v>-0.24320733419896781</v>
      </c>
      <c r="AD23">
        <v>1.178160588292904</v>
      </c>
      <c r="AE23">
        <v>0.314279352643835</v>
      </c>
      <c r="AF23">
        <v>0.57600609677640335</v>
      </c>
      <c r="AG23">
        <v>0.4690452510701445</v>
      </c>
      <c r="AH23">
        <v>0.71526209555205988</v>
      </c>
      <c r="AI23">
        <v>0.50734296158504777</v>
      </c>
      <c r="AJ23">
        <v>-0.48231021624622239</v>
      </c>
      <c r="AK23">
        <v>1.0348279169308641</v>
      </c>
      <c r="AL23">
        <v>0.34926409256671592</v>
      </c>
      <c r="AM23">
        <v>1.306451768358315</v>
      </c>
      <c r="AN23">
        <v>0.40283583669272371</v>
      </c>
      <c r="AO23">
        <v>-0.56840258745456107</v>
      </c>
      <c r="AP23">
        <v>-0.53742519171954184</v>
      </c>
      <c r="AQ23">
        <v>1.9052497423687671</v>
      </c>
    </row>
    <row r="24" spans="1:43" x14ac:dyDescent="0.3">
      <c r="A24">
        <v>186</v>
      </c>
      <c r="B24">
        <v>2023</v>
      </c>
      <c r="C24" t="s">
        <v>59</v>
      </c>
      <c r="D24">
        <v>7.6666666666666661</v>
      </c>
      <c r="E24">
        <v>11.178212229216159</v>
      </c>
      <c r="F24">
        <v>-3.5115455625494971</v>
      </c>
      <c r="G24">
        <v>0.28400141410040669</v>
      </c>
      <c r="H24">
        <v>1.194185970777121</v>
      </c>
      <c r="I24">
        <v>0.3105038014038074</v>
      </c>
      <c r="J24">
        <v>-6.7361953934406573</v>
      </c>
      <c r="K24">
        <v>0.30213081591089108</v>
      </c>
      <c r="L24">
        <v>-0.80655186241241539</v>
      </c>
      <c r="M24">
        <v>-0.12027448745463019</v>
      </c>
      <c r="N24">
        <v>0.81615109723685908</v>
      </c>
      <c r="O24">
        <v>-0.15068248650282901</v>
      </c>
      <c r="P24">
        <v>-0.19816793152201259</v>
      </c>
      <c r="Q24">
        <v>-0.52486557418804092</v>
      </c>
      <c r="R24">
        <v>0.28400141410040669</v>
      </c>
      <c r="S24">
        <v>9.113751274705443</v>
      </c>
      <c r="T24">
        <v>2.210259888524568E-2</v>
      </c>
      <c r="U24">
        <v>9.0916486758201973</v>
      </c>
      <c r="V24">
        <v>1.194185970777121</v>
      </c>
      <c r="W24">
        <v>4.6286620780019438</v>
      </c>
      <c r="X24">
        <v>9.4936803620183419E-2</v>
      </c>
      <c r="Y24">
        <v>4.5337252743817604</v>
      </c>
      <c r="Z24">
        <v>0.3105038014038074</v>
      </c>
      <c r="AA24">
        <v>6.7361953934406573</v>
      </c>
      <c r="AB24">
        <v>-0.36105429762281449</v>
      </c>
      <c r="AC24">
        <v>-0.24320733419896781</v>
      </c>
      <c r="AD24">
        <v>-1.1135565345409391</v>
      </c>
      <c r="AE24">
        <v>-1.2384628430643769</v>
      </c>
      <c r="AF24">
        <v>-0.5441816613503907</v>
      </c>
      <c r="AG24">
        <v>-0.57953973447743135</v>
      </c>
      <c r="AH24">
        <v>-0.71906664951308874</v>
      </c>
      <c r="AI24">
        <v>-0.64450375152826611</v>
      </c>
      <c r="AJ24">
        <v>-0.33177439420246901</v>
      </c>
      <c r="AK24">
        <v>-0.1733978793816158</v>
      </c>
      <c r="AL24">
        <v>0.1443488112201943</v>
      </c>
      <c r="AM24">
        <v>-0.81615109723685908</v>
      </c>
      <c r="AN24">
        <v>-0.15068248650282901</v>
      </c>
      <c r="AO24">
        <v>-0.1511596948648562</v>
      </c>
      <c r="AP24">
        <v>-0.24517616817916901</v>
      </c>
      <c r="AQ24">
        <v>-0.52486557418804092</v>
      </c>
    </row>
    <row r="25" spans="1:43" x14ac:dyDescent="0.3">
      <c r="A25">
        <v>193</v>
      </c>
      <c r="B25">
        <v>2023</v>
      </c>
      <c r="C25" t="s">
        <v>63</v>
      </c>
      <c r="D25">
        <v>22</v>
      </c>
      <c r="E25">
        <v>21.479711552459669</v>
      </c>
      <c r="F25">
        <v>0.52028844754033088</v>
      </c>
      <c r="G25">
        <v>1.475474717450564</v>
      </c>
      <c r="H25">
        <v>1.409533102137037</v>
      </c>
      <c r="I25">
        <v>-0.47231820981455602</v>
      </c>
      <c r="J25">
        <v>0.25845774349409051</v>
      </c>
      <c r="K25">
        <v>0.30213081591089108</v>
      </c>
      <c r="L25">
        <v>1.5236769997935771</v>
      </c>
      <c r="M25">
        <v>0.32484228003720039</v>
      </c>
      <c r="N25">
        <v>0.2352489713912615</v>
      </c>
      <c r="O25">
        <v>0.22208829845912481</v>
      </c>
      <c r="P25">
        <v>-0.72079351796695457</v>
      </c>
      <c r="Q25">
        <v>1.9052497423687671</v>
      </c>
      <c r="R25">
        <v>1.475474717450564</v>
      </c>
      <c r="S25">
        <v>9.113751274705443</v>
      </c>
      <c r="T25">
        <v>2.210259888524568E-2</v>
      </c>
      <c r="U25">
        <v>9.0916486758201973</v>
      </c>
      <c r="V25">
        <v>1.409533102137037</v>
      </c>
      <c r="W25">
        <v>4.6286620780019438</v>
      </c>
      <c r="X25">
        <v>9.4936803620183419E-2</v>
      </c>
      <c r="Y25">
        <v>4.5337252743817604</v>
      </c>
      <c r="Z25">
        <v>-0.47231820981455602</v>
      </c>
      <c r="AA25">
        <v>-0.25845774349409051</v>
      </c>
      <c r="AB25">
        <v>-0.36105429762281449</v>
      </c>
      <c r="AC25">
        <v>-0.24320733419896781</v>
      </c>
      <c r="AD25">
        <v>1.525905427644124</v>
      </c>
      <c r="AE25">
        <v>1.0674245905881079</v>
      </c>
      <c r="AF25">
        <v>1.514535730815594</v>
      </c>
      <c r="AG25">
        <v>1.8869315302537739</v>
      </c>
      <c r="AH25">
        <v>1.4677442315017251</v>
      </c>
      <c r="AI25">
        <v>1.6795204879581329</v>
      </c>
      <c r="AJ25">
        <v>-0.16828251755631579</v>
      </c>
      <c r="AK25">
        <v>0.5682852827111935</v>
      </c>
      <c r="AL25">
        <v>0.57452407495672375</v>
      </c>
      <c r="AM25">
        <v>-0.2352489713912615</v>
      </c>
      <c r="AN25">
        <v>0.22208829845912481</v>
      </c>
      <c r="AO25">
        <v>-0.89190385225574731</v>
      </c>
      <c r="AP25">
        <v>-0.54968318367816182</v>
      </c>
      <c r="AQ25">
        <v>1.9052497423687671</v>
      </c>
    </row>
    <row r="26" spans="1:43" x14ac:dyDescent="0.3">
      <c r="A26">
        <v>196</v>
      </c>
      <c r="B26">
        <v>2023</v>
      </c>
      <c r="C26" t="s">
        <v>65</v>
      </c>
      <c r="D26">
        <v>21.333333333333329</v>
      </c>
      <c r="E26">
        <v>20.330426080437281</v>
      </c>
      <c r="F26">
        <v>1.0029072528960441</v>
      </c>
      <c r="G26">
        <v>1.261674597005592</v>
      </c>
      <c r="H26">
        <v>0.40403304522043021</v>
      </c>
      <c r="I26">
        <v>-0.41097604998400389</v>
      </c>
      <c r="J26">
        <v>0.32490995323985561</v>
      </c>
      <c r="K26">
        <v>0.30213081591089108</v>
      </c>
      <c r="L26">
        <v>1.7121728387818109</v>
      </c>
      <c r="M26">
        <v>0.42831653512865309</v>
      </c>
      <c r="N26">
        <v>0.30926127533945003</v>
      </c>
      <c r="O26">
        <v>-0.49119077984274589</v>
      </c>
      <c r="P26">
        <v>-0.156644989588444</v>
      </c>
      <c r="Q26">
        <v>1.9052497423687671</v>
      </c>
      <c r="R26">
        <v>1.261674597005592</v>
      </c>
      <c r="S26">
        <v>9.113751274705443</v>
      </c>
      <c r="T26">
        <v>2.210259888524568E-2</v>
      </c>
      <c r="U26">
        <v>9.0916486758201973</v>
      </c>
      <c r="V26">
        <v>0.40403304522043021</v>
      </c>
      <c r="W26">
        <v>4.6286620780019438</v>
      </c>
      <c r="X26">
        <v>9.4936803620183419E-2</v>
      </c>
      <c r="Y26">
        <v>4.5337252743817604</v>
      </c>
      <c r="Z26">
        <v>-0.41097604998400389</v>
      </c>
      <c r="AA26">
        <v>-0.32490995323985561</v>
      </c>
      <c r="AB26">
        <v>-0.36105429762281449</v>
      </c>
      <c r="AC26">
        <v>-0.24320733419896781</v>
      </c>
      <c r="AD26">
        <v>1.7279266342240449</v>
      </c>
      <c r="AE26">
        <v>1.5954364893765289</v>
      </c>
      <c r="AF26">
        <v>1.447431647250687</v>
      </c>
      <c r="AG26">
        <v>1.8506133292995171</v>
      </c>
      <c r="AH26">
        <v>1.663869380198532</v>
      </c>
      <c r="AI26">
        <v>1.987759552341555</v>
      </c>
      <c r="AJ26">
        <v>3.8387854408863727E-2</v>
      </c>
      <c r="AK26">
        <v>0.68246653925584855</v>
      </c>
      <c r="AL26">
        <v>0.56409521172124688</v>
      </c>
      <c r="AM26">
        <v>-0.30926127533945003</v>
      </c>
      <c r="AN26">
        <v>-0.49119077984274589</v>
      </c>
      <c r="AO26">
        <v>-0.31365210926669412</v>
      </c>
      <c r="AP26">
        <v>3.6213008980608027E-4</v>
      </c>
      <c r="AQ26">
        <v>1.9052497423687671</v>
      </c>
    </row>
    <row r="27" spans="1:43" x14ac:dyDescent="0.3">
      <c r="A27">
        <v>199</v>
      </c>
      <c r="B27">
        <v>2023</v>
      </c>
      <c r="C27" t="s">
        <v>67</v>
      </c>
      <c r="D27">
        <v>10.33333333333333</v>
      </c>
      <c r="E27">
        <v>11.76856856092178</v>
      </c>
      <c r="F27">
        <v>-1.4352352275884519</v>
      </c>
      <c r="G27">
        <v>-0.31766699720435848</v>
      </c>
      <c r="H27">
        <v>0.61655287033608908</v>
      </c>
      <c r="I27">
        <v>-0.98274610346507962</v>
      </c>
      <c r="J27">
        <v>-2.6086688360157009E-2</v>
      </c>
      <c r="K27">
        <v>0.30213081591089108</v>
      </c>
      <c r="L27">
        <v>-0.29585497123713922</v>
      </c>
      <c r="M27">
        <v>-0.72063292533849077</v>
      </c>
      <c r="N27">
        <v>-0.42147131416702588</v>
      </c>
      <c r="O27">
        <v>3.8095114775773847E-2</v>
      </c>
      <c r="P27">
        <v>0.20557335636716781</v>
      </c>
      <c r="Q27">
        <v>-0.52486557418804092</v>
      </c>
      <c r="R27">
        <v>-0.31766699720435848</v>
      </c>
      <c r="S27">
        <v>9.113751274705443</v>
      </c>
      <c r="T27">
        <v>2.210259888524568E-2</v>
      </c>
      <c r="U27">
        <v>9.0916486758201973</v>
      </c>
      <c r="V27">
        <v>0.61655287033608908</v>
      </c>
      <c r="W27">
        <v>4.6286620780019438</v>
      </c>
      <c r="X27">
        <v>9.4936803620183419E-2</v>
      </c>
      <c r="Y27">
        <v>4.5337252743817604</v>
      </c>
      <c r="Z27">
        <v>-0.98274610346507962</v>
      </c>
      <c r="AA27">
        <v>2.6086688360157009E-2</v>
      </c>
      <c r="AB27">
        <v>-0.36105429762281449</v>
      </c>
      <c r="AC27">
        <v>-0.24320733419896781</v>
      </c>
      <c r="AD27">
        <v>0.67658031483432624</v>
      </c>
      <c r="AE27">
        <v>-0.8253484516564803</v>
      </c>
      <c r="AF27">
        <v>-0.55430278040968561</v>
      </c>
      <c r="AG27">
        <v>-0.572938903157582</v>
      </c>
      <c r="AH27">
        <v>-7.6281958449888457E-2</v>
      </c>
      <c r="AI27">
        <v>-0.42283804858352492</v>
      </c>
      <c r="AJ27">
        <v>-0.89775600579863457</v>
      </c>
      <c r="AK27">
        <v>-0.205738235281547</v>
      </c>
      <c r="AL27">
        <v>-1.05840453493529</v>
      </c>
      <c r="AM27">
        <v>0.42147131416702588</v>
      </c>
      <c r="AN27">
        <v>3.8095114775773847E-2</v>
      </c>
      <c r="AO27">
        <v>0.1672066686806904</v>
      </c>
      <c r="AP27">
        <v>0.24394004405364519</v>
      </c>
      <c r="AQ27">
        <v>-0.52486557418804092</v>
      </c>
    </row>
    <row r="28" spans="1:43" x14ac:dyDescent="0.3">
      <c r="A28">
        <v>213</v>
      </c>
      <c r="B28">
        <v>2023</v>
      </c>
      <c r="C28" t="s">
        <v>69</v>
      </c>
      <c r="D28">
        <v>3.3333333333333321</v>
      </c>
      <c r="E28">
        <v>5.8459556453547812</v>
      </c>
      <c r="F28">
        <v>-2.512622312021449</v>
      </c>
      <c r="G28">
        <v>0.3057763232575666</v>
      </c>
      <c r="H28">
        <v>0.89401404363514625</v>
      </c>
      <c r="I28">
        <v>-0.94834210207968805</v>
      </c>
      <c r="J28">
        <v>-6.8123118875173612</v>
      </c>
      <c r="K28">
        <v>-3.1881896902688212</v>
      </c>
      <c r="L28">
        <v>-0.40125152768504441</v>
      </c>
      <c r="M28">
        <v>-2.1681269662695631E-2</v>
      </c>
      <c r="N28">
        <v>-2.6824305137193991</v>
      </c>
      <c r="O28">
        <v>0.18286900503642439</v>
      </c>
      <c r="P28">
        <v>-0.2130159369863171</v>
      </c>
      <c r="Q28">
        <v>-0.52486557418804092</v>
      </c>
      <c r="R28">
        <v>0.3057763232575666</v>
      </c>
      <c r="S28">
        <v>9.113751274705443</v>
      </c>
      <c r="T28">
        <v>2.210259888524568E-2</v>
      </c>
      <c r="U28">
        <v>9.0916486758201973</v>
      </c>
      <c r="V28">
        <v>0.89401404363514625</v>
      </c>
      <c r="W28">
        <v>4.6286620780019438</v>
      </c>
      <c r="X28">
        <v>9.4936803620183419E-2</v>
      </c>
      <c r="Y28">
        <v>4.5337252743817604</v>
      </c>
      <c r="Z28">
        <v>-0.94834210207968805</v>
      </c>
      <c r="AA28">
        <v>6.8123118875173612</v>
      </c>
      <c r="AB28">
        <v>2.7696665199223802</v>
      </c>
      <c r="AC28">
        <v>3.6067128606152621</v>
      </c>
      <c r="AD28">
        <v>0.44134365120974078</v>
      </c>
      <c r="AE28">
        <v>-0.1817980351939521</v>
      </c>
      <c r="AF28">
        <v>-0.68936678981524024</v>
      </c>
      <c r="AG28">
        <v>-0.86690644898274105</v>
      </c>
      <c r="AH28">
        <v>-0.61038354871490752</v>
      </c>
      <c r="AI28">
        <v>-0.50039799461316647</v>
      </c>
      <c r="AJ28">
        <v>-0.29305659079684282</v>
      </c>
      <c r="AK28">
        <v>0.23951916469786261</v>
      </c>
      <c r="AL28">
        <v>-1.1506382889106621E-2</v>
      </c>
      <c r="AM28">
        <v>2.6824305137193991</v>
      </c>
      <c r="AN28">
        <v>0.18286900503642439</v>
      </c>
      <c r="AO28">
        <v>-0.63150329492331903</v>
      </c>
      <c r="AP28">
        <v>0.20547142095068491</v>
      </c>
      <c r="AQ28">
        <v>-0.52486557418804092</v>
      </c>
    </row>
    <row r="29" spans="1:43" x14ac:dyDescent="0.3">
      <c r="A29">
        <v>218</v>
      </c>
      <c r="B29">
        <v>2023</v>
      </c>
      <c r="C29" t="s">
        <v>73</v>
      </c>
      <c r="D29">
        <v>6.6666666666666679</v>
      </c>
      <c r="E29">
        <v>6.8552590528437243</v>
      </c>
      <c r="F29">
        <v>-0.1885923861770564</v>
      </c>
      <c r="G29">
        <v>-0.69255507796711224</v>
      </c>
      <c r="H29">
        <v>-0.49348686612796921</v>
      </c>
      <c r="I29">
        <v>-0.63918634851375211</v>
      </c>
      <c r="J29">
        <v>0.38178449738344622</v>
      </c>
      <c r="K29">
        <v>0.30213081591089108</v>
      </c>
      <c r="L29">
        <v>-0.99291646007805179</v>
      </c>
      <c r="M29">
        <v>-0.43818808649127278</v>
      </c>
      <c r="N29">
        <v>-0.90924684735709516</v>
      </c>
      <c r="O29">
        <v>-9.1885873514692323E-2</v>
      </c>
      <c r="P29">
        <v>-1.9862484006315519</v>
      </c>
      <c r="Q29">
        <v>-0.52486557418804092</v>
      </c>
      <c r="R29">
        <v>-0.69255507796711224</v>
      </c>
      <c r="S29">
        <v>9.113751274705443</v>
      </c>
      <c r="T29">
        <v>2.210259888524568E-2</v>
      </c>
      <c r="U29">
        <v>9.0916486758201973</v>
      </c>
      <c r="V29">
        <v>-0.49348686612796921</v>
      </c>
      <c r="W29">
        <v>4.6286620780019438</v>
      </c>
      <c r="X29">
        <v>9.4936803620183419E-2</v>
      </c>
      <c r="Y29">
        <v>4.5337252743817604</v>
      </c>
      <c r="Z29">
        <v>-0.63918634851375211</v>
      </c>
      <c r="AA29">
        <v>-0.38178449738344622</v>
      </c>
      <c r="AB29">
        <v>-0.36105429762281449</v>
      </c>
      <c r="AC29">
        <v>-0.24320733419896781</v>
      </c>
      <c r="AD29">
        <v>-0.44968671319767922</v>
      </c>
      <c r="AE29">
        <v>-0.40383873886621308</v>
      </c>
      <c r="AF29">
        <v>-0.98282211170224909</v>
      </c>
      <c r="AG29">
        <v>-1.655762577934252</v>
      </c>
      <c r="AH29">
        <v>-1.479142397403322</v>
      </c>
      <c r="AI29">
        <v>-0.98624622136459561</v>
      </c>
      <c r="AJ29">
        <v>-1.131641610448934</v>
      </c>
      <c r="AK29">
        <v>-0.13643747263883729</v>
      </c>
      <c r="AL29">
        <v>-4.6485176386047232E-2</v>
      </c>
      <c r="AM29">
        <v>0.90924684735709516</v>
      </c>
      <c r="AN29">
        <v>-9.1885873514692323E-2</v>
      </c>
      <c r="AO29">
        <v>-2.0703734025733951</v>
      </c>
      <c r="AP29">
        <v>-1.9021233986897079</v>
      </c>
      <c r="AQ29">
        <v>-0.52486557418804092</v>
      </c>
    </row>
    <row r="30" spans="1:43" x14ac:dyDescent="0.3">
      <c r="A30">
        <v>223</v>
      </c>
      <c r="B30">
        <v>2023</v>
      </c>
      <c r="C30" t="s">
        <v>75</v>
      </c>
      <c r="D30">
        <v>10.33333333333333</v>
      </c>
      <c r="E30">
        <v>13.026940133163491</v>
      </c>
      <c r="F30">
        <v>-2.6936067998301638</v>
      </c>
      <c r="G30">
        <v>8.0817785647122706E-2</v>
      </c>
      <c r="H30">
        <v>1.5291661695046961</v>
      </c>
      <c r="I30">
        <v>-0.61691979939376518</v>
      </c>
      <c r="J30">
        <v>4.5732889758882201E-3</v>
      </c>
      <c r="K30">
        <v>0.30213081591089108</v>
      </c>
      <c r="L30">
        <v>-0.48766702834522663</v>
      </c>
      <c r="M30">
        <v>-0.27868559509583618</v>
      </c>
      <c r="N30">
        <v>-0.72099332950689821</v>
      </c>
      <c r="O30">
        <v>-0.1084115105058598</v>
      </c>
      <c r="P30">
        <v>0.58579122253718618</v>
      </c>
      <c r="Q30">
        <v>-0.52486557418804092</v>
      </c>
      <c r="R30">
        <v>8.0817785647122706E-2</v>
      </c>
      <c r="S30">
        <v>9.113751274705443</v>
      </c>
      <c r="T30">
        <v>2.210259888524568E-2</v>
      </c>
      <c r="U30">
        <v>9.0916486758201973</v>
      </c>
      <c r="V30">
        <v>1.5291661695046961</v>
      </c>
      <c r="W30">
        <v>4.6286620780019438</v>
      </c>
      <c r="X30">
        <v>9.4936803620183419E-2</v>
      </c>
      <c r="Y30">
        <v>4.5337252743817604</v>
      </c>
      <c r="Z30">
        <v>-0.61691979939376518</v>
      </c>
      <c r="AA30">
        <v>-4.5732889758882201E-3</v>
      </c>
      <c r="AB30">
        <v>-0.36105429762281449</v>
      </c>
      <c r="AC30">
        <v>-0.24320733419896781</v>
      </c>
      <c r="AD30">
        <v>0.2728991695278008</v>
      </c>
      <c r="AE30">
        <v>-0.51790986917049575</v>
      </c>
      <c r="AF30">
        <v>-0.87895937835187343</v>
      </c>
      <c r="AG30">
        <v>-0.65559693885245973</v>
      </c>
      <c r="AH30">
        <v>-0.50075702195325933</v>
      </c>
      <c r="AI30">
        <v>-0.64567813127107199</v>
      </c>
      <c r="AJ30">
        <v>-0.80681302291253842</v>
      </c>
      <c r="AK30">
        <v>0.67586646662320971</v>
      </c>
      <c r="AL30">
        <v>-0.70511022899817977</v>
      </c>
      <c r="AM30">
        <v>0.72099332950689821</v>
      </c>
      <c r="AN30">
        <v>-0.1084115105058598</v>
      </c>
      <c r="AO30">
        <v>0.27528688529788681</v>
      </c>
      <c r="AP30">
        <v>0.89629555977648567</v>
      </c>
      <c r="AQ30">
        <v>-0.52486557418804092</v>
      </c>
    </row>
    <row r="31" spans="1:43" x14ac:dyDescent="0.3">
      <c r="A31">
        <v>228</v>
      </c>
      <c r="B31">
        <v>2023</v>
      </c>
      <c r="C31" t="s">
        <v>76</v>
      </c>
      <c r="D31">
        <v>16.666666666666671</v>
      </c>
      <c r="E31">
        <v>16.028015688882249</v>
      </c>
      <c r="F31">
        <v>0.63865097778442603</v>
      </c>
      <c r="G31">
        <v>0.45022476165154479</v>
      </c>
      <c r="H31">
        <v>0.54991399331619661</v>
      </c>
      <c r="I31">
        <v>-0.48917093130536982</v>
      </c>
      <c r="J31">
        <v>4.0365521385608408E-2</v>
      </c>
      <c r="K31">
        <v>0.30213081591089108</v>
      </c>
      <c r="L31">
        <v>0.62328808978243944</v>
      </c>
      <c r="M31">
        <v>0.12555287471939111</v>
      </c>
      <c r="N31">
        <v>0.51771259535568792</v>
      </c>
      <c r="O31">
        <v>-0.38358017652467402</v>
      </c>
      <c r="P31">
        <v>0.28792012822099589</v>
      </c>
      <c r="Q31">
        <v>-0.52486557418804092</v>
      </c>
      <c r="R31">
        <v>0.45022476165154479</v>
      </c>
      <c r="S31">
        <v>9.113751274705443</v>
      </c>
      <c r="T31">
        <v>2.210259888524568E-2</v>
      </c>
      <c r="U31">
        <v>9.0916486758201973</v>
      </c>
      <c r="V31">
        <v>0.54991399331619661</v>
      </c>
      <c r="W31">
        <v>4.6286620780019438</v>
      </c>
      <c r="X31">
        <v>9.4936803620183419E-2</v>
      </c>
      <c r="Y31">
        <v>4.5337252743817604</v>
      </c>
      <c r="Z31">
        <v>-0.48917093130536982</v>
      </c>
      <c r="AA31">
        <v>-4.0365521385608408E-2</v>
      </c>
      <c r="AB31">
        <v>-0.36105429762281449</v>
      </c>
      <c r="AC31">
        <v>-0.24320733419896781</v>
      </c>
      <c r="AD31">
        <v>0.98104548836297223</v>
      </c>
      <c r="AE31">
        <v>0.13353836814804071</v>
      </c>
      <c r="AF31">
        <v>0.53734756675578732</v>
      </c>
      <c r="AG31">
        <v>0.7324970128737911</v>
      </c>
      <c r="AH31">
        <v>0.5027312206477248</v>
      </c>
      <c r="AI31">
        <v>0.85256888190632052</v>
      </c>
      <c r="AJ31">
        <v>9.7078531157069131E-2</v>
      </c>
      <c r="AK31">
        <v>-0.35324985862102898</v>
      </c>
      <c r="AL31">
        <v>0.63282995162213307</v>
      </c>
      <c r="AM31">
        <v>-0.51771259535568792</v>
      </c>
      <c r="AN31">
        <v>-0.38358017652467402</v>
      </c>
      <c r="AO31">
        <v>0.23257412701782271</v>
      </c>
      <c r="AP31">
        <v>0.34326612942416912</v>
      </c>
      <c r="AQ31">
        <v>-0.52486557418804092</v>
      </c>
    </row>
    <row r="32" spans="1:43" x14ac:dyDescent="0.3">
      <c r="A32">
        <v>233</v>
      </c>
      <c r="B32">
        <v>2023</v>
      </c>
      <c r="C32" t="s">
        <v>78</v>
      </c>
      <c r="D32">
        <v>12.66666666666667</v>
      </c>
      <c r="E32">
        <v>12.260899423397611</v>
      </c>
      <c r="F32">
        <v>0.40576724326906438</v>
      </c>
      <c r="G32">
        <v>-0.21533367058999059</v>
      </c>
      <c r="H32">
        <v>0.59554747336928782</v>
      </c>
      <c r="I32">
        <v>-0.1010344182138331</v>
      </c>
      <c r="J32">
        <v>-5.5487450696712522E-2</v>
      </c>
      <c r="K32">
        <v>0.30213081591089108</v>
      </c>
      <c r="L32">
        <v>-0.41284554999491951</v>
      </c>
      <c r="M32">
        <v>-0.2009629552047312</v>
      </c>
      <c r="N32">
        <v>7.2027392676694335E-2</v>
      </c>
      <c r="O32">
        <v>-0.39148093098602238</v>
      </c>
      <c r="P32">
        <v>0.49462064107211828</v>
      </c>
      <c r="Q32">
        <v>-0.52486557418804092</v>
      </c>
      <c r="R32">
        <v>-0.21533367058999059</v>
      </c>
      <c r="S32">
        <v>9.113751274705443</v>
      </c>
      <c r="T32">
        <v>2.210259888524568E-2</v>
      </c>
      <c r="U32">
        <v>9.0916486758201973</v>
      </c>
      <c r="V32">
        <v>0.59554747336928782</v>
      </c>
      <c r="W32">
        <v>4.6286620780019438</v>
      </c>
      <c r="X32">
        <v>9.4936803620183419E-2</v>
      </c>
      <c r="Y32">
        <v>4.5337252743817604</v>
      </c>
      <c r="Z32">
        <v>-0.1010344182138331</v>
      </c>
      <c r="AA32">
        <v>5.5487450696712522E-2</v>
      </c>
      <c r="AB32">
        <v>-0.36105429762281449</v>
      </c>
      <c r="AC32">
        <v>-0.24320733419896781</v>
      </c>
      <c r="AD32">
        <v>7.4826263776881854E-2</v>
      </c>
      <c r="AE32">
        <v>-0.88714256150669202</v>
      </c>
      <c r="AF32">
        <v>-0.3514670408471548</v>
      </c>
      <c r="AG32">
        <v>-0.20413278544297581</v>
      </c>
      <c r="AH32">
        <v>-0.66136508432156016</v>
      </c>
      <c r="AI32">
        <v>-0.44779209162801598</v>
      </c>
      <c r="AJ32">
        <v>-0.41086396543105042</v>
      </c>
      <c r="AK32">
        <v>0.23052656573589181</v>
      </c>
      <c r="AL32">
        <v>-0.42255146591903497</v>
      </c>
      <c r="AM32">
        <v>-7.2027392676694335E-2</v>
      </c>
      <c r="AN32">
        <v>-0.39148093098602238</v>
      </c>
      <c r="AO32">
        <v>0.28804127135126029</v>
      </c>
      <c r="AP32">
        <v>0.70120001079297645</v>
      </c>
      <c r="AQ32">
        <v>-0.52486557418804092</v>
      </c>
    </row>
    <row r="33" spans="1:43" x14ac:dyDescent="0.3">
      <c r="A33">
        <v>238</v>
      </c>
      <c r="B33">
        <v>2023</v>
      </c>
      <c r="C33" t="s">
        <v>80</v>
      </c>
      <c r="D33">
        <v>9</v>
      </c>
      <c r="E33">
        <v>13.46889963431906</v>
      </c>
      <c r="F33">
        <v>-4.4688996343190581</v>
      </c>
      <c r="G33">
        <v>0.43078004295518307</v>
      </c>
      <c r="H33">
        <v>-0.1577080322532321</v>
      </c>
      <c r="I33">
        <v>-9.0948981259486111E-2</v>
      </c>
      <c r="J33">
        <v>0.37745356094580951</v>
      </c>
      <c r="K33">
        <v>0.30213081591089108</v>
      </c>
      <c r="L33">
        <v>0.54861199126050308</v>
      </c>
      <c r="M33">
        <v>-1.330260580784165</v>
      </c>
      <c r="N33">
        <v>-8.5276535609582982E-2</v>
      </c>
      <c r="O33">
        <v>-8.6726461026839521E-2</v>
      </c>
      <c r="P33">
        <v>0.32720766997839928</v>
      </c>
      <c r="Q33">
        <v>-0.52486557418804092</v>
      </c>
      <c r="R33">
        <v>0.43078004295518307</v>
      </c>
      <c r="S33">
        <v>9.113751274705443</v>
      </c>
      <c r="T33">
        <v>2.210259888524568E-2</v>
      </c>
      <c r="U33">
        <v>9.0916486758201973</v>
      </c>
      <c r="V33">
        <v>-0.1577080322532321</v>
      </c>
      <c r="W33">
        <v>4.6286620780019438</v>
      </c>
      <c r="X33">
        <v>9.4936803620183419E-2</v>
      </c>
      <c r="Y33">
        <v>4.5337252743817604</v>
      </c>
      <c r="Z33">
        <v>-9.0948981259486111E-2</v>
      </c>
      <c r="AA33">
        <v>-0.37745356094580951</v>
      </c>
      <c r="AB33">
        <v>-0.36105429762281449</v>
      </c>
      <c r="AC33">
        <v>-0.24320733419896781</v>
      </c>
      <c r="AD33">
        <v>1.038978802729672</v>
      </c>
      <c r="AE33">
        <v>1.147706346200438</v>
      </c>
      <c r="AF33">
        <v>2.5007222211336711E-2</v>
      </c>
      <c r="AG33">
        <v>0.29844124598713051</v>
      </c>
      <c r="AH33">
        <v>0.249384815877464</v>
      </c>
      <c r="AI33">
        <v>0.53215351455697768</v>
      </c>
      <c r="AJ33">
        <v>-0.43757799677758591</v>
      </c>
      <c r="AK33">
        <v>-1.1667913115016959</v>
      </c>
      <c r="AL33">
        <v>-2.386412434073212</v>
      </c>
      <c r="AM33">
        <v>8.5276535609582982E-2</v>
      </c>
      <c r="AN33">
        <v>-8.6726461026839521E-2</v>
      </c>
      <c r="AO33">
        <v>0.2608835577802332</v>
      </c>
      <c r="AP33">
        <v>0.39353178217656548</v>
      </c>
      <c r="AQ33">
        <v>-0.52486557418804092</v>
      </c>
    </row>
    <row r="34" spans="1:43" x14ac:dyDescent="0.3">
      <c r="A34">
        <v>243</v>
      </c>
      <c r="B34">
        <v>2023</v>
      </c>
      <c r="C34" t="s">
        <v>81</v>
      </c>
      <c r="D34">
        <v>10.33333333333333</v>
      </c>
      <c r="E34">
        <v>11.94838215862052</v>
      </c>
      <c r="F34">
        <v>-1.6150488252871931</v>
      </c>
      <c r="G34">
        <v>0.14626946545380701</v>
      </c>
      <c r="H34">
        <v>1.6535664784724541E-2</v>
      </c>
      <c r="I34">
        <v>0.59538465043893385</v>
      </c>
      <c r="J34">
        <v>-2.2951564758705531E-3</v>
      </c>
      <c r="K34">
        <v>0.30213081591089108</v>
      </c>
      <c r="L34">
        <v>-0.1132081288615038</v>
      </c>
      <c r="M34">
        <v>-0.85521229161619239</v>
      </c>
      <c r="N34">
        <v>-6.8384838612398927E-2</v>
      </c>
      <c r="O34">
        <v>-0.18496219202989081</v>
      </c>
      <c r="P34">
        <v>0.2529805576218267</v>
      </c>
      <c r="Q34">
        <v>-0.52486557418804092</v>
      </c>
      <c r="R34">
        <v>0.14626946545380701</v>
      </c>
      <c r="S34">
        <v>9.113751274705443</v>
      </c>
      <c r="T34">
        <v>2.210259888524568E-2</v>
      </c>
      <c r="U34">
        <v>9.0916486758201973</v>
      </c>
      <c r="V34">
        <v>1.6535664784724541E-2</v>
      </c>
      <c r="W34">
        <v>4.6286620780019438</v>
      </c>
      <c r="X34">
        <v>9.4936803620183419E-2</v>
      </c>
      <c r="Y34">
        <v>4.5337252743817604</v>
      </c>
      <c r="Z34">
        <v>0.59538465043893385</v>
      </c>
      <c r="AA34">
        <v>2.2951564758705531E-3</v>
      </c>
      <c r="AB34">
        <v>-0.36105429762281449</v>
      </c>
      <c r="AC34">
        <v>-0.24320733419896781</v>
      </c>
      <c r="AD34">
        <v>0.2093795837255456</v>
      </c>
      <c r="AE34">
        <v>0.25654298146176929</v>
      </c>
      <c r="AF34">
        <v>-0.1230422893674714</v>
      </c>
      <c r="AG34">
        <v>-0.12445829824727971</v>
      </c>
      <c r="AH34">
        <v>-0.30711723117615453</v>
      </c>
      <c r="AI34">
        <v>-0.59055351956543234</v>
      </c>
      <c r="AJ34">
        <v>-0.21998143563127201</v>
      </c>
      <c r="AK34">
        <v>-1.1186932821913389</v>
      </c>
      <c r="AL34">
        <v>-1.226962157025967</v>
      </c>
      <c r="AM34">
        <v>6.8384838612398927E-2</v>
      </c>
      <c r="AN34">
        <v>-0.18496219202989081</v>
      </c>
      <c r="AO34">
        <v>0.1687982957354964</v>
      </c>
      <c r="AP34">
        <v>0.33716281950815702</v>
      </c>
      <c r="AQ34">
        <v>-0.52486557418804092</v>
      </c>
    </row>
    <row r="35" spans="1:43" x14ac:dyDescent="0.3">
      <c r="A35">
        <v>248</v>
      </c>
      <c r="B35">
        <v>2023</v>
      </c>
      <c r="C35" t="s">
        <v>83</v>
      </c>
      <c r="D35">
        <v>6</v>
      </c>
      <c r="E35">
        <v>7.8371147737499589</v>
      </c>
      <c r="F35">
        <v>-1.8371147737499589</v>
      </c>
      <c r="G35">
        <v>-0.23984881251681431</v>
      </c>
      <c r="H35">
        <v>1.8058723465392178E-2</v>
      </c>
      <c r="I35">
        <v>-0.92843318757240545</v>
      </c>
      <c r="J35">
        <v>0.63315052190267029</v>
      </c>
      <c r="K35">
        <v>-3.1881896902688212</v>
      </c>
      <c r="L35">
        <v>-0.76690151746735369</v>
      </c>
      <c r="M35">
        <v>0.41769423416734769</v>
      </c>
      <c r="N35">
        <v>0.10328258860076039</v>
      </c>
      <c r="O35">
        <v>0.39715918987024912</v>
      </c>
      <c r="P35">
        <v>-0.85350244069762149</v>
      </c>
      <c r="Q35">
        <v>-0.52486557418804092</v>
      </c>
      <c r="R35">
        <v>-0.23984881251681431</v>
      </c>
      <c r="S35">
        <v>9.113751274705443</v>
      </c>
      <c r="T35">
        <v>2.210259888524568E-2</v>
      </c>
      <c r="U35">
        <v>9.0916486758201973</v>
      </c>
      <c r="V35">
        <v>1.8058723465392178E-2</v>
      </c>
      <c r="W35">
        <v>4.6286620780019438</v>
      </c>
      <c r="X35">
        <v>9.4936803620183419E-2</v>
      </c>
      <c r="Y35">
        <v>4.5337252743817604</v>
      </c>
      <c r="Z35">
        <v>-0.92843318757240545</v>
      </c>
      <c r="AA35">
        <v>-0.63315052190267029</v>
      </c>
      <c r="AB35">
        <v>2.7696665199223802</v>
      </c>
      <c r="AC35">
        <v>3.6067128606152621</v>
      </c>
      <c r="AD35">
        <v>-0.223024585968188</v>
      </c>
      <c r="AE35">
        <v>-0.43368398678906889</v>
      </c>
      <c r="AF35">
        <v>-0.8201269431692384</v>
      </c>
      <c r="AG35">
        <v>-1.1345581203219699</v>
      </c>
      <c r="AH35">
        <v>-1.1981056884433841</v>
      </c>
      <c r="AI35">
        <v>-0.79190978011227353</v>
      </c>
      <c r="AJ35">
        <v>0.17629340272029631</v>
      </c>
      <c r="AK35">
        <v>0.54180249127272961</v>
      </c>
      <c r="AL35">
        <v>0.53498680850901714</v>
      </c>
      <c r="AM35">
        <v>-0.10328258860076039</v>
      </c>
      <c r="AN35">
        <v>0.39715918987024912</v>
      </c>
      <c r="AO35">
        <v>-0.9248617128951101</v>
      </c>
      <c r="AP35">
        <v>-0.78214316850013288</v>
      </c>
      <c r="AQ35">
        <v>-0.52486557418804092</v>
      </c>
    </row>
    <row r="36" spans="1:43" x14ac:dyDescent="0.3">
      <c r="A36">
        <v>253</v>
      </c>
      <c r="B36">
        <v>2023</v>
      </c>
      <c r="C36" t="s">
        <v>84</v>
      </c>
      <c r="D36">
        <v>5.3333333333333321</v>
      </c>
      <c r="E36">
        <v>5.4097913731707594</v>
      </c>
      <c r="F36">
        <v>-7.6458039837426384E-2</v>
      </c>
      <c r="G36">
        <v>-0.41942892941087168</v>
      </c>
      <c r="H36">
        <v>-0.64738817933299886</v>
      </c>
      <c r="I36">
        <v>-0.48742453529595903</v>
      </c>
      <c r="J36">
        <v>0.4242925431237749</v>
      </c>
      <c r="K36">
        <v>-3.920499583278287</v>
      </c>
      <c r="L36">
        <v>-0.4763735947240284</v>
      </c>
      <c r="M36">
        <v>-0.58578785325926408</v>
      </c>
      <c r="N36">
        <v>-0.75119279436864006</v>
      </c>
      <c r="O36">
        <v>-0.2492156272482878</v>
      </c>
      <c r="P36">
        <v>-0.22837840888916611</v>
      </c>
      <c r="Q36">
        <v>-0.52486557418804092</v>
      </c>
      <c r="R36">
        <v>-0.41942892941087168</v>
      </c>
      <c r="S36">
        <v>9.113751274705443</v>
      </c>
      <c r="T36">
        <v>2.210259888524568E-2</v>
      </c>
      <c r="U36">
        <v>9.0916486758201973</v>
      </c>
      <c r="V36">
        <v>-0.64738817933299886</v>
      </c>
      <c r="W36">
        <v>4.6286620780019438</v>
      </c>
      <c r="X36">
        <v>9.4936803620183419E-2</v>
      </c>
      <c r="Y36">
        <v>4.5337252743817604</v>
      </c>
      <c r="Z36">
        <v>-0.48742453529595903</v>
      </c>
      <c r="AA36">
        <v>-0.4242925431237749</v>
      </c>
      <c r="AB36">
        <v>2.7696665199223802</v>
      </c>
      <c r="AC36">
        <v>5.0713326466341941</v>
      </c>
      <c r="AD36">
        <v>-0.68300107503485974</v>
      </c>
      <c r="AE36">
        <v>-2.650850791462744E-2</v>
      </c>
      <c r="AF36">
        <v>-0.20996517076271071</v>
      </c>
      <c r="AG36">
        <v>-0.66857486374783448</v>
      </c>
      <c r="AH36">
        <v>-0.56582332695526705</v>
      </c>
      <c r="AI36">
        <v>-0.70436862392887101</v>
      </c>
      <c r="AJ36">
        <v>-0.46541973113593621</v>
      </c>
      <c r="AK36">
        <v>-0.29426170946681779</v>
      </c>
      <c r="AL36">
        <v>-0.99768211917503857</v>
      </c>
      <c r="AM36">
        <v>0.75119279436864006</v>
      </c>
      <c r="AN36">
        <v>-0.2492156272482878</v>
      </c>
      <c r="AO36">
        <v>-0.1279922506328853</v>
      </c>
      <c r="AP36">
        <v>-0.32876456714544688</v>
      </c>
      <c r="AQ36">
        <v>-0.52486557418804092</v>
      </c>
    </row>
    <row r="37" spans="1:43" x14ac:dyDescent="0.3">
      <c r="A37">
        <v>258</v>
      </c>
      <c r="B37">
        <v>2023</v>
      </c>
      <c r="C37" t="s">
        <v>86</v>
      </c>
      <c r="D37">
        <v>11.33333333333333</v>
      </c>
      <c r="E37">
        <v>10.535765993019959</v>
      </c>
      <c r="F37">
        <v>0.7975673403133694</v>
      </c>
      <c r="G37">
        <v>-0.36573540279152422</v>
      </c>
      <c r="H37">
        <v>-5.9823021617103837E-2</v>
      </c>
      <c r="I37">
        <v>0.1597025059911901</v>
      </c>
      <c r="J37">
        <v>3.4393789645606972E-2</v>
      </c>
      <c r="K37">
        <v>0.30213081591089108</v>
      </c>
      <c r="L37">
        <v>-0.93160878685046911</v>
      </c>
      <c r="M37">
        <v>-0.61324986189998432</v>
      </c>
      <c r="N37">
        <v>0.85685230792908729</v>
      </c>
      <c r="O37">
        <v>0.44209392269052061</v>
      </c>
      <c r="P37">
        <v>0.49949120401573283</v>
      </c>
      <c r="Q37">
        <v>-0.52486557418804092</v>
      </c>
      <c r="R37">
        <v>-0.36573540279152422</v>
      </c>
      <c r="S37">
        <v>9.113751274705443</v>
      </c>
      <c r="T37">
        <v>2.210259888524568E-2</v>
      </c>
      <c r="U37">
        <v>9.0916486758201973</v>
      </c>
      <c r="V37">
        <v>-5.9823021617103837E-2</v>
      </c>
      <c r="W37">
        <v>4.6286620780019438</v>
      </c>
      <c r="X37">
        <v>9.4936803620183419E-2</v>
      </c>
      <c r="Y37">
        <v>4.5337252743817604</v>
      </c>
      <c r="Z37">
        <v>0.1597025059911901</v>
      </c>
      <c r="AA37">
        <v>-3.4393789645606972E-2</v>
      </c>
      <c r="AB37">
        <v>-0.36105429762281449</v>
      </c>
      <c r="AC37">
        <v>-0.24320733419896781</v>
      </c>
      <c r="AD37">
        <v>-0.74907964146477968</v>
      </c>
      <c r="AE37">
        <v>-0.32153708328026132</v>
      </c>
      <c r="AF37">
        <v>-1.2714851649300809</v>
      </c>
      <c r="AG37">
        <v>-0.64864289718497226</v>
      </c>
      <c r="AH37">
        <v>-1.3243463977188381</v>
      </c>
      <c r="AI37">
        <v>-1.274561536523882</v>
      </c>
      <c r="AJ37">
        <v>9.4697824798794336E-2</v>
      </c>
      <c r="AK37">
        <v>-1.3963088373017181</v>
      </c>
      <c r="AL37">
        <v>-0.53813857319702985</v>
      </c>
      <c r="AM37">
        <v>-0.85685230792908729</v>
      </c>
      <c r="AN37">
        <v>0.44209392269052061</v>
      </c>
      <c r="AO37">
        <v>0.44443577194378892</v>
      </c>
      <c r="AP37">
        <v>0.55454663608767663</v>
      </c>
      <c r="AQ37">
        <v>-0.52486557418804092</v>
      </c>
    </row>
    <row r="38" spans="1:43" x14ac:dyDescent="0.3">
      <c r="A38">
        <v>268</v>
      </c>
      <c r="B38">
        <v>2023</v>
      </c>
      <c r="C38" t="s">
        <v>87</v>
      </c>
      <c r="D38">
        <v>9.5</v>
      </c>
      <c r="E38">
        <v>8.7312088946251514</v>
      </c>
      <c r="F38">
        <v>0.76879110537484863</v>
      </c>
      <c r="G38">
        <v>-0.79418798865277562</v>
      </c>
      <c r="H38">
        <v>-0.63970546645413151</v>
      </c>
      <c r="I38">
        <v>-3.9124679680222443E-2</v>
      </c>
      <c r="J38">
        <v>-4.6081496230832117E-2</v>
      </c>
      <c r="K38">
        <v>0.30213081591089108</v>
      </c>
      <c r="L38">
        <v>-0.99174470856638308</v>
      </c>
      <c r="M38">
        <v>8.0171491429183506E-2</v>
      </c>
      <c r="N38">
        <v>0.28331251712338101</v>
      </c>
      <c r="O38">
        <v>-0.28533151466325718</v>
      </c>
      <c r="P38">
        <v>0.42719364748226668</v>
      </c>
      <c r="Q38">
        <v>-0.52486557418804092</v>
      </c>
      <c r="R38">
        <v>-0.79418798865277562</v>
      </c>
      <c r="S38">
        <v>9.113751274705443</v>
      </c>
      <c r="T38">
        <v>2.210259888524568E-2</v>
      </c>
      <c r="U38">
        <v>9.0916486758201973</v>
      </c>
      <c r="V38">
        <v>-0.63970546645413151</v>
      </c>
      <c r="W38">
        <v>4.6286620780019438</v>
      </c>
      <c r="X38">
        <v>9.4936803620183419E-2</v>
      </c>
      <c r="Y38">
        <v>4.5337252743817604</v>
      </c>
      <c r="Z38">
        <v>-3.9124679680222443E-2</v>
      </c>
      <c r="AA38">
        <v>4.6081496230832117E-2</v>
      </c>
      <c r="AB38">
        <v>-0.36105429762281449</v>
      </c>
      <c r="AC38">
        <v>-0.24320733419896781</v>
      </c>
      <c r="AD38">
        <v>-0.65988104744678677</v>
      </c>
      <c r="AE38">
        <v>-0.57848175416988357</v>
      </c>
      <c r="AF38">
        <v>-1.1572862317390731</v>
      </c>
      <c r="AG38">
        <v>-0.94453549619098909</v>
      </c>
      <c r="AH38">
        <v>-1.345547693487815</v>
      </c>
      <c r="AI38">
        <v>-1.264736028363751</v>
      </c>
      <c r="AJ38">
        <v>0.29838604879939801</v>
      </c>
      <c r="AK38">
        <v>-0.34235973877717479</v>
      </c>
      <c r="AL38">
        <v>0.28448816426532741</v>
      </c>
      <c r="AM38">
        <v>-0.28331251712338101</v>
      </c>
      <c r="AN38">
        <v>-0.28533151466325718</v>
      </c>
      <c r="AO38">
        <v>0.52158579171334296</v>
      </c>
      <c r="AP38">
        <v>0.33280150325119051</v>
      </c>
      <c r="AQ38">
        <v>-0.52486557418804092</v>
      </c>
    </row>
    <row r="39" spans="1:43" x14ac:dyDescent="0.3">
      <c r="A39">
        <v>273</v>
      </c>
      <c r="B39">
        <v>2023</v>
      </c>
      <c r="C39" t="s">
        <v>89</v>
      </c>
      <c r="D39">
        <v>13.66666666666667</v>
      </c>
      <c r="E39">
        <v>12.685520668725591</v>
      </c>
      <c r="F39">
        <v>0.98114599794107527</v>
      </c>
      <c r="G39">
        <v>0.2950241760049484</v>
      </c>
      <c r="H39">
        <v>1.426046985368276</v>
      </c>
      <c r="I39">
        <v>-0.82120447259458618</v>
      </c>
      <c r="J39">
        <v>7.3314980538906283E-2</v>
      </c>
      <c r="K39">
        <v>0.30213081591089108</v>
      </c>
      <c r="L39">
        <v>-0.71266744165126983</v>
      </c>
      <c r="M39">
        <v>-0.75712946401903369</v>
      </c>
      <c r="N39">
        <v>0.15034596806330969</v>
      </c>
      <c r="O39">
        <v>9.2779714803666979E-2</v>
      </c>
      <c r="P39">
        <v>2.035599133361176E-2</v>
      </c>
      <c r="Q39">
        <v>-0.52486557418804092</v>
      </c>
      <c r="R39">
        <v>0.2950241760049484</v>
      </c>
      <c r="S39">
        <v>9.113751274705443</v>
      </c>
      <c r="T39">
        <v>2.210259888524568E-2</v>
      </c>
      <c r="U39">
        <v>9.0916486758201973</v>
      </c>
      <c r="V39">
        <v>1.426046985368276</v>
      </c>
      <c r="W39">
        <v>4.6286620780019438</v>
      </c>
      <c r="X39">
        <v>9.4936803620183419E-2</v>
      </c>
      <c r="Y39">
        <v>4.5337252743817604</v>
      </c>
      <c r="Z39">
        <v>-0.82120447259458618</v>
      </c>
      <c r="AA39">
        <v>-7.3314980538906283E-2</v>
      </c>
      <c r="AB39">
        <v>-0.36105429762281449</v>
      </c>
      <c r="AC39">
        <v>-0.24320733419896781</v>
      </c>
      <c r="AD39">
        <v>-0.28231599985754352</v>
      </c>
      <c r="AE39">
        <v>-0.78363375006980251</v>
      </c>
      <c r="AF39">
        <v>-0.48867401657926512</v>
      </c>
      <c r="AG39">
        <v>-0.51421058458404356</v>
      </c>
      <c r="AH39">
        <v>-1.0354270317338521</v>
      </c>
      <c r="AI39">
        <v>-1.1717432670831121</v>
      </c>
      <c r="AJ39">
        <v>-0.2227631030604138</v>
      </c>
      <c r="AK39">
        <v>-0.42675816756704621</v>
      </c>
      <c r="AL39">
        <v>-1.621867121429641</v>
      </c>
      <c r="AM39">
        <v>-0.15034596806330969</v>
      </c>
      <c r="AN39">
        <v>9.2779714803666979E-2</v>
      </c>
      <c r="AO39">
        <v>5.1470594997301097E-2</v>
      </c>
      <c r="AP39">
        <v>-1.075861233007757E-2</v>
      </c>
      <c r="AQ39">
        <v>-0.52486557418804092</v>
      </c>
    </row>
    <row r="40" spans="1:43" x14ac:dyDescent="0.3">
      <c r="A40">
        <v>278</v>
      </c>
      <c r="B40">
        <v>2023</v>
      </c>
      <c r="C40" t="s">
        <v>90</v>
      </c>
      <c r="D40">
        <v>7.3333333333333339</v>
      </c>
      <c r="E40">
        <v>6.136691352813239</v>
      </c>
      <c r="F40">
        <v>1.196641980520095</v>
      </c>
      <c r="G40">
        <v>-0.97052760814075012</v>
      </c>
      <c r="H40">
        <v>-0.98254119710324428</v>
      </c>
      <c r="I40">
        <v>-0.40490732385130163</v>
      </c>
      <c r="J40">
        <v>-0.18304974594798651</v>
      </c>
      <c r="K40">
        <v>-1.5414173561086699</v>
      </c>
      <c r="L40">
        <v>-1.294462772505113</v>
      </c>
      <c r="M40">
        <v>0.23383681351533539</v>
      </c>
      <c r="N40">
        <v>0.43769929379007871</v>
      </c>
      <c r="O40">
        <v>0.19331713859578539</v>
      </c>
      <c r="P40">
        <v>0.57291148658111057</v>
      </c>
      <c r="Q40">
        <v>-0.52486557418804092</v>
      </c>
      <c r="R40">
        <v>-0.97052760814075012</v>
      </c>
      <c r="S40">
        <v>9.113751274705443</v>
      </c>
      <c r="T40">
        <v>2.210259888524568E-2</v>
      </c>
      <c r="U40">
        <v>9.0916486758201973</v>
      </c>
      <c r="V40">
        <v>-0.98254119710324428</v>
      </c>
      <c r="W40">
        <v>4.6286620780019438</v>
      </c>
      <c r="X40">
        <v>9.4936803620183419E-2</v>
      </c>
      <c r="Y40">
        <v>4.5337252743817604</v>
      </c>
      <c r="Z40">
        <v>-0.40490732385130163</v>
      </c>
      <c r="AA40">
        <v>0.18304974594798651</v>
      </c>
      <c r="AB40">
        <v>2.7696665199223802</v>
      </c>
      <c r="AC40">
        <v>0.31316819229495929</v>
      </c>
      <c r="AD40">
        <v>-1.700904472435234</v>
      </c>
      <c r="AE40">
        <v>-0.17944447501154381</v>
      </c>
      <c r="AF40">
        <v>-1.4818375297153981</v>
      </c>
      <c r="AG40">
        <v>-1.3161127819063581</v>
      </c>
      <c r="AH40">
        <v>-1.5423766508475729</v>
      </c>
      <c r="AI40">
        <v>-1.546100725114576</v>
      </c>
      <c r="AJ40">
        <v>0.54086725640641564</v>
      </c>
      <c r="AK40">
        <v>-8.776193697312458E-2</v>
      </c>
      <c r="AL40">
        <v>0.24840512111271509</v>
      </c>
      <c r="AM40">
        <v>-0.43769929379007871</v>
      </c>
      <c r="AN40">
        <v>0.19331713859578539</v>
      </c>
      <c r="AO40">
        <v>0.73946696621655572</v>
      </c>
      <c r="AP40">
        <v>0.40635600694566543</v>
      </c>
      <c r="AQ40">
        <v>-0.52486557418804092</v>
      </c>
    </row>
    <row r="41" spans="1:43" x14ac:dyDescent="0.3">
      <c r="A41">
        <v>283</v>
      </c>
      <c r="B41">
        <v>2023</v>
      </c>
      <c r="C41" t="s">
        <v>92</v>
      </c>
      <c r="D41">
        <v>13.66666666666667</v>
      </c>
      <c r="E41">
        <v>11.82185505008712</v>
      </c>
      <c r="F41">
        <v>1.8448116165795501</v>
      </c>
      <c r="G41">
        <v>0.53611792509404899</v>
      </c>
      <c r="H41">
        <v>-0.1742390710304359</v>
      </c>
      <c r="I41">
        <v>0.2539642305991347</v>
      </c>
      <c r="J41">
        <v>0.62702615804151873</v>
      </c>
      <c r="K41">
        <v>0.30213081591089108</v>
      </c>
      <c r="L41">
        <v>-0.2193855270252506</v>
      </c>
      <c r="M41">
        <v>-0.64839993061629497</v>
      </c>
      <c r="N41">
        <v>0.189463582162052</v>
      </c>
      <c r="O41">
        <v>-0.27002137835845091</v>
      </c>
      <c r="P41">
        <v>-0.2129054185362364</v>
      </c>
      <c r="Q41">
        <v>-0.52486557418804092</v>
      </c>
      <c r="R41">
        <v>0.53611792509404899</v>
      </c>
      <c r="S41">
        <v>9.113751274705443</v>
      </c>
      <c r="T41">
        <v>2.210259888524568E-2</v>
      </c>
      <c r="U41">
        <v>9.0916486758201973</v>
      </c>
      <c r="V41">
        <v>-0.1742390710304359</v>
      </c>
      <c r="W41">
        <v>4.6286620780019438</v>
      </c>
      <c r="X41">
        <v>9.4936803620183419E-2</v>
      </c>
      <c r="Y41">
        <v>4.5337252743817604</v>
      </c>
      <c r="Z41">
        <v>0.2539642305991347</v>
      </c>
      <c r="AA41">
        <v>-0.62702615804151873</v>
      </c>
      <c r="AB41">
        <v>-0.36105429762281449</v>
      </c>
      <c r="AC41">
        <v>-0.24320733419896781</v>
      </c>
      <c r="AD41">
        <v>0.45653920153384298</v>
      </c>
      <c r="AE41">
        <v>0.2255544390600607</v>
      </c>
      <c r="AF41">
        <v>-0.50139962947506911</v>
      </c>
      <c r="AG41">
        <v>-0.18397480968660879</v>
      </c>
      <c r="AH41">
        <v>-0.54070541656574811</v>
      </c>
      <c r="AI41">
        <v>-0.77232694701798121</v>
      </c>
      <c r="AJ41">
        <v>-0.28110293887161081</v>
      </c>
      <c r="AK41">
        <v>-0.98363929594596322</v>
      </c>
      <c r="AL41">
        <v>-0.68045755703131072</v>
      </c>
      <c r="AM41">
        <v>-0.189463582162052</v>
      </c>
      <c r="AN41">
        <v>-0.27002137835845091</v>
      </c>
      <c r="AO41">
        <v>-0.16497857402304589</v>
      </c>
      <c r="AP41">
        <v>-0.26083226304942692</v>
      </c>
      <c r="AQ41">
        <v>-0.52486557418804092</v>
      </c>
    </row>
    <row r="42" spans="1:43" x14ac:dyDescent="0.3">
      <c r="A42">
        <v>288</v>
      </c>
      <c r="B42">
        <v>2023</v>
      </c>
      <c r="C42" t="s">
        <v>93</v>
      </c>
      <c r="D42">
        <v>11.66666666666667</v>
      </c>
      <c r="E42">
        <v>10.550994160987489</v>
      </c>
      <c r="F42">
        <v>1.115672505679177</v>
      </c>
      <c r="G42">
        <v>-0.29242555243466278</v>
      </c>
      <c r="H42">
        <v>-0.5211394163037234</v>
      </c>
      <c r="I42">
        <v>-0.30457687311065468</v>
      </c>
      <c r="J42">
        <v>6.2859680240118038E-2</v>
      </c>
      <c r="K42">
        <v>0.30213081591089108</v>
      </c>
      <c r="L42">
        <v>-0.53916181172523336</v>
      </c>
      <c r="M42">
        <v>-0.43675213768833859</v>
      </c>
      <c r="N42">
        <v>0.47201055331560898</v>
      </c>
      <c r="O42">
        <v>0.2161918270444359</v>
      </c>
      <c r="P42">
        <v>0.46513377545005891</v>
      </c>
      <c r="Q42">
        <v>-0.52486557418804092</v>
      </c>
      <c r="R42">
        <v>-0.29242555243466278</v>
      </c>
      <c r="S42">
        <v>9.113751274705443</v>
      </c>
      <c r="T42">
        <v>2.210259888524568E-2</v>
      </c>
      <c r="U42">
        <v>9.0916486758201973</v>
      </c>
      <c r="V42">
        <v>-0.5211394163037234</v>
      </c>
      <c r="W42">
        <v>4.6286620780019438</v>
      </c>
      <c r="X42">
        <v>9.4936803620183419E-2</v>
      </c>
      <c r="Y42">
        <v>4.5337252743817604</v>
      </c>
      <c r="Z42">
        <v>-0.30457687311065468</v>
      </c>
      <c r="AA42">
        <v>-6.2859680240118038E-2</v>
      </c>
      <c r="AB42">
        <v>-0.36105429762281449</v>
      </c>
      <c r="AC42">
        <v>-0.24320733419896781</v>
      </c>
      <c r="AD42">
        <v>-0.1071345417257778</v>
      </c>
      <c r="AE42">
        <v>6.8817854961267577E-2</v>
      </c>
      <c r="AF42">
        <v>-0.78407850804714552</v>
      </c>
      <c r="AG42">
        <v>-0.40853254716479809</v>
      </c>
      <c r="AH42">
        <v>-0.79449989494280349</v>
      </c>
      <c r="AI42">
        <v>-1.209543233432143</v>
      </c>
      <c r="AJ42">
        <v>-0.17444729402090081</v>
      </c>
      <c r="AK42">
        <v>-0.96845912889089336</v>
      </c>
      <c r="AL42">
        <v>-0.16734999015322161</v>
      </c>
      <c r="AM42">
        <v>-0.47201055331560898</v>
      </c>
      <c r="AN42">
        <v>0.2161918270444359</v>
      </c>
      <c r="AO42">
        <v>0.5069056354852417</v>
      </c>
      <c r="AP42">
        <v>0.423361915414876</v>
      </c>
      <c r="AQ42">
        <v>-0.52486557418804092</v>
      </c>
    </row>
    <row r="43" spans="1:43" x14ac:dyDescent="0.3">
      <c r="A43">
        <v>293</v>
      </c>
      <c r="B43">
        <v>2023</v>
      </c>
      <c r="C43" t="s">
        <v>94</v>
      </c>
      <c r="D43">
        <v>14.33333333333333</v>
      </c>
      <c r="E43">
        <v>12.617865656941619</v>
      </c>
      <c r="F43">
        <v>1.7154676763917061</v>
      </c>
      <c r="G43">
        <v>-0.10986736314475</v>
      </c>
      <c r="H43">
        <v>0.43978060303931199</v>
      </c>
      <c r="I43">
        <v>-0.34330320461933772</v>
      </c>
      <c r="J43">
        <v>0.24968139652795421</v>
      </c>
      <c r="K43">
        <v>0.30213081591089108</v>
      </c>
      <c r="L43">
        <v>-0.52640664597349185</v>
      </c>
      <c r="M43">
        <v>-0.24312189993070979</v>
      </c>
      <c r="N43">
        <v>0.71174485165229007</v>
      </c>
      <c r="O43">
        <v>-5.068090448417939E-3</v>
      </c>
      <c r="P43">
        <v>0.77117764022919744</v>
      </c>
      <c r="Q43">
        <v>-0.52486557418804092</v>
      </c>
      <c r="R43">
        <v>-0.10986736314475</v>
      </c>
      <c r="S43">
        <v>9.113751274705443</v>
      </c>
      <c r="T43">
        <v>2.210259888524568E-2</v>
      </c>
      <c r="U43">
        <v>9.0916486758201973</v>
      </c>
      <c r="V43">
        <v>0.43978060303931199</v>
      </c>
      <c r="W43">
        <v>4.6286620780019438</v>
      </c>
      <c r="X43">
        <v>9.4936803620183419E-2</v>
      </c>
      <c r="Y43">
        <v>4.5337252743817604</v>
      </c>
      <c r="Z43">
        <v>-0.34330320461933772</v>
      </c>
      <c r="AA43">
        <v>-0.24968139652795421</v>
      </c>
      <c r="AB43">
        <v>-0.36105429762281449</v>
      </c>
      <c r="AC43">
        <v>-0.24320733419896781</v>
      </c>
      <c r="AD43">
        <v>-8.6554539353312615E-2</v>
      </c>
      <c r="AE43">
        <v>-0.65330894271312623</v>
      </c>
      <c r="AF43">
        <v>-0.81746979934979758</v>
      </c>
      <c r="AG43">
        <v>1.2984820243002151E-2</v>
      </c>
      <c r="AH43">
        <v>-0.7471760153494087</v>
      </c>
      <c r="AI43">
        <v>-0.86691539931830786</v>
      </c>
      <c r="AJ43">
        <v>7.3221347440463075E-2</v>
      </c>
      <c r="AK43">
        <v>-0.83068261268455412</v>
      </c>
      <c r="AL43">
        <v>2.8095565451961561E-2</v>
      </c>
      <c r="AM43">
        <v>-0.71174485165229007</v>
      </c>
      <c r="AN43">
        <v>-5.068090448417939E-3</v>
      </c>
      <c r="AO43">
        <v>0.60647752958669165</v>
      </c>
      <c r="AP43">
        <v>0.93587775087170322</v>
      </c>
      <c r="AQ43">
        <v>-0.52486557418804092</v>
      </c>
    </row>
    <row r="44" spans="1:43" x14ac:dyDescent="0.3">
      <c r="A44">
        <v>298</v>
      </c>
      <c r="B44">
        <v>2023</v>
      </c>
      <c r="C44" t="s">
        <v>96</v>
      </c>
      <c r="D44">
        <v>14.33333333333333</v>
      </c>
      <c r="E44">
        <v>13.79851110309839</v>
      </c>
      <c r="F44">
        <v>0.53482223023494058</v>
      </c>
      <c r="G44">
        <v>0.6654668814545952</v>
      </c>
      <c r="H44">
        <v>-0.21176964510811011</v>
      </c>
      <c r="I44">
        <v>-0.66110361843185683</v>
      </c>
      <c r="J44">
        <v>-0.43426313834606017</v>
      </c>
      <c r="K44">
        <v>-1.3874815230281119</v>
      </c>
      <c r="L44">
        <v>0.93445806544285848</v>
      </c>
      <c r="M44">
        <v>-7.2599954245561205E-2</v>
      </c>
      <c r="N44">
        <v>-0.1653731843643228</v>
      </c>
      <c r="O44">
        <v>-7.3407676910327402E-2</v>
      </c>
      <c r="P44">
        <v>0.65819455539126448</v>
      </c>
      <c r="Q44">
        <v>-0.52486557418804092</v>
      </c>
      <c r="R44">
        <v>0.6654668814545952</v>
      </c>
      <c r="S44">
        <v>9.113751274705443</v>
      </c>
      <c r="T44">
        <v>2.210259888524568E-2</v>
      </c>
      <c r="U44">
        <v>9.0916486758201973</v>
      </c>
      <c r="V44">
        <v>-0.21176964510811011</v>
      </c>
      <c r="W44">
        <v>4.6286620780019438</v>
      </c>
      <c r="X44">
        <v>9.4936803620183419E-2</v>
      </c>
      <c r="Y44">
        <v>4.5337252743817604</v>
      </c>
      <c r="Z44">
        <v>-0.66110361843185683</v>
      </c>
      <c r="AA44">
        <v>0.43426313834606017</v>
      </c>
      <c r="AB44">
        <v>2.7696665199223802</v>
      </c>
      <c r="AC44">
        <v>5.2965261338439604E-3</v>
      </c>
      <c r="AD44">
        <v>1.277469107082591</v>
      </c>
      <c r="AE44">
        <v>1.124625191972553</v>
      </c>
      <c r="AF44">
        <v>0.68599303133288481</v>
      </c>
      <c r="AG44">
        <v>0.44786058028398679</v>
      </c>
      <c r="AH44">
        <v>0.6021981887709017</v>
      </c>
      <c r="AI44">
        <v>1.468602293214234</v>
      </c>
      <c r="AJ44">
        <v>-4.3307963780354737E-2</v>
      </c>
      <c r="AK44">
        <v>-0.166302801301529</v>
      </c>
      <c r="AL44">
        <v>-8.1890976547998699E-3</v>
      </c>
      <c r="AM44">
        <v>0.1653731843643228</v>
      </c>
      <c r="AN44">
        <v>-7.3407676910327402E-2</v>
      </c>
      <c r="AO44">
        <v>0.46047351013724053</v>
      </c>
      <c r="AP44">
        <v>0.85591560064528849</v>
      </c>
      <c r="AQ44">
        <v>-0.52486557418804092</v>
      </c>
    </row>
    <row r="45" spans="1:43" x14ac:dyDescent="0.3">
      <c r="A45">
        <v>299</v>
      </c>
      <c r="B45">
        <v>2023</v>
      </c>
      <c r="C45" t="s">
        <v>97</v>
      </c>
      <c r="D45">
        <v>1.3333333333333319</v>
      </c>
      <c r="E45">
        <v>-0.80084066218071848</v>
      </c>
      <c r="F45">
        <v>2.13417399551405</v>
      </c>
      <c r="G45">
        <v>-0.67638662759274615</v>
      </c>
      <c r="H45">
        <v>-6.9806121073018521E-2</v>
      </c>
      <c r="I45">
        <v>-4</v>
      </c>
      <c r="J45">
        <v>-6.8123118875173612</v>
      </c>
      <c r="K45">
        <v>-2.450093175317039</v>
      </c>
      <c r="L45">
        <v>-2.0540952880611441</v>
      </c>
      <c r="M45">
        <v>-1.161224796700608</v>
      </c>
      <c r="N45">
        <v>-2.2350228024650352</v>
      </c>
      <c r="O45">
        <v>0.54676552662865208</v>
      </c>
      <c r="P45">
        <v>0.24657663362515839</v>
      </c>
      <c r="Q45">
        <v>-0.52486557418804092</v>
      </c>
      <c r="R45">
        <v>-0.67638662759274615</v>
      </c>
      <c r="S45">
        <v>9.113751274705443</v>
      </c>
      <c r="T45">
        <v>2.210259888524568E-2</v>
      </c>
      <c r="U45">
        <v>9.0916486758201973</v>
      </c>
      <c r="V45">
        <v>-6.9806121073018521E-2</v>
      </c>
      <c r="W45">
        <v>4.6286620780019438</v>
      </c>
      <c r="X45">
        <v>9.4936803620183419E-2</v>
      </c>
      <c r="Y45">
        <v>4.5337252743817604</v>
      </c>
      <c r="Z45">
        <v>-4</v>
      </c>
      <c r="AA45">
        <v>6.8123118875173612</v>
      </c>
      <c r="AB45">
        <v>2.7696665199223802</v>
      </c>
      <c r="AC45">
        <v>2.1305198307116981</v>
      </c>
      <c r="AD45">
        <v>-1.861452352459168</v>
      </c>
      <c r="AE45">
        <v>-1.4512734768749369</v>
      </c>
      <c r="AF45">
        <v>-2.0579123589171351</v>
      </c>
      <c r="AG45">
        <v>-2.62013926372095</v>
      </c>
      <c r="AH45">
        <v>-2.48080288651472</v>
      </c>
      <c r="AI45">
        <v>-1.852991389879959</v>
      </c>
      <c r="AJ45">
        <v>-2.1736141332984791</v>
      </c>
      <c r="AK45">
        <v>-1.446386888401866</v>
      </c>
      <c r="AL45">
        <v>0.13632663159852151</v>
      </c>
      <c r="AM45">
        <v>2.2350228024650352</v>
      </c>
      <c r="AN45">
        <v>0.54676552662865208</v>
      </c>
      <c r="AO45">
        <v>-0.41388955741256278</v>
      </c>
      <c r="AP45">
        <v>0.90704282466287967</v>
      </c>
      <c r="AQ45">
        <v>-0.52486557418804092</v>
      </c>
    </row>
    <row r="46" spans="1:43" x14ac:dyDescent="0.3">
      <c r="A46">
        <v>316</v>
      </c>
      <c r="B46">
        <v>2023</v>
      </c>
      <c r="C46" t="s">
        <v>99</v>
      </c>
      <c r="D46">
        <v>7.3333333333333339</v>
      </c>
      <c r="E46">
        <v>8.7666189431393811</v>
      </c>
      <c r="F46">
        <v>-1.4332856098060469</v>
      </c>
      <c r="G46">
        <v>0.69425303317161624</v>
      </c>
      <c r="H46">
        <v>-1.4912723234398899</v>
      </c>
      <c r="I46">
        <v>-0.93576805081193071</v>
      </c>
      <c r="J46">
        <v>0.88560405028508937</v>
      </c>
      <c r="K46">
        <v>-2.6576951119746899</v>
      </c>
      <c r="L46">
        <v>0.74263615954251538</v>
      </c>
      <c r="M46">
        <v>-0.34348882876767778</v>
      </c>
      <c r="N46">
        <v>-1.4843424523599109</v>
      </c>
      <c r="O46">
        <v>-0.71208863330136463</v>
      </c>
      <c r="P46">
        <v>0.52473741289297338</v>
      </c>
      <c r="Q46">
        <v>-0.52486557418804092</v>
      </c>
      <c r="R46">
        <v>0.69425303317161624</v>
      </c>
      <c r="S46">
        <v>9.113751274705443</v>
      </c>
      <c r="T46">
        <v>2.210259888524568E-2</v>
      </c>
      <c r="U46">
        <v>9.0916486758201973</v>
      </c>
      <c r="V46">
        <v>-1.4912723234398899</v>
      </c>
      <c r="W46">
        <v>4.6286620780019438</v>
      </c>
      <c r="X46">
        <v>9.4936803620183419E-2</v>
      </c>
      <c r="Y46">
        <v>4.5337252743817604</v>
      </c>
      <c r="Z46">
        <v>-0.93576805081193071</v>
      </c>
      <c r="AA46">
        <v>-0.88560405028508937</v>
      </c>
      <c r="AB46">
        <v>2.7696665199223802</v>
      </c>
      <c r="AC46">
        <v>2.545723704027</v>
      </c>
      <c r="AD46">
        <v>1.1418799296162361</v>
      </c>
      <c r="AE46">
        <v>1.390407672693474</v>
      </c>
      <c r="AF46">
        <v>0.1597094030107869</v>
      </c>
      <c r="AG46">
        <v>0.25251254354826191</v>
      </c>
      <c r="AH46">
        <v>0.27611665086507747</v>
      </c>
      <c r="AI46">
        <v>1.235190757521256</v>
      </c>
      <c r="AJ46">
        <v>0.37231324624056189</v>
      </c>
      <c r="AK46">
        <v>-0.2284259849562438</v>
      </c>
      <c r="AL46">
        <v>-1.1743537475873509</v>
      </c>
      <c r="AM46">
        <v>1.4843424523599109</v>
      </c>
      <c r="AN46">
        <v>-0.71208863330136463</v>
      </c>
      <c r="AO46">
        <v>0.54114018550268894</v>
      </c>
      <c r="AP46">
        <v>0.50833464028325781</v>
      </c>
      <c r="AQ46">
        <v>-0.52486557418804092</v>
      </c>
    </row>
    <row r="47" spans="1:43" x14ac:dyDescent="0.3">
      <c r="A47">
        <v>339</v>
      </c>
      <c r="B47">
        <v>2023</v>
      </c>
      <c r="C47" t="s">
        <v>100</v>
      </c>
      <c r="D47">
        <v>6</v>
      </c>
      <c r="E47">
        <v>5.2366987563197878</v>
      </c>
      <c r="F47">
        <v>0.76330124368021224</v>
      </c>
      <c r="G47">
        <v>-0.15920994115066661</v>
      </c>
      <c r="H47">
        <v>-1.903313043942032</v>
      </c>
      <c r="I47">
        <v>0.1164355448580391</v>
      </c>
      <c r="J47">
        <v>0.52607908891580979</v>
      </c>
      <c r="K47">
        <v>-3.5248968317784541</v>
      </c>
      <c r="L47">
        <v>-0.2655621839552702</v>
      </c>
      <c r="M47">
        <v>-0.18312776229231981</v>
      </c>
      <c r="N47">
        <v>-0.26241709490900111</v>
      </c>
      <c r="O47">
        <v>-0.61634855796286359</v>
      </c>
      <c r="P47">
        <v>0.131127211096177</v>
      </c>
      <c r="Q47">
        <v>-0.52486557418804092</v>
      </c>
      <c r="R47">
        <v>-0.15920994115066661</v>
      </c>
      <c r="S47">
        <v>9.113751274705443</v>
      </c>
      <c r="T47">
        <v>2.210259888524568E-2</v>
      </c>
      <c r="U47">
        <v>9.0916486758201973</v>
      </c>
      <c r="V47">
        <v>-1.903313043942032</v>
      </c>
      <c r="W47">
        <v>4.6286620780019438</v>
      </c>
      <c r="X47">
        <v>9.4936803620183419E-2</v>
      </c>
      <c r="Y47">
        <v>4.5337252743817604</v>
      </c>
      <c r="Z47">
        <v>0.1164355448580391</v>
      </c>
      <c r="AA47">
        <v>-0.52607908891580979</v>
      </c>
      <c r="AB47">
        <v>2.7696665199223802</v>
      </c>
      <c r="AC47">
        <v>4.2801271436345276</v>
      </c>
      <c r="AD47">
        <v>0.44701131941471661</v>
      </c>
      <c r="AE47">
        <v>0.67070260234091816</v>
      </c>
      <c r="AF47">
        <v>-0.68801693386986651</v>
      </c>
      <c r="AG47">
        <v>-0.80790328505830722</v>
      </c>
      <c r="AH47">
        <v>-0.85191886215210888</v>
      </c>
      <c r="AI47">
        <v>-0.36324794440697339</v>
      </c>
      <c r="AJ47">
        <v>0.14491819892492741</v>
      </c>
      <c r="AK47">
        <v>-0.49803895199954767</v>
      </c>
      <c r="AL47">
        <v>-0.19626253380233899</v>
      </c>
      <c r="AM47">
        <v>0.26241709490900111</v>
      </c>
      <c r="AN47">
        <v>-0.61634855796286359</v>
      </c>
      <c r="AO47">
        <v>0.22090901513978309</v>
      </c>
      <c r="AP47">
        <v>4.1345407052570879E-2</v>
      </c>
      <c r="AQ47">
        <v>-0.52486557418804092</v>
      </c>
    </row>
    <row r="48" spans="1:43" x14ac:dyDescent="0.3">
      <c r="A48">
        <v>343</v>
      </c>
      <c r="B48">
        <v>2023</v>
      </c>
      <c r="C48" t="s">
        <v>101</v>
      </c>
      <c r="D48">
        <v>8.6666666666666661</v>
      </c>
      <c r="E48">
        <v>9.2641064637110677</v>
      </c>
      <c r="F48">
        <v>-0.59743979704440164</v>
      </c>
      <c r="G48">
        <v>-0.13900941683569989</v>
      </c>
      <c r="H48">
        <v>-0.88925391709386814</v>
      </c>
      <c r="I48">
        <v>-0.9049441612458311</v>
      </c>
      <c r="J48">
        <v>-0.1725372086037669</v>
      </c>
      <c r="K48">
        <v>-1.8860644374931359</v>
      </c>
      <c r="L48">
        <v>4.7451696527488207E-2</v>
      </c>
      <c r="M48">
        <v>-0.1733949802504782</v>
      </c>
      <c r="N48">
        <v>-0.23602381835090069</v>
      </c>
      <c r="O48">
        <v>2.0612594265555961E-2</v>
      </c>
      <c r="P48">
        <v>0.5822028110374009</v>
      </c>
      <c r="Q48">
        <v>-0.52486557418804092</v>
      </c>
      <c r="R48">
        <v>-0.13900941683569989</v>
      </c>
      <c r="S48">
        <v>9.113751274705443</v>
      </c>
      <c r="T48">
        <v>2.210259888524568E-2</v>
      </c>
      <c r="U48">
        <v>9.0916486758201973</v>
      </c>
      <c r="V48">
        <v>-0.88925391709386814</v>
      </c>
      <c r="W48">
        <v>4.6286620780019438</v>
      </c>
      <c r="X48">
        <v>9.4936803620183419E-2</v>
      </c>
      <c r="Y48">
        <v>4.5337252743817604</v>
      </c>
      <c r="Z48">
        <v>-0.9049441612458311</v>
      </c>
      <c r="AA48">
        <v>0.1725372086037669</v>
      </c>
      <c r="AB48">
        <v>2.7696665199223802</v>
      </c>
      <c r="AC48">
        <v>1.0024623550638909</v>
      </c>
      <c r="AD48">
        <v>0.47520024719161919</v>
      </c>
      <c r="AE48">
        <v>0.43093485467280468</v>
      </c>
      <c r="AF48">
        <v>0.18978374538874929</v>
      </c>
      <c r="AG48">
        <v>-0.2075410949389957</v>
      </c>
      <c r="AH48">
        <v>-0.35646442636090209</v>
      </c>
      <c r="AI48">
        <v>-0.2472031467883461</v>
      </c>
      <c r="AJ48">
        <v>0.71275425547385407</v>
      </c>
      <c r="AK48">
        <v>-0.13973750895515699</v>
      </c>
      <c r="AL48">
        <v>-1.093201687270132</v>
      </c>
      <c r="AM48">
        <v>0.23602381835090069</v>
      </c>
      <c r="AN48">
        <v>2.0612594265555961E-2</v>
      </c>
      <c r="AO48">
        <v>0.60097868951577182</v>
      </c>
      <c r="AP48">
        <v>0.56342693255903009</v>
      </c>
      <c r="AQ48">
        <v>-0.52486557418804092</v>
      </c>
    </row>
    <row r="49" spans="1:43" x14ac:dyDescent="0.3">
      <c r="A49">
        <v>366</v>
      </c>
      <c r="B49">
        <v>2023</v>
      </c>
      <c r="C49" t="s">
        <v>102</v>
      </c>
      <c r="D49">
        <v>2</v>
      </c>
      <c r="E49">
        <v>3.164006540488439</v>
      </c>
      <c r="F49">
        <v>-1.164006540488439</v>
      </c>
      <c r="G49">
        <v>-0.41383991950913179</v>
      </c>
      <c r="H49">
        <v>-1.840092051344165</v>
      </c>
      <c r="I49">
        <v>-1.292644075335015</v>
      </c>
      <c r="J49">
        <v>-4.3918041706039812</v>
      </c>
      <c r="K49">
        <v>-3.1881896902688212</v>
      </c>
      <c r="L49">
        <v>-0.42867314217605063</v>
      </c>
      <c r="M49">
        <v>-0.37679337797406898</v>
      </c>
      <c r="N49">
        <v>-1.1164201771399931</v>
      </c>
      <c r="O49">
        <v>0.27761340428077841</v>
      </c>
      <c r="P49">
        <v>0.64229253579995604</v>
      </c>
      <c r="Q49">
        <v>-0.52486557418804092</v>
      </c>
      <c r="R49">
        <v>-0.41383991950913179</v>
      </c>
      <c r="S49">
        <v>9.113751274705443</v>
      </c>
      <c r="T49">
        <v>2.210259888524568E-2</v>
      </c>
      <c r="U49">
        <v>9.0916486758201973</v>
      </c>
      <c r="V49">
        <v>-1.840092051344165</v>
      </c>
      <c r="W49">
        <v>4.6286620780019438</v>
      </c>
      <c r="X49">
        <v>9.4936803620183419E-2</v>
      </c>
      <c r="Y49">
        <v>4.5337252743817604</v>
      </c>
      <c r="Z49">
        <v>-1.292644075335015</v>
      </c>
      <c r="AA49">
        <v>4.3918041706039812</v>
      </c>
      <c r="AB49">
        <v>2.7696665199223802</v>
      </c>
      <c r="AC49">
        <v>3.6067128606152621</v>
      </c>
      <c r="AD49">
        <v>0.2398621163613181</v>
      </c>
      <c r="AE49">
        <v>0.46430207146618507</v>
      </c>
      <c r="AF49">
        <v>-1.349979568206656</v>
      </c>
      <c r="AG49">
        <v>-1.1457506861611151</v>
      </c>
      <c r="AH49">
        <v>-0.2358391431504554</v>
      </c>
      <c r="AI49">
        <v>-0.5446336433655804</v>
      </c>
      <c r="AJ49">
        <v>-0.60174649523082824</v>
      </c>
      <c r="AK49">
        <v>-0.16968533852575651</v>
      </c>
      <c r="AL49">
        <v>-0.35894830016562229</v>
      </c>
      <c r="AM49">
        <v>1.1164201771399931</v>
      </c>
      <c r="AN49">
        <v>0.27761340428077841</v>
      </c>
      <c r="AO49">
        <v>0.76197285129050774</v>
      </c>
      <c r="AP49">
        <v>0.52261222030940435</v>
      </c>
      <c r="AQ49">
        <v>-0.52486557418804092</v>
      </c>
    </row>
    <row r="50" spans="1:43" x14ac:dyDescent="0.3">
      <c r="A50">
        <v>369</v>
      </c>
      <c r="B50">
        <v>2023</v>
      </c>
      <c r="C50" t="s">
        <v>104</v>
      </c>
      <c r="D50">
        <v>12</v>
      </c>
      <c r="E50">
        <v>11.71504817230919</v>
      </c>
      <c r="F50">
        <v>0.28495182769081501</v>
      </c>
      <c r="G50">
        <v>0.48571197667314892</v>
      </c>
      <c r="H50">
        <v>-0.80485893316625357</v>
      </c>
      <c r="I50">
        <v>-1.333378762254521</v>
      </c>
      <c r="J50">
        <v>0.38716477965399049</v>
      </c>
      <c r="K50">
        <v>0.30213081591089108</v>
      </c>
      <c r="L50">
        <v>-0.13024385135621991</v>
      </c>
      <c r="M50">
        <v>-0.15132805347671219</v>
      </c>
      <c r="N50">
        <v>-5.9633383753660292E-2</v>
      </c>
      <c r="O50">
        <v>1.046934822738925</v>
      </c>
      <c r="P50">
        <v>0.51850680934202287</v>
      </c>
      <c r="Q50">
        <v>-0.52486557418804092</v>
      </c>
      <c r="R50">
        <v>0.48571197667314892</v>
      </c>
      <c r="S50">
        <v>9.113751274705443</v>
      </c>
      <c r="T50">
        <v>2.210259888524568E-2</v>
      </c>
      <c r="U50">
        <v>9.0916486758201973</v>
      </c>
      <c r="V50">
        <v>-0.80485893316625357</v>
      </c>
      <c r="W50">
        <v>4.6286620780019438</v>
      </c>
      <c r="X50">
        <v>9.4936803620183419E-2</v>
      </c>
      <c r="Y50">
        <v>4.5337252743817604</v>
      </c>
      <c r="Z50">
        <v>-1.333378762254521</v>
      </c>
      <c r="AA50">
        <v>-0.38716477965399049</v>
      </c>
      <c r="AB50">
        <v>-0.36105429762281449</v>
      </c>
      <c r="AC50">
        <v>-0.24320733419896781</v>
      </c>
      <c r="AD50">
        <v>0.53811325980805758</v>
      </c>
      <c r="AE50">
        <v>0.45069734553372759</v>
      </c>
      <c r="AF50">
        <v>-0.3153569940429079</v>
      </c>
      <c r="AG50">
        <v>-0.46735853805311761</v>
      </c>
      <c r="AH50">
        <v>-0.4736609256881798</v>
      </c>
      <c r="AI50">
        <v>-0.51389725569489952</v>
      </c>
      <c r="AJ50">
        <v>-0.3174149758520331</v>
      </c>
      <c r="AK50">
        <v>0.15041818415723601</v>
      </c>
      <c r="AL50">
        <v>-0.28698736873533931</v>
      </c>
      <c r="AM50">
        <v>5.9633383753660292E-2</v>
      </c>
      <c r="AN50">
        <v>1.046934822738925</v>
      </c>
      <c r="AO50">
        <v>0.47388294365497219</v>
      </c>
      <c r="AP50">
        <v>0.56313067502907355</v>
      </c>
      <c r="AQ50">
        <v>-0.52486557418804092</v>
      </c>
    </row>
    <row r="51" spans="1:43" x14ac:dyDescent="0.3">
      <c r="A51">
        <v>419</v>
      </c>
      <c r="B51">
        <v>2023</v>
      </c>
      <c r="C51" t="s">
        <v>105</v>
      </c>
      <c r="D51">
        <v>8.6666666666666661</v>
      </c>
      <c r="E51">
        <v>9.8916970095239662</v>
      </c>
      <c r="F51">
        <v>-1.2250303428572999</v>
      </c>
      <c r="G51">
        <v>0.87279748302931315</v>
      </c>
      <c r="H51">
        <v>-0.48519541192477372</v>
      </c>
      <c r="I51">
        <v>-0.44188725935057388</v>
      </c>
      <c r="J51">
        <v>0.63776764356746352</v>
      </c>
      <c r="K51">
        <v>0.30213081591089108</v>
      </c>
      <c r="L51">
        <v>-6.0723412256376043E-2</v>
      </c>
      <c r="M51">
        <v>-1.528561552369494</v>
      </c>
      <c r="N51">
        <v>-1.8050346537390169</v>
      </c>
      <c r="O51">
        <v>0.62156130594593051</v>
      </c>
      <c r="P51">
        <v>-0.17045242360147039</v>
      </c>
      <c r="Q51">
        <v>-0.52486557418804092</v>
      </c>
      <c r="R51">
        <v>0.87279748302931315</v>
      </c>
      <c r="S51">
        <v>9.113751274705443</v>
      </c>
      <c r="T51">
        <v>2.210259888524568E-2</v>
      </c>
      <c r="U51">
        <v>9.0916486758201973</v>
      </c>
      <c r="V51">
        <v>-0.48519541192477372</v>
      </c>
      <c r="W51">
        <v>4.6286620780019438</v>
      </c>
      <c r="X51">
        <v>9.4936803620183419E-2</v>
      </c>
      <c r="Y51">
        <v>4.5337252743817604</v>
      </c>
      <c r="Z51">
        <v>-0.44188725935057388</v>
      </c>
      <c r="AA51">
        <v>-0.63776764356746352</v>
      </c>
      <c r="AB51">
        <v>-0.36105429762281449</v>
      </c>
      <c r="AC51">
        <v>-0.24320733419896781</v>
      </c>
      <c r="AD51">
        <v>-1.6903095121197349</v>
      </c>
      <c r="AE51">
        <v>-0.47653121962205808</v>
      </c>
      <c r="AF51">
        <v>0.51454340287199474</v>
      </c>
      <c r="AG51">
        <v>0.90541448894760568</v>
      </c>
      <c r="AH51">
        <v>0.33475841846894472</v>
      </c>
      <c r="AI51">
        <v>4.778394791499134E-2</v>
      </c>
      <c r="AJ51">
        <v>-1.53555976921391</v>
      </c>
      <c r="AK51">
        <v>-0.82202001735421537</v>
      </c>
      <c r="AL51">
        <v>-2.228104870540355</v>
      </c>
      <c r="AM51">
        <v>1.8050346537390169</v>
      </c>
      <c r="AN51">
        <v>0.62156130594593051</v>
      </c>
      <c r="AO51">
        <v>-5.9173244435866093E-2</v>
      </c>
      <c r="AP51">
        <v>-0.28173160276707471</v>
      </c>
      <c r="AQ51">
        <v>-0.52486557418804092</v>
      </c>
    </row>
    <row r="52" spans="1:43" x14ac:dyDescent="0.3">
      <c r="A52">
        <v>423</v>
      </c>
      <c r="B52">
        <v>2023</v>
      </c>
      <c r="C52" t="s">
        <v>107</v>
      </c>
      <c r="D52">
        <v>13.33333333333333</v>
      </c>
      <c r="E52">
        <v>12.4338120378999</v>
      </c>
      <c r="F52">
        <v>0.89952129543343418</v>
      </c>
      <c r="G52">
        <v>1.042537050211779</v>
      </c>
      <c r="H52">
        <v>-0.64672565185035946</v>
      </c>
      <c r="I52">
        <v>3.7149166030791582E-2</v>
      </c>
      <c r="J52">
        <v>0.43009256372748228</v>
      </c>
      <c r="K52">
        <v>-1.8860644374931359</v>
      </c>
      <c r="L52">
        <v>0.53826036054498905</v>
      </c>
      <c r="M52">
        <v>0.76023757205207598</v>
      </c>
      <c r="N52">
        <v>-0.43288987907795151</v>
      </c>
      <c r="O52">
        <v>-0.77295418362798829</v>
      </c>
      <c r="P52">
        <v>-1.3808465117764881</v>
      </c>
      <c r="Q52">
        <v>1.9052497423687671</v>
      </c>
      <c r="R52">
        <v>1.042537050211779</v>
      </c>
      <c r="S52">
        <v>9.113751274705443</v>
      </c>
      <c r="T52">
        <v>2.210259888524568E-2</v>
      </c>
      <c r="U52">
        <v>9.0916486758201973</v>
      </c>
      <c r="V52">
        <v>-0.64672565185035946</v>
      </c>
      <c r="W52">
        <v>4.6286620780019438</v>
      </c>
      <c r="X52">
        <v>9.4936803620183419E-2</v>
      </c>
      <c r="Y52">
        <v>4.5337252743817604</v>
      </c>
      <c r="Z52">
        <v>3.7149166030791582E-2</v>
      </c>
      <c r="AA52">
        <v>-0.43009256372748228</v>
      </c>
      <c r="AB52">
        <v>2.7696665199223802</v>
      </c>
      <c r="AC52">
        <v>1.0024623550638909</v>
      </c>
      <c r="AD52">
        <v>0.93267685191527405</v>
      </c>
      <c r="AE52">
        <v>0.46058158075100619</v>
      </c>
      <c r="AF52">
        <v>0.55995793389389548</v>
      </c>
      <c r="AG52">
        <v>0.5650071646178636</v>
      </c>
      <c r="AH52">
        <v>0.50589674785543881</v>
      </c>
      <c r="AI52">
        <v>0.2054418842364564</v>
      </c>
      <c r="AJ52">
        <v>0.60940653945779999</v>
      </c>
      <c r="AK52">
        <v>1.1756569667297989</v>
      </c>
      <c r="AL52">
        <v>0.49564920996862871</v>
      </c>
      <c r="AM52">
        <v>0.43288987907795151</v>
      </c>
      <c r="AN52">
        <v>-0.77295418362798829</v>
      </c>
      <c r="AO52">
        <v>-1.416371705008389</v>
      </c>
      <c r="AP52">
        <v>-1.345321318544588</v>
      </c>
      <c r="AQ52">
        <v>1.9052497423687671</v>
      </c>
    </row>
    <row r="53" spans="1:43" x14ac:dyDescent="0.3">
      <c r="A53">
        <v>433</v>
      </c>
      <c r="B53">
        <v>2023</v>
      </c>
      <c r="C53" t="s">
        <v>109</v>
      </c>
      <c r="D53">
        <v>6.6666666666666679</v>
      </c>
      <c r="E53">
        <v>8.8100652387285798</v>
      </c>
      <c r="F53">
        <v>-2.143398572061912</v>
      </c>
      <c r="G53">
        <v>-0.30318014469099303</v>
      </c>
      <c r="H53">
        <v>0.43789323066541952</v>
      </c>
      <c r="I53">
        <v>-0.6304107085664632</v>
      </c>
      <c r="J53">
        <v>0.36186600557334597</v>
      </c>
      <c r="K53">
        <v>0.30213081591089108</v>
      </c>
      <c r="L53">
        <v>-1.89661659414805</v>
      </c>
      <c r="M53">
        <v>0.37255289213369219</v>
      </c>
      <c r="N53">
        <v>0.4437280738038763</v>
      </c>
      <c r="O53">
        <v>9.8799818221529719E-3</v>
      </c>
      <c r="P53">
        <v>1.008266091242874</v>
      </c>
      <c r="Q53">
        <v>-0.52486557418804092</v>
      </c>
      <c r="R53">
        <v>-0.30318014469099303</v>
      </c>
      <c r="S53">
        <v>9.113751274705443</v>
      </c>
      <c r="T53">
        <v>2.210259888524568E-2</v>
      </c>
      <c r="U53">
        <v>9.0916486758201973</v>
      </c>
      <c r="V53">
        <v>0.43789323066541952</v>
      </c>
      <c r="W53">
        <v>4.6286620780019438</v>
      </c>
      <c r="X53">
        <v>9.4936803620183419E-2</v>
      </c>
      <c r="Y53">
        <v>4.5337252743817604</v>
      </c>
      <c r="Z53">
        <v>-0.6304107085664632</v>
      </c>
      <c r="AA53">
        <v>-0.36186600557334597</v>
      </c>
      <c r="AB53">
        <v>-0.36105429762281449</v>
      </c>
      <c r="AC53">
        <v>-0.24320733419896781</v>
      </c>
      <c r="AD53">
        <v>-1.22321024821667</v>
      </c>
      <c r="AE53">
        <v>-2.9151568165499691</v>
      </c>
      <c r="AF53">
        <v>-1.823121440352341</v>
      </c>
      <c r="AG53">
        <v>-1.952422926763431</v>
      </c>
      <c r="AH53">
        <v>-1.9882797332159241</v>
      </c>
      <c r="AI53">
        <v>-1.477508399789965</v>
      </c>
      <c r="AJ53">
        <v>-0.37329892510416718</v>
      </c>
      <c r="AK53">
        <v>0.87617867102380365</v>
      </c>
      <c r="AL53">
        <v>0.61477893048144006</v>
      </c>
      <c r="AM53">
        <v>-0.4437280738038763</v>
      </c>
      <c r="AN53">
        <v>9.8799818221529719E-3</v>
      </c>
      <c r="AO53">
        <v>0.87642879759684345</v>
      </c>
      <c r="AP53">
        <v>1.1401033848889059</v>
      </c>
      <c r="AQ53">
        <v>-0.52486557418804092</v>
      </c>
    </row>
    <row r="54" spans="1:43" x14ac:dyDescent="0.3">
      <c r="A54">
        <v>436</v>
      </c>
      <c r="B54">
        <v>2023</v>
      </c>
      <c r="C54" t="s">
        <v>110</v>
      </c>
      <c r="D54">
        <v>18.333333333333329</v>
      </c>
      <c r="E54">
        <v>16.47360066950332</v>
      </c>
      <c r="F54">
        <v>1.8597326638300049</v>
      </c>
      <c r="G54">
        <v>1.3119534870175309</v>
      </c>
      <c r="H54">
        <v>0.77176128300182367</v>
      </c>
      <c r="I54">
        <v>0.30207744065840098</v>
      </c>
      <c r="J54">
        <v>0.47572956795138982</v>
      </c>
      <c r="K54">
        <v>0.30213081591089108</v>
      </c>
      <c r="L54">
        <v>0.35653165883800431</v>
      </c>
      <c r="M54">
        <v>5.5545578205381238E-2</v>
      </c>
      <c r="N54">
        <v>-9.1110838848742007E-2</v>
      </c>
      <c r="O54">
        <v>0.70398259716791933</v>
      </c>
      <c r="P54">
        <v>1.083351896688225</v>
      </c>
      <c r="Q54">
        <v>-0.52486557418804092</v>
      </c>
      <c r="R54">
        <v>1.3119534870175309</v>
      </c>
      <c r="S54">
        <v>9.113751274705443</v>
      </c>
      <c r="T54">
        <v>2.210259888524568E-2</v>
      </c>
      <c r="U54">
        <v>9.0916486758201973</v>
      </c>
      <c r="V54">
        <v>0.77176128300182367</v>
      </c>
      <c r="W54">
        <v>4.6286620780019438</v>
      </c>
      <c r="X54">
        <v>9.4936803620183419E-2</v>
      </c>
      <c r="Y54">
        <v>4.5337252743817604</v>
      </c>
      <c r="Z54">
        <v>0.30207744065840098</v>
      </c>
      <c r="AA54">
        <v>-0.47572956795138982</v>
      </c>
      <c r="AB54">
        <v>-0.36105429762281449</v>
      </c>
      <c r="AC54">
        <v>-0.24320733419896781</v>
      </c>
      <c r="AD54">
        <v>0.56437877077331677</v>
      </c>
      <c r="AE54">
        <v>-1.781130676830142</v>
      </c>
      <c r="AF54">
        <v>1.0165901156471191</v>
      </c>
      <c r="AG54">
        <v>0.9551739904301515</v>
      </c>
      <c r="AH54">
        <v>0.67331295020611448</v>
      </c>
      <c r="AI54">
        <v>0.71086480280146513</v>
      </c>
      <c r="AJ54">
        <v>-0.23481699525336311</v>
      </c>
      <c r="AK54">
        <v>0.40196345236869052</v>
      </c>
      <c r="AL54">
        <v>-5.0972249918362553E-4</v>
      </c>
      <c r="AM54">
        <v>9.1110838848742007E-2</v>
      </c>
      <c r="AN54">
        <v>0.70398259716791933</v>
      </c>
      <c r="AO54">
        <v>0.91176212683691094</v>
      </c>
      <c r="AP54">
        <v>1.2549416665395401</v>
      </c>
      <c r="AQ54">
        <v>-0.52486557418804092</v>
      </c>
    </row>
    <row r="55" spans="1:43" x14ac:dyDescent="0.3">
      <c r="A55">
        <v>439</v>
      </c>
      <c r="B55">
        <v>2023</v>
      </c>
      <c r="C55" t="s">
        <v>112</v>
      </c>
      <c r="D55">
        <v>9.3333333333333339</v>
      </c>
      <c r="E55">
        <v>9.9512039401842589</v>
      </c>
      <c r="F55">
        <v>-0.61787060685092499</v>
      </c>
      <c r="G55">
        <v>-0.55121196178253584</v>
      </c>
      <c r="H55">
        <v>-0.43186826881674528</v>
      </c>
      <c r="I55">
        <v>-0.48187972796607992</v>
      </c>
      <c r="J55">
        <v>0.43848733039074289</v>
      </c>
      <c r="K55">
        <v>0.30213081591089108</v>
      </c>
      <c r="L55">
        <v>-0.18831597336588829</v>
      </c>
      <c r="M55">
        <v>-0.72207751805196452</v>
      </c>
      <c r="N55">
        <v>-0.86037761213004427</v>
      </c>
      <c r="O55">
        <v>-0.5067466024564975</v>
      </c>
      <c r="P55">
        <v>0.56919835447634437</v>
      </c>
      <c r="Q55">
        <v>-0.52486557418804092</v>
      </c>
      <c r="R55">
        <v>-0.55121196178253584</v>
      </c>
      <c r="S55">
        <v>9.113751274705443</v>
      </c>
      <c r="T55">
        <v>2.210259888524568E-2</v>
      </c>
      <c r="U55">
        <v>9.0916486758201973</v>
      </c>
      <c r="V55">
        <v>-0.43186826881674528</v>
      </c>
      <c r="W55">
        <v>4.6286620780019438</v>
      </c>
      <c r="X55">
        <v>9.4936803620183419E-2</v>
      </c>
      <c r="Y55">
        <v>4.5337252743817604</v>
      </c>
      <c r="Z55">
        <v>-0.48187972796607992</v>
      </c>
      <c r="AA55">
        <v>-0.43848733039074289</v>
      </c>
      <c r="AB55">
        <v>-0.36105429762281449</v>
      </c>
      <c r="AC55">
        <v>-0.24320733419896781</v>
      </c>
      <c r="AD55">
        <v>-1.0178105181936881</v>
      </c>
      <c r="AE55">
        <v>-0.27174995728745749</v>
      </c>
      <c r="AF55">
        <v>0.1661741487873438</v>
      </c>
      <c r="AG55">
        <v>-7.1626661747495116E-2</v>
      </c>
      <c r="AH55">
        <v>0.108033173430902</v>
      </c>
      <c r="AI55">
        <v>-4.2916025184935702E-2</v>
      </c>
      <c r="AJ55">
        <v>-0.85342474740086549</v>
      </c>
      <c r="AK55">
        <v>-0.27924654422756418</v>
      </c>
      <c r="AL55">
        <v>-1.0335612625274639</v>
      </c>
      <c r="AM55">
        <v>0.86037761213004427</v>
      </c>
      <c r="AN55">
        <v>-0.5067466024564975</v>
      </c>
      <c r="AO55">
        <v>0.68451256039231156</v>
      </c>
      <c r="AP55">
        <v>0.45388414856037718</v>
      </c>
      <c r="AQ55">
        <v>-0.52486557418804092</v>
      </c>
    </row>
    <row r="56" spans="1:43" x14ac:dyDescent="0.3">
      <c r="A56">
        <v>443</v>
      </c>
      <c r="B56">
        <v>2023</v>
      </c>
      <c r="C56" t="s">
        <v>113</v>
      </c>
      <c r="D56">
        <v>18.333333333333329</v>
      </c>
      <c r="E56">
        <v>18.553258784210222</v>
      </c>
      <c r="F56">
        <v>-0.2199254508768895</v>
      </c>
      <c r="G56">
        <v>0.9787425957034932</v>
      </c>
      <c r="H56">
        <v>0.18055862791879809</v>
      </c>
      <c r="I56">
        <v>-0.75126131241768623</v>
      </c>
      <c r="J56">
        <v>0.42805110910709848</v>
      </c>
      <c r="K56">
        <v>0.30213081591089108</v>
      </c>
      <c r="L56">
        <v>-4.9126405227669097E-2</v>
      </c>
      <c r="M56">
        <v>3.2533741136032379</v>
      </c>
      <c r="N56">
        <v>1.5256857183077239</v>
      </c>
      <c r="O56">
        <v>3.0290543781599748</v>
      </c>
      <c r="P56">
        <v>0.76978543712860947</v>
      </c>
      <c r="Q56">
        <v>-0.52486557418804092</v>
      </c>
      <c r="R56">
        <v>0.9787425957034932</v>
      </c>
      <c r="S56">
        <v>9.113751274705443</v>
      </c>
      <c r="T56">
        <v>2.210259888524568E-2</v>
      </c>
      <c r="U56">
        <v>9.0916486758201973</v>
      </c>
      <c r="V56">
        <v>0.18055862791879809</v>
      </c>
      <c r="W56">
        <v>4.6286620780019438</v>
      </c>
      <c r="X56">
        <v>9.4936803620183419E-2</v>
      </c>
      <c r="Y56">
        <v>4.5337252743817604</v>
      </c>
      <c r="Z56">
        <v>-0.75126131241768623</v>
      </c>
      <c r="AA56">
        <v>-0.42805110910709848</v>
      </c>
      <c r="AB56">
        <v>-0.36105429762281449</v>
      </c>
      <c r="AC56">
        <v>-0.24320733419896781</v>
      </c>
      <c r="AD56">
        <v>-0.81649177688410557</v>
      </c>
      <c r="AE56">
        <v>0.45884989622655142</v>
      </c>
      <c r="AF56">
        <v>-0.25802116263041308</v>
      </c>
      <c r="AG56">
        <v>4.5599423307715041E-2</v>
      </c>
      <c r="AH56">
        <v>0.19818515331114861</v>
      </c>
      <c r="AI56">
        <v>7.7120035303089043E-2</v>
      </c>
      <c r="AJ56">
        <v>2.0653463079109331</v>
      </c>
      <c r="AK56">
        <v>3.8895243323630551</v>
      </c>
      <c r="AL56">
        <v>3.8052517005357269</v>
      </c>
      <c r="AM56">
        <v>-1.5256857183077239</v>
      </c>
      <c r="AN56">
        <v>3.0290543781599748</v>
      </c>
      <c r="AO56">
        <v>0.62643176827171543</v>
      </c>
      <c r="AP56">
        <v>0.91313910598550352</v>
      </c>
      <c r="AQ56">
        <v>-0.52486557418804092</v>
      </c>
    </row>
    <row r="57" spans="1:43" x14ac:dyDescent="0.3">
      <c r="A57">
        <v>446</v>
      </c>
      <c r="B57">
        <v>2023</v>
      </c>
      <c r="C57" t="s">
        <v>114</v>
      </c>
      <c r="D57">
        <v>1.3333333333333319</v>
      </c>
      <c r="E57">
        <v>-3.4806003109613748</v>
      </c>
      <c r="F57">
        <v>4.8139336442947069</v>
      </c>
      <c r="G57">
        <v>-0.56884846272011869</v>
      </c>
      <c r="H57">
        <v>-0.83555501924950693</v>
      </c>
      <c r="I57">
        <v>-4</v>
      </c>
      <c r="J57">
        <v>-6.8123118875173612</v>
      </c>
      <c r="K57">
        <v>-3.1881896902688212</v>
      </c>
      <c r="L57">
        <v>-1.5066692216325659</v>
      </c>
      <c r="M57">
        <v>-0.63123436398000321</v>
      </c>
      <c r="N57">
        <v>-3.743023495409374</v>
      </c>
      <c r="O57">
        <v>-2.8608740221959339</v>
      </c>
      <c r="P57">
        <v>0.62099610078056666</v>
      </c>
      <c r="Q57">
        <v>-0.52486557418804092</v>
      </c>
      <c r="R57">
        <v>-0.56884846272011869</v>
      </c>
      <c r="S57">
        <v>9.113751274705443</v>
      </c>
      <c r="T57">
        <v>2.210259888524568E-2</v>
      </c>
      <c r="U57">
        <v>9.0916486758201973</v>
      </c>
      <c r="V57">
        <v>-0.83555501924950693</v>
      </c>
      <c r="W57">
        <v>4.6286620780019438</v>
      </c>
      <c r="X57">
        <v>9.4936803620183419E-2</v>
      </c>
      <c r="Y57">
        <v>4.5337252743817604</v>
      </c>
      <c r="Z57">
        <v>-4</v>
      </c>
      <c r="AA57">
        <v>6.8123118875173612</v>
      </c>
      <c r="AB57">
        <v>2.7696665199223802</v>
      </c>
      <c r="AC57">
        <v>3.6067128606152621</v>
      </c>
      <c r="AD57">
        <v>-0.88350807869871639</v>
      </c>
      <c r="AE57">
        <v>-1.8459384917919739</v>
      </c>
      <c r="AF57">
        <v>-2.036831081708848</v>
      </c>
      <c r="AG57">
        <v>-1.4710290232211201</v>
      </c>
      <c r="AH57">
        <v>-1.420835879116769</v>
      </c>
      <c r="AI57">
        <v>-1.381872775257968</v>
      </c>
      <c r="AJ57">
        <v>-0.84808695314494409</v>
      </c>
      <c r="AK57">
        <v>-1.3385582017661259</v>
      </c>
      <c r="AL57">
        <v>0.29294206297106101</v>
      </c>
      <c r="AM57">
        <v>3.743023495409374</v>
      </c>
      <c r="AN57">
        <v>-2.8608740221959339</v>
      </c>
      <c r="AO57">
        <v>0.94124429545373789</v>
      </c>
      <c r="AP57">
        <v>0.30074790610739532</v>
      </c>
      <c r="AQ57">
        <v>-0.52486557418804092</v>
      </c>
    </row>
    <row r="58" spans="1:43" x14ac:dyDescent="0.3">
      <c r="A58">
        <v>449</v>
      </c>
      <c r="B58">
        <v>2023</v>
      </c>
      <c r="C58" t="s">
        <v>115</v>
      </c>
      <c r="D58">
        <v>11</v>
      </c>
      <c r="E58">
        <v>14.125177535066751</v>
      </c>
      <c r="F58">
        <v>-3.125177535066753</v>
      </c>
      <c r="G58">
        <v>0.60107453907240571</v>
      </c>
      <c r="H58">
        <v>-5.2166927735445207E-2</v>
      </c>
      <c r="I58">
        <v>-0.63482035849022522</v>
      </c>
      <c r="J58">
        <v>0.65917429855877807</v>
      </c>
      <c r="K58">
        <v>0.30213081591089108</v>
      </c>
      <c r="L58">
        <v>3.157847196277605E-2</v>
      </c>
      <c r="M58">
        <v>0.54911915076265505</v>
      </c>
      <c r="N58">
        <v>0.57124927317406593</v>
      </c>
      <c r="O58">
        <v>9.2883161670591324E-2</v>
      </c>
      <c r="P58">
        <v>0.27625579787971632</v>
      </c>
      <c r="Q58">
        <v>-0.52486557418804092</v>
      </c>
      <c r="R58">
        <v>0.60107453907240571</v>
      </c>
      <c r="S58">
        <v>9.113751274705443</v>
      </c>
      <c r="T58">
        <v>2.210259888524568E-2</v>
      </c>
      <c r="U58">
        <v>9.0916486758201973</v>
      </c>
      <c r="V58">
        <v>-5.2166927735445207E-2</v>
      </c>
      <c r="W58">
        <v>4.6286620780019438</v>
      </c>
      <c r="X58">
        <v>9.4936803620183419E-2</v>
      </c>
      <c r="Y58">
        <v>4.5337252743817604</v>
      </c>
      <c r="Z58">
        <v>-0.63482035849022522</v>
      </c>
      <c r="AA58">
        <v>-0.65917429855877807</v>
      </c>
      <c r="AB58">
        <v>-0.36105429762281449</v>
      </c>
      <c r="AC58">
        <v>-0.24320733419896781</v>
      </c>
      <c r="AD58">
        <v>-1.273927125710931</v>
      </c>
      <c r="AE58">
        <v>0.67225489965634799</v>
      </c>
      <c r="AF58">
        <v>4.1157324422499357E-2</v>
      </c>
      <c r="AG58">
        <v>0.17463477265469959</v>
      </c>
      <c r="AH58">
        <v>0.48953400232961769</v>
      </c>
      <c r="AI58">
        <v>8.5816958424422621E-2</v>
      </c>
      <c r="AJ58">
        <v>0.63501792785945044</v>
      </c>
      <c r="AK58">
        <v>0.4069135068431699</v>
      </c>
      <c r="AL58">
        <v>0.60542601758534498</v>
      </c>
      <c r="AM58">
        <v>-0.57124927317406593</v>
      </c>
      <c r="AN58">
        <v>9.2883161670591324E-2</v>
      </c>
      <c r="AO58">
        <v>0.29580447095266937</v>
      </c>
      <c r="AP58">
        <v>0.25670712480676322</v>
      </c>
      <c r="AQ58">
        <v>-0.52486557418804092</v>
      </c>
    </row>
    <row r="59" spans="1:43" x14ac:dyDescent="0.3">
      <c r="A59">
        <v>453</v>
      </c>
      <c r="B59">
        <v>2023</v>
      </c>
      <c r="C59" t="s">
        <v>116</v>
      </c>
      <c r="D59">
        <v>19.333333333333329</v>
      </c>
      <c r="E59">
        <v>17.746796911392501</v>
      </c>
      <c r="F59">
        <v>1.586536421940828</v>
      </c>
      <c r="G59">
        <v>1.531112611355222</v>
      </c>
      <c r="H59">
        <v>0.31259063346144378</v>
      </c>
      <c r="I59">
        <v>-0.39944983632189301</v>
      </c>
      <c r="J59">
        <v>0.55790288617562511</v>
      </c>
      <c r="K59">
        <v>0.30213081591089108</v>
      </c>
      <c r="L59">
        <v>0.53384236855443135</v>
      </c>
      <c r="M59">
        <v>1.0657740289527931</v>
      </c>
      <c r="N59">
        <v>0.39944293397902197</v>
      </c>
      <c r="O59">
        <v>1.746739946623896</v>
      </c>
      <c r="P59">
        <v>0.73346296701120939</v>
      </c>
      <c r="Q59">
        <v>-0.52486557418804092</v>
      </c>
      <c r="R59">
        <v>1.531112611355222</v>
      </c>
      <c r="S59">
        <v>9.113751274705443</v>
      </c>
      <c r="T59">
        <v>2.210259888524568E-2</v>
      </c>
      <c r="U59">
        <v>9.0916486758201973</v>
      </c>
      <c r="V59">
        <v>0.31259063346144378</v>
      </c>
      <c r="W59">
        <v>4.6286620780019438</v>
      </c>
      <c r="X59">
        <v>9.4936803620183419E-2</v>
      </c>
      <c r="Y59">
        <v>4.5337252743817604</v>
      </c>
      <c r="Z59">
        <v>-0.39944983632189301</v>
      </c>
      <c r="AA59">
        <v>-0.55790288617562511</v>
      </c>
      <c r="AB59">
        <v>-0.36105429762281449</v>
      </c>
      <c r="AC59">
        <v>-0.24320733419896781</v>
      </c>
      <c r="AD59">
        <v>-1.2362348463481521</v>
      </c>
      <c r="AE59">
        <v>1.1587015861989449</v>
      </c>
      <c r="AF59">
        <v>1.074889329726022</v>
      </c>
      <c r="AG59">
        <v>0.79076990588654861</v>
      </c>
      <c r="AH59">
        <v>0.8334578957290234</v>
      </c>
      <c r="AI59">
        <v>0.58147034013420051</v>
      </c>
      <c r="AJ59">
        <v>2.5818092272549822</v>
      </c>
      <c r="AK59">
        <v>0.28175962954675232</v>
      </c>
      <c r="AL59">
        <v>0.33375323005664509</v>
      </c>
      <c r="AM59">
        <v>-0.39944293397902197</v>
      </c>
      <c r="AN59">
        <v>1.746739946623896</v>
      </c>
      <c r="AO59">
        <v>0.46636420270761192</v>
      </c>
      <c r="AP59">
        <v>1.000561731314807</v>
      </c>
      <c r="AQ59">
        <v>-0.52486557418804092</v>
      </c>
    </row>
    <row r="60" spans="1:43" x14ac:dyDescent="0.3">
      <c r="A60">
        <v>456</v>
      </c>
      <c r="B60">
        <v>2023</v>
      </c>
      <c r="C60" t="s">
        <v>117</v>
      </c>
      <c r="D60">
        <v>17.666666666666671</v>
      </c>
      <c r="E60">
        <v>16.888345299166961</v>
      </c>
      <c r="F60">
        <v>0.77832136749970715</v>
      </c>
      <c r="G60">
        <v>1.033151881073981</v>
      </c>
      <c r="H60">
        <v>1.222927824618814</v>
      </c>
      <c r="I60">
        <v>-0.20306760506365559</v>
      </c>
      <c r="J60">
        <v>0.48658552756819751</v>
      </c>
      <c r="K60">
        <v>0.30213081591089108</v>
      </c>
      <c r="L60">
        <v>-7.2493144025945366E-2</v>
      </c>
      <c r="M60">
        <v>0.24216588730930411</v>
      </c>
      <c r="N60">
        <v>0.97420515022531395</v>
      </c>
      <c r="O60">
        <v>0.83524374043657434</v>
      </c>
      <c r="P60">
        <v>1.040677012445278</v>
      </c>
      <c r="Q60">
        <v>-0.52486557418804092</v>
      </c>
      <c r="R60">
        <v>1.033151881073981</v>
      </c>
      <c r="S60">
        <v>9.113751274705443</v>
      </c>
      <c r="T60">
        <v>2.210259888524568E-2</v>
      </c>
      <c r="U60">
        <v>9.0916486758201973</v>
      </c>
      <c r="V60">
        <v>1.222927824618814</v>
      </c>
      <c r="W60">
        <v>4.6286620780019438</v>
      </c>
      <c r="X60">
        <v>9.4936803620183419E-2</v>
      </c>
      <c r="Y60">
        <v>4.5337252743817604</v>
      </c>
      <c r="Z60">
        <v>-0.20306760506365559</v>
      </c>
      <c r="AA60">
        <v>-0.48658552756819751</v>
      </c>
      <c r="AB60">
        <v>-0.36105429762281449</v>
      </c>
      <c r="AC60">
        <v>-0.24320733419896781</v>
      </c>
      <c r="AD60">
        <v>-1.7336382390088081</v>
      </c>
      <c r="AE60">
        <v>-0.28429629868666728</v>
      </c>
      <c r="AF60">
        <v>0.62571552215063819</v>
      </c>
      <c r="AG60">
        <v>0.2683706660050848</v>
      </c>
      <c r="AH60">
        <v>0.27652066927312252</v>
      </c>
      <c r="AI60">
        <v>0.41236881611095733</v>
      </c>
      <c r="AJ60">
        <v>0.1810798755037748</v>
      </c>
      <c r="AK60">
        <v>-0.23717108119449029</v>
      </c>
      <c r="AL60">
        <v>0.782588867618628</v>
      </c>
      <c r="AM60">
        <v>-0.97420515022531395</v>
      </c>
      <c r="AN60">
        <v>0.83524374043657434</v>
      </c>
      <c r="AO60">
        <v>0.88696495891717975</v>
      </c>
      <c r="AP60">
        <v>1.1943890659733769</v>
      </c>
      <c r="AQ60">
        <v>-0.52486557418804092</v>
      </c>
    </row>
    <row r="61" spans="1:43" x14ac:dyDescent="0.3">
      <c r="A61">
        <v>466</v>
      </c>
      <c r="B61">
        <v>2023</v>
      </c>
      <c r="C61" t="s">
        <v>118</v>
      </c>
      <c r="D61">
        <v>19.5</v>
      </c>
      <c r="E61">
        <v>18.361421587464019</v>
      </c>
      <c r="F61">
        <v>1.1385784125359779</v>
      </c>
      <c r="G61">
        <v>1.263656433407371</v>
      </c>
      <c r="H61">
        <v>0.78105958619000015</v>
      </c>
      <c r="I61">
        <v>-9.954998160583392E-2</v>
      </c>
      <c r="J61">
        <v>0.59770171176553788</v>
      </c>
      <c r="K61">
        <v>0.30213081591089108</v>
      </c>
      <c r="L61">
        <v>0.58998504623557957</v>
      </c>
      <c r="M61">
        <v>0.68819970723572255</v>
      </c>
      <c r="N61">
        <v>0.72624726256105665</v>
      </c>
      <c r="O61">
        <v>1.299422763184571</v>
      </c>
      <c r="P61">
        <v>0.56367956427639443</v>
      </c>
      <c r="Q61">
        <v>-0.52486557418804092</v>
      </c>
      <c r="R61">
        <v>1.263656433407371</v>
      </c>
      <c r="S61">
        <v>9.113751274705443</v>
      </c>
      <c r="T61">
        <v>2.210259888524568E-2</v>
      </c>
      <c r="U61">
        <v>9.0916486758201973</v>
      </c>
      <c r="V61">
        <v>0.78105958619000015</v>
      </c>
      <c r="W61">
        <v>4.6286620780019438</v>
      </c>
      <c r="X61">
        <v>9.4936803620183419E-2</v>
      </c>
      <c r="Y61">
        <v>4.5337252743817604</v>
      </c>
      <c r="Z61">
        <v>-9.954998160583392E-2</v>
      </c>
      <c r="AA61">
        <v>-0.59770171176553788</v>
      </c>
      <c r="AB61">
        <v>-0.36105429762281449</v>
      </c>
      <c r="AC61">
        <v>-0.24320733419896781</v>
      </c>
      <c r="AD61">
        <v>-1.374878075204125</v>
      </c>
      <c r="AE61">
        <v>0.78097191972859714</v>
      </c>
      <c r="AF61">
        <v>1.5306690298407151</v>
      </c>
      <c r="AG61">
        <v>0.86498950787418616</v>
      </c>
      <c r="AH61">
        <v>0.77867364430835162</v>
      </c>
      <c r="AI61">
        <v>0.9594842508657524</v>
      </c>
      <c r="AJ61">
        <v>1.5874007114370761</v>
      </c>
      <c r="AK61">
        <v>-7.6294310773914339E-2</v>
      </c>
      <c r="AL61">
        <v>0.55349272104400637</v>
      </c>
      <c r="AM61">
        <v>-0.72624726256105665</v>
      </c>
      <c r="AN61">
        <v>1.299422763184571</v>
      </c>
      <c r="AO61">
        <v>0.8167157764970816</v>
      </c>
      <c r="AP61">
        <v>0.3106433520557072</v>
      </c>
      <c r="AQ61">
        <v>-0.52486557418804092</v>
      </c>
    </row>
    <row r="62" spans="1:43" x14ac:dyDescent="0.3">
      <c r="A62">
        <v>469</v>
      </c>
      <c r="B62">
        <v>2023</v>
      </c>
      <c r="C62" t="s">
        <v>119</v>
      </c>
      <c r="D62">
        <v>7.6666666666666661</v>
      </c>
      <c r="E62">
        <v>7.9545427925833412</v>
      </c>
      <c r="F62">
        <v>-0.28787612591667511</v>
      </c>
      <c r="G62">
        <v>-0.69346667003620988</v>
      </c>
      <c r="H62">
        <v>0.63337952312658286</v>
      </c>
      <c r="I62">
        <v>0.71055946725957231</v>
      </c>
      <c r="J62">
        <v>-1.9262039645589091</v>
      </c>
      <c r="K62">
        <v>0.30213081591089108</v>
      </c>
      <c r="L62">
        <v>-0.93805545796393164</v>
      </c>
      <c r="M62">
        <v>-1.9055701541439389</v>
      </c>
      <c r="N62">
        <v>-1.0524095358875061</v>
      </c>
      <c r="O62">
        <v>-0.16878568821459311</v>
      </c>
      <c r="P62">
        <v>-3.2135148699362071E-2</v>
      </c>
      <c r="Q62">
        <v>-0.52486557418804092</v>
      </c>
      <c r="R62">
        <v>-0.69346667003620988</v>
      </c>
      <c r="S62">
        <v>9.113751274705443</v>
      </c>
      <c r="T62">
        <v>2.210259888524568E-2</v>
      </c>
      <c r="U62">
        <v>9.0916486758201973</v>
      </c>
      <c r="V62">
        <v>0.63337952312658286</v>
      </c>
      <c r="W62">
        <v>4.6286620780019438</v>
      </c>
      <c r="X62">
        <v>9.4936803620183419E-2</v>
      </c>
      <c r="Y62">
        <v>4.5337252743817604</v>
      </c>
      <c r="Z62">
        <v>0.71055946725957231</v>
      </c>
      <c r="AA62">
        <v>1.9262039645589091</v>
      </c>
      <c r="AB62">
        <v>-0.36105429762281449</v>
      </c>
      <c r="AC62">
        <v>-0.24320733419896781</v>
      </c>
      <c r="AD62">
        <v>-1.6920456048592869</v>
      </c>
      <c r="AE62">
        <v>-1.0658732133466791</v>
      </c>
      <c r="AF62">
        <v>-0.53477747822888766</v>
      </c>
      <c r="AG62">
        <v>-1.0746543267972879</v>
      </c>
      <c r="AH62">
        <v>-0.36684533551016379</v>
      </c>
      <c r="AI62">
        <v>-0.89413678904128369</v>
      </c>
      <c r="AJ62">
        <v>-1.4295306260364311</v>
      </c>
      <c r="AK62">
        <v>-1.025632258071129</v>
      </c>
      <c r="AL62">
        <v>-3.261547578324258</v>
      </c>
      <c r="AM62">
        <v>1.0524095358875061</v>
      </c>
      <c r="AN62">
        <v>-0.16878568821459311</v>
      </c>
      <c r="AO62">
        <v>-0.19765885034428821</v>
      </c>
      <c r="AP62">
        <v>0.13338855294556401</v>
      </c>
      <c r="AQ62">
        <v>-0.52486557418804092</v>
      </c>
    </row>
    <row r="63" spans="1:43" x14ac:dyDescent="0.3">
      <c r="A63">
        <v>513</v>
      </c>
      <c r="B63">
        <v>2023</v>
      </c>
      <c r="C63" t="s">
        <v>120</v>
      </c>
      <c r="D63">
        <v>9.6666666666666661</v>
      </c>
      <c r="E63">
        <v>9.8067419611138043</v>
      </c>
      <c r="F63">
        <v>-0.1400752944471382</v>
      </c>
      <c r="G63">
        <v>-0.95600897109680139</v>
      </c>
      <c r="H63">
        <v>0.70474780931907965</v>
      </c>
      <c r="I63">
        <v>1.4619900102087779</v>
      </c>
      <c r="J63">
        <v>-0.33413646687153381</v>
      </c>
      <c r="K63">
        <v>0.30213081591089108</v>
      </c>
      <c r="L63">
        <v>-1.0830267217986811</v>
      </c>
      <c r="M63">
        <v>-1.3279253296971281</v>
      </c>
      <c r="N63">
        <v>0.50907227008245715</v>
      </c>
      <c r="O63">
        <v>-7.3498192918886193E-2</v>
      </c>
      <c r="P63">
        <v>-0.30635435967279978</v>
      </c>
      <c r="Q63">
        <v>-0.52486557418804092</v>
      </c>
      <c r="R63">
        <v>-0.95600897109680139</v>
      </c>
      <c r="S63">
        <v>9.113751274705443</v>
      </c>
      <c r="T63">
        <v>2.210259888524568E-2</v>
      </c>
      <c r="U63">
        <v>9.0916486758201973</v>
      </c>
      <c r="V63">
        <v>0.70474780931907965</v>
      </c>
      <c r="W63">
        <v>4.6286620780019438</v>
      </c>
      <c r="X63">
        <v>9.4936803620183419E-2</v>
      </c>
      <c r="Y63">
        <v>4.5337252743817604</v>
      </c>
      <c r="Z63">
        <v>1.4619900102087779</v>
      </c>
      <c r="AA63">
        <v>0.33413646687153381</v>
      </c>
      <c r="AB63">
        <v>-0.36105429762281449</v>
      </c>
      <c r="AC63">
        <v>-0.24320733419896781</v>
      </c>
      <c r="AD63">
        <v>-0.99459348349685328</v>
      </c>
      <c r="AE63">
        <v>-1.1159736689979129</v>
      </c>
      <c r="AF63">
        <v>-1.0476297598414179</v>
      </c>
      <c r="AG63">
        <v>-1.357105625275016</v>
      </c>
      <c r="AH63">
        <v>-0.70905644874354912</v>
      </c>
      <c r="AI63">
        <v>-1.2738013444373339</v>
      </c>
      <c r="AJ63">
        <v>-0.51153025428567911</v>
      </c>
      <c r="AK63">
        <v>-1.7463601895553089</v>
      </c>
      <c r="AL63">
        <v>-1.7258855452503949</v>
      </c>
      <c r="AM63">
        <v>-0.50907227008245715</v>
      </c>
      <c r="AN63">
        <v>-7.3498192918886193E-2</v>
      </c>
      <c r="AO63">
        <v>-0.50812653521543372</v>
      </c>
      <c r="AP63">
        <v>-0.1045821841301659</v>
      </c>
      <c r="AQ63">
        <v>-0.52486557418804092</v>
      </c>
    </row>
    <row r="64" spans="1:43" x14ac:dyDescent="0.3">
      <c r="A64">
        <v>522</v>
      </c>
      <c r="B64">
        <v>2023</v>
      </c>
      <c r="C64" t="s">
        <v>121</v>
      </c>
      <c r="D64">
        <v>8</v>
      </c>
      <c r="E64">
        <v>9.0186622944317421</v>
      </c>
      <c r="F64">
        <v>-1.0186622944317421</v>
      </c>
      <c r="G64">
        <v>-1.0031151174523441</v>
      </c>
      <c r="H64">
        <v>-0.52985470038356131</v>
      </c>
      <c r="I64">
        <v>0.80757176558233879</v>
      </c>
      <c r="J64">
        <v>0.32857312414746009</v>
      </c>
      <c r="K64">
        <v>0.30213081591089108</v>
      </c>
      <c r="L64">
        <v>-0.96351665305688805</v>
      </c>
      <c r="M64">
        <v>-0.14534465880749509</v>
      </c>
      <c r="N64">
        <v>0.88268993655964856</v>
      </c>
      <c r="O64">
        <v>-1.520060387414127</v>
      </c>
      <c r="P64">
        <v>0.67328863698682007</v>
      </c>
      <c r="Q64">
        <v>-0.52486557418804092</v>
      </c>
      <c r="R64">
        <v>-1.0031151174523441</v>
      </c>
      <c r="S64">
        <v>9.113751274705443</v>
      </c>
      <c r="T64">
        <v>2.210259888524568E-2</v>
      </c>
      <c r="U64">
        <v>9.0916486758201973</v>
      </c>
      <c r="V64">
        <v>-0.52985470038356131</v>
      </c>
      <c r="W64">
        <v>4.6286620780019438</v>
      </c>
      <c r="X64">
        <v>9.4936803620183419E-2</v>
      </c>
      <c r="Y64">
        <v>4.5337252743817604</v>
      </c>
      <c r="Z64">
        <v>0.80757176558233879</v>
      </c>
      <c r="AA64">
        <v>-0.32857312414746009</v>
      </c>
      <c r="AB64">
        <v>-0.36105429762281449</v>
      </c>
      <c r="AC64">
        <v>-0.24320733419896781</v>
      </c>
      <c r="AD64">
        <v>-1.5950741768737779</v>
      </c>
      <c r="AE64">
        <v>2.391364879812486E-2</v>
      </c>
      <c r="AF64">
        <v>-0.60911141264146429</v>
      </c>
      <c r="AG64">
        <v>-1.0964170813999981</v>
      </c>
      <c r="AH64">
        <v>-1.049108857238205</v>
      </c>
      <c r="AI64">
        <v>-1.4553020389860081</v>
      </c>
      <c r="AJ64">
        <v>4.1069281570288982E-2</v>
      </c>
      <c r="AK64">
        <v>-1.086022922659776</v>
      </c>
      <c r="AL64">
        <v>0.60891966466700176</v>
      </c>
      <c r="AM64">
        <v>-0.88268993655964856</v>
      </c>
      <c r="AN64">
        <v>-1.520060387414127</v>
      </c>
      <c r="AO64">
        <v>0.88592101006946034</v>
      </c>
      <c r="AP64">
        <v>0.4606562639041798</v>
      </c>
      <c r="AQ64">
        <v>-0.52486557418804092</v>
      </c>
    </row>
    <row r="65" spans="1:43" x14ac:dyDescent="0.3">
      <c r="A65">
        <v>524</v>
      </c>
      <c r="B65">
        <v>2023</v>
      </c>
      <c r="C65" t="s">
        <v>122</v>
      </c>
      <c r="D65">
        <v>1.6666666666666681</v>
      </c>
      <c r="E65">
        <v>2.4436269518232261</v>
      </c>
      <c r="F65">
        <v>-0.77696028515655757</v>
      </c>
      <c r="G65">
        <v>-0.70272052988260492</v>
      </c>
      <c r="H65">
        <v>-0.17479361449518729</v>
      </c>
      <c r="I65">
        <v>-2.0005456977496578</v>
      </c>
      <c r="J65">
        <v>-2.108122373954795</v>
      </c>
      <c r="K65">
        <v>-3.920499583278287</v>
      </c>
      <c r="L65">
        <v>-0.54734987896581588</v>
      </c>
      <c r="M65">
        <v>-3.485465016546879</v>
      </c>
      <c r="N65">
        <v>-1.453754033948891</v>
      </c>
      <c r="O65">
        <v>-8.9325563558314253E-2</v>
      </c>
      <c r="P65">
        <v>-0.25119191109108419</v>
      </c>
      <c r="Q65">
        <v>-0.52486557418804092</v>
      </c>
      <c r="R65">
        <v>-0.70272052988260492</v>
      </c>
      <c r="S65">
        <v>9.113751274705443</v>
      </c>
      <c r="T65">
        <v>2.210259888524568E-2</v>
      </c>
      <c r="U65">
        <v>9.0916486758201973</v>
      </c>
      <c r="V65">
        <v>-0.17479361449518729</v>
      </c>
      <c r="W65">
        <v>4.6286620780019438</v>
      </c>
      <c r="X65">
        <v>9.4936803620183419E-2</v>
      </c>
      <c r="Y65">
        <v>4.5337252743817604</v>
      </c>
      <c r="Z65">
        <v>-2.0005456977496578</v>
      </c>
      <c r="AA65">
        <v>2.108122373954795</v>
      </c>
      <c r="AB65">
        <v>2.7696665199223802</v>
      </c>
      <c r="AC65">
        <v>5.0713326466341941</v>
      </c>
      <c r="AD65">
        <v>-0.41172348294491212</v>
      </c>
      <c r="AE65">
        <v>-0.63746905215621719</v>
      </c>
      <c r="AF65">
        <v>-0.54907362891341682</v>
      </c>
      <c r="AG65">
        <v>-0.89555737322669104</v>
      </c>
      <c r="AH65">
        <v>-0.2663769175032159</v>
      </c>
      <c r="AI65">
        <v>-0.523898819050442</v>
      </c>
      <c r="AJ65">
        <v>-1.703487277706534</v>
      </c>
      <c r="AK65">
        <v>-1.5009199885290461</v>
      </c>
      <c r="AL65">
        <v>-7.2519877834050588</v>
      </c>
      <c r="AM65">
        <v>1.453754033948891</v>
      </c>
      <c r="AN65">
        <v>-8.9325563558314253E-2</v>
      </c>
      <c r="AO65">
        <v>-0.38962356188962421</v>
      </c>
      <c r="AP65">
        <v>-0.1127602602925443</v>
      </c>
      <c r="AQ65">
        <v>-0.52486557418804092</v>
      </c>
    </row>
    <row r="66" spans="1:43" x14ac:dyDescent="0.3">
      <c r="A66">
        <v>528</v>
      </c>
      <c r="B66">
        <v>2023</v>
      </c>
      <c r="C66" t="s">
        <v>123</v>
      </c>
      <c r="D66">
        <v>20</v>
      </c>
      <c r="E66">
        <v>19.966043566393221</v>
      </c>
      <c r="F66">
        <v>3.3956433606782348E-2</v>
      </c>
      <c r="G66">
        <v>0.94813127415369391</v>
      </c>
      <c r="H66">
        <v>0.97467202046859369</v>
      </c>
      <c r="I66">
        <v>-0.1009034385131274</v>
      </c>
      <c r="J66">
        <v>0.59749184259895638</v>
      </c>
      <c r="K66">
        <v>0.30213081591089108</v>
      </c>
      <c r="L66">
        <v>1.1580946013788871</v>
      </c>
      <c r="M66">
        <v>-0.42645846523666059</v>
      </c>
      <c r="N66">
        <v>0.80584382818101152</v>
      </c>
      <c r="O66">
        <v>1.7983728640775209</v>
      </c>
      <c r="P66">
        <v>1.249221928507064</v>
      </c>
      <c r="Q66">
        <v>-0.52486557418804092</v>
      </c>
      <c r="R66">
        <v>0.94813127415369391</v>
      </c>
      <c r="S66">
        <v>9.113751274705443</v>
      </c>
      <c r="T66">
        <v>2.210259888524568E-2</v>
      </c>
      <c r="U66">
        <v>9.0916486758201973</v>
      </c>
      <c r="V66">
        <v>0.97467202046859369</v>
      </c>
      <c r="W66">
        <v>4.6286620780019438</v>
      </c>
      <c r="X66">
        <v>9.4936803620183419E-2</v>
      </c>
      <c r="Y66">
        <v>4.5337252743817604</v>
      </c>
      <c r="Z66">
        <v>-0.1009034385131274</v>
      </c>
      <c r="AA66">
        <v>-0.59749184259895638</v>
      </c>
      <c r="AB66">
        <v>-0.36105429762281449</v>
      </c>
      <c r="AC66">
        <v>-0.24320733419896781</v>
      </c>
      <c r="AD66">
        <v>1.068728764440662</v>
      </c>
      <c r="AE66">
        <v>0.8841291322357977</v>
      </c>
      <c r="AF66">
        <v>1.3888613417703071</v>
      </c>
      <c r="AG66">
        <v>1.329847261379159</v>
      </c>
      <c r="AH66">
        <v>1.185521255726675</v>
      </c>
      <c r="AI66">
        <v>1.0914798527207219</v>
      </c>
      <c r="AJ66">
        <v>0.39378972359889319</v>
      </c>
      <c r="AK66">
        <v>-1.0663052056697671</v>
      </c>
      <c r="AL66">
        <v>-0.60685991363910818</v>
      </c>
      <c r="AM66">
        <v>-0.80584382818101152</v>
      </c>
      <c r="AN66">
        <v>1.7983728640775209</v>
      </c>
      <c r="AO66">
        <v>1.312900648139407</v>
      </c>
      <c r="AP66">
        <v>1.18554320887472</v>
      </c>
      <c r="AQ66">
        <v>-0.52486557418804092</v>
      </c>
    </row>
    <row r="67" spans="1:43" x14ac:dyDescent="0.3">
      <c r="A67">
        <v>532</v>
      </c>
      <c r="B67">
        <v>2023</v>
      </c>
      <c r="C67" t="s">
        <v>124</v>
      </c>
      <c r="D67">
        <v>19.666666666666671</v>
      </c>
      <c r="E67">
        <v>19.88193409182098</v>
      </c>
      <c r="F67">
        <v>-0.21526742515430899</v>
      </c>
      <c r="G67">
        <v>1.289295114544456</v>
      </c>
      <c r="H67">
        <v>0.61615441988904351</v>
      </c>
      <c r="I67">
        <v>-0.83259970655599125</v>
      </c>
      <c r="J67">
        <v>0.48444867787209472</v>
      </c>
      <c r="K67">
        <v>0.30213081591089108</v>
      </c>
      <c r="L67">
        <v>0.99749118600043429</v>
      </c>
      <c r="M67">
        <v>0.45023578939093989</v>
      </c>
      <c r="N67">
        <v>1.4369487442797531</v>
      </c>
      <c r="O67">
        <v>1.1006108158143051</v>
      </c>
      <c r="P67">
        <v>1.51511033075527</v>
      </c>
      <c r="Q67">
        <v>-0.52486557418804092</v>
      </c>
      <c r="R67">
        <v>1.289295114544456</v>
      </c>
      <c r="S67">
        <v>9.113751274705443</v>
      </c>
      <c r="T67">
        <v>2.210259888524568E-2</v>
      </c>
      <c r="U67">
        <v>9.0916486758201973</v>
      </c>
      <c r="V67">
        <v>0.61615441988904351</v>
      </c>
      <c r="W67">
        <v>4.6286620780019438</v>
      </c>
      <c r="X67">
        <v>9.4936803620183419E-2</v>
      </c>
      <c r="Y67">
        <v>4.5337252743817604</v>
      </c>
      <c r="Z67">
        <v>-0.83259970655599125</v>
      </c>
      <c r="AA67">
        <v>-0.48444867787209472</v>
      </c>
      <c r="AB67">
        <v>-0.36105429762281449</v>
      </c>
      <c r="AC67">
        <v>-0.24320733419896781</v>
      </c>
      <c r="AD67">
        <v>-0.51096398525604159</v>
      </c>
      <c r="AE67">
        <v>0.77562618089965163</v>
      </c>
      <c r="AF67">
        <v>1.4752790073718831</v>
      </c>
      <c r="AG67">
        <v>1.503199719971126</v>
      </c>
      <c r="AH67">
        <v>1.221101738560699</v>
      </c>
      <c r="AI67">
        <v>1.520704454455287</v>
      </c>
      <c r="AJ67">
        <v>0.20796932731881509</v>
      </c>
      <c r="AK67">
        <v>-0.93611877299096224</v>
      </c>
      <c r="AL67">
        <v>2.078856813844967</v>
      </c>
      <c r="AM67">
        <v>-1.4369487442797531</v>
      </c>
      <c r="AN67">
        <v>1.1006108158143051</v>
      </c>
      <c r="AO67">
        <v>1.562353048656133</v>
      </c>
      <c r="AP67">
        <v>1.467867612854407</v>
      </c>
      <c r="AQ67">
        <v>-0.52486557418804092</v>
      </c>
    </row>
    <row r="68" spans="1:43" x14ac:dyDescent="0.3">
      <c r="A68">
        <v>534</v>
      </c>
      <c r="B68">
        <v>2023</v>
      </c>
      <c r="C68" t="s">
        <v>125</v>
      </c>
      <c r="D68">
        <v>13</v>
      </c>
      <c r="E68">
        <v>13.228507799916811</v>
      </c>
      <c r="F68">
        <v>-0.22850779991681239</v>
      </c>
      <c r="G68">
        <v>-0.99175328203555024</v>
      </c>
      <c r="H68">
        <v>1.793867402235338</v>
      </c>
      <c r="I68">
        <v>0.88515540830041073</v>
      </c>
      <c r="J68">
        <v>-2.997880744948684E-2</v>
      </c>
      <c r="K68">
        <v>0.30213081591089108</v>
      </c>
      <c r="L68">
        <v>-0.25306154364617578</v>
      </c>
      <c r="M68">
        <v>-1.289296587726378</v>
      </c>
      <c r="N68">
        <v>-0.62992263418326389</v>
      </c>
      <c r="O68">
        <v>7.1257089902917372E-3</v>
      </c>
      <c r="P68">
        <v>0.47734502326639588</v>
      </c>
      <c r="Q68">
        <v>-0.52486557418804092</v>
      </c>
      <c r="R68">
        <v>-0.99175328203555024</v>
      </c>
      <c r="S68">
        <v>9.113751274705443</v>
      </c>
      <c r="T68">
        <v>2.210259888524568E-2</v>
      </c>
      <c r="U68">
        <v>9.0916486758201973</v>
      </c>
      <c r="V68">
        <v>1.793867402235338</v>
      </c>
      <c r="W68">
        <v>4.6286620780019438</v>
      </c>
      <c r="X68">
        <v>9.4936803620183419E-2</v>
      </c>
      <c r="Y68">
        <v>4.5337252743817604</v>
      </c>
      <c r="Z68">
        <v>0.88515540830041073</v>
      </c>
      <c r="AA68">
        <v>2.997880744948684E-2</v>
      </c>
      <c r="AB68">
        <v>-0.36105429762281449</v>
      </c>
      <c r="AC68">
        <v>-0.24320733419896781</v>
      </c>
      <c r="AD68">
        <v>-4.8729572106136189E-2</v>
      </c>
      <c r="AE68">
        <v>-0.78879531803081571</v>
      </c>
      <c r="AF68">
        <v>0.26575655054662201</v>
      </c>
      <c r="AG68">
        <v>-0.47443978087473843</v>
      </c>
      <c r="AH68">
        <v>3.3458467118282882E-2</v>
      </c>
      <c r="AI68">
        <v>-0.50561960853026955</v>
      </c>
      <c r="AJ68">
        <v>-1.5275154877296351</v>
      </c>
      <c r="AK68">
        <v>-0.73514656132710421</v>
      </c>
      <c r="AL68">
        <v>-1.6052277141223961</v>
      </c>
      <c r="AM68">
        <v>0.62992263418326389</v>
      </c>
      <c r="AN68">
        <v>7.1257089902917372E-3</v>
      </c>
      <c r="AO68">
        <v>0.33593546728726342</v>
      </c>
      <c r="AP68">
        <v>0.61875457924552857</v>
      </c>
      <c r="AQ68">
        <v>-0.52486557418804092</v>
      </c>
    </row>
    <row r="69" spans="1:43" x14ac:dyDescent="0.3">
      <c r="A69">
        <v>536</v>
      </c>
      <c r="B69">
        <v>2023</v>
      </c>
      <c r="C69" t="s">
        <v>126</v>
      </c>
      <c r="D69">
        <v>14</v>
      </c>
      <c r="E69">
        <v>14.342596086576449</v>
      </c>
      <c r="F69">
        <v>-0.34259608657644952</v>
      </c>
      <c r="G69">
        <v>-0.48542801894049858</v>
      </c>
      <c r="H69">
        <v>1.2845028879465761</v>
      </c>
      <c r="I69">
        <v>0.42807991273738533</v>
      </c>
      <c r="J69">
        <v>0.37522131617398802</v>
      </c>
      <c r="K69">
        <v>0.30213081591089108</v>
      </c>
      <c r="L69">
        <v>-0.1779162557169707</v>
      </c>
      <c r="M69">
        <v>-0.62917438885135979</v>
      </c>
      <c r="N69">
        <v>0.51254506962957558</v>
      </c>
      <c r="O69">
        <v>8.0301436480915284E-2</v>
      </c>
      <c r="P69">
        <v>0.2191981013219525</v>
      </c>
      <c r="Q69">
        <v>-0.52486557418804092</v>
      </c>
      <c r="R69">
        <v>-0.48542801894049858</v>
      </c>
      <c r="S69">
        <v>9.113751274705443</v>
      </c>
      <c r="T69">
        <v>2.210259888524568E-2</v>
      </c>
      <c r="U69">
        <v>9.0916486758201973</v>
      </c>
      <c r="V69">
        <v>1.2845028879465761</v>
      </c>
      <c r="W69">
        <v>4.6286620780019438</v>
      </c>
      <c r="X69">
        <v>9.4936803620183419E-2</v>
      </c>
      <c r="Y69">
        <v>4.5337252743817604</v>
      </c>
      <c r="Z69">
        <v>0.42807991273738533</v>
      </c>
      <c r="AA69">
        <v>-0.37522131617398802</v>
      </c>
      <c r="AB69">
        <v>-0.36105429762281449</v>
      </c>
      <c r="AC69">
        <v>-0.24320733419896781</v>
      </c>
      <c r="AD69">
        <v>9.7709342792265679E-4</v>
      </c>
      <c r="AE69">
        <v>-0.51289539872088308</v>
      </c>
      <c r="AF69">
        <v>0.38362081871959047</v>
      </c>
      <c r="AG69">
        <v>2.340395763603334E-2</v>
      </c>
      <c r="AH69">
        <v>-0.33399305144748609</v>
      </c>
      <c r="AI69">
        <v>-0.62861095391700161</v>
      </c>
      <c r="AJ69">
        <v>-6.4082759264668263E-2</v>
      </c>
      <c r="AK69">
        <v>-1.1888190539131289</v>
      </c>
      <c r="AL69">
        <v>-0.63462135337628245</v>
      </c>
      <c r="AM69">
        <v>-0.51254506962957558</v>
      </c>
      <c r="AN69">
        <v>8.0301436480915284E-2</v>
      </c>
      <c r="AO69">
        <v>7.4021097891899656E-3</v>
      </c>
      <c r="AP69">
        <v>0.43099409285471502</v>
      </c>
      <c r="AQ69">
        <v>-0.52486557418804092</v>
      </c>
    </row>
    <row r="70" spans="1:43" x14ac:dyDescent="0.3">
      <c r="A70">
        <v>542</v>
      </c>
      <c r="B70">
        <v>2023</v>
      </c>
      <c r="C70" t="s">
        <v>127</v>
      </c>
      <c r="D70">
        <v>19.666666666666671</v>
      </c>
      <c r="E70">
        <v>19.143227178574062</v>
      </c>
      <c r="F70">
        <v>0.52343948809260965</v>
      </c>
      <c r="G70">
        <v>1.0229181102806399</v>
      </c>
      <c r="H70">
        <v>1.439366716391359</v>
      </c>
      <c r="I70">
        <v>-0.45507254922162499</v>
      </c>
      <c r="J70">
        <v>0.46195451901758511</v>
      </c>
      <c r="K70">
        <v>0.30213081591089108</v>
      </c>
      <c r="L70">
        <v>0.95283899159400687</v>
      </c>
      <c r="M70">
        <v>0.25842513760671382</v>
      </c>
      <c r="N70">
        <v>0.20866121805852261</v>
      </c>
      <c r="O70">
        <v>0.58173426218004953</v>
      </c>
      <c r="P70">
        <v>0.49836408150550537</v>
      </c>
      <c r="Q70">
        <v>-0.52486557418804092</v>
      </c>
      <c r="R70">
        <v>1.0229181102806399</v>
      </c>
      <c r="S70">
        <v>9.113751274705443</v>
      </c>
      <c r="T70">
        <v>2.210259888524568E-2</v>
      </c>
      <c r="U70">
        <v>9.0916486758201973</v>
      </c>
      <c r="V70">
        <v>1.439366716391359</v>
      </c>
      <c r="W70">
        <v>4.6286620780019438</v>
      </c>
      <c r="X70">
        <v>9.4936803620183419E-2</v>
      </c>
      <c r="Y70">
        <v>4.5337252743817604</v>
      </c>
      <c r="Z70">
        <v>-0.45507254922162499</v>
      </c>
      <c r="AA70">
        <v>-0.46195451901758511</v>
      </c>
      <c r="AB70">
        <v>-0.36105429762281449</v>
      </c>
      <c r="AC70">
        <v>-0.24320733419896781</v>
      </c>
      <c r="AD70">
        <v>0.80447694007834591</v>
      </c>
      <c r="AE70">
        <v>0.7000132763808794</v>
      </c>
      <c r="AF70">
        <v>1.307214660792253</v>
      </c>
      <c r="AG70">
        <v>0.95599739075824686</v>
      </c>
      <c r="AH70">
        <v>1.172593741186279</v>
      </c>
      <c r="AI70">
        <v>0.77673794036803689</v>
      </c>
      <c r="AJ70">
        <v>0.54199495941822995</v>
      </c>
      <c r="AK70">
        <v>-0.57674481814376766</v>
      </c>
      <c r="AL70">
        <v>0.81002527154567894</v>
      </c>
      <c r="AM70">
        <v>-0.20866121805852261</v>
      </c>
      <c r="AN70">
        <v>0.58173426218004953</v>
      </c>
      <c r="AO70">
        <v>0.51369411435745382</v>
      </c>
      <c r="AP70">
        <v>0.48303404865355692</v>
      </c>
      <c r="AQ70">
        <v>-0.52486557418804092</v>
      </c>
    </row>
    <row r="71" spans="1:43" x14ac:dyDescent="0.3">
      <c r="A71">
        <v>544</v>
      </c>
      <c r="B71">
        <v>2023</v>
      </c>
      <c r="C71" t="s">
        <v>129</v>
      </c>
      <c r="D71">
        <v>4</v>
      </c>
      <c r="E71">
        <v>5.5216108775203434</v>
      </c>
      <c r="F71">
        <v>-1.521610877520343</v>
      </c>
      <c r="G71">
        <v>-1.178496205128843</v>
      </c>
      <c r="H71">
        <v>-1.0718688615878831</v>
      </c>
      <c r="I71">
        <v>0.14485813991119889</v>
      </c>
      <c r="J71">
        <v>-0.72395890428912624</v>
      </c>
      <c r="K71">
        <v>0.30213081591089108</v>
      </c>
      <c r="L71">
        <v>-0.92950567492947567</v>
      </c>
      <c r="M71">
        <v>-0.32043240248609528</v>
      </c>
      <c r="N71">
        <v>-1.624921378027266</v>
      </c>
      <c r="O71">
        <v>-0.65427476554900932</v>
      </c>
      <c r="P71">
        <v>-5.8720037288083088E-2</v>
      </c>
      <c r="Q71">
        <v>-0.52486557418804092</v>
      </c>
      <c r="R71">
        <v>-1.178496205128843</v>
      </c>
      <c r="S71">
        <v>9.113751274705443</v>
      </c>
      <c r="T71">
        <v>2.210259888524568E-2</v>
      </c>
      <c r="U71">
        <v>9.0916486758201973</v>
      </c>
      <c r="V71">
        <v>-1.0718688615878831</v>
      </c>
      <c r="W71">
        <v>4.6286620780019438</v>
      </c>
      <c r="X71">
        <v>9.4936803620183419E-2</v>
      </c>
      <c r="Y71">
        <v>4.5337252743817604</v>
      </c>
      <c r="Z71">
        <v>0.14485813991119889</v>
      </c>
      <c r="AA71">
        <v>0.72395890428912624</v>
      </c>
      <c r="AB71">
        <v>-0.36105429762281449</v>
      </c>
      <c r="AC71">
        <v>-0.24320733419896781</v>
      </c>
      <c r="AD71">
        <v>-1.9739950939372</v>
      </c>
      <c r="AE71">
        <v>0.94472971918862958</v>
      </c>
      <c r="AF71">
        <v>-0.98707667840808244</v>
      </c>
      <c r="AG71">
        <v>-1.3726025873120671</v>
      </c>
      <c r="AH71">
        <v>-1.0639146275691931</v>
      </c>
      <c r="AI71">
        <v>-1.12417478153894</v>
      </c>
      <c r="AJ71">
        <v>-0.20419359346587079</v>
      </c>
      <c r="AK71">
        <v>-1.0710077574205219</v>
      </c>
      <c r="AL71">
        <v>0.31390414342810702</v>
      </c>
      <c r="AM71">
        <v>1.624921378027266</v>
      </c>
      <c r="AN71">
        <v>-0.65427476554900932</v>
      </c>
      <c r="AO71">
        <v>9.9232688517100195E-2</v>
      </c>
      <c r="AP71">
        <v>-0.21667276309326641</v>
      </c>
      <c r="AQ71">
        <v>-0.52486557418804092</v>
      </c>
    </row>
    <row r="72" spans="1:43" x14ac:dyDescent="0.3">
      <c r="A72">
        <v>546</v>
      </c>
      <c r="B72">
        <v>2023</v>
      </c>
      <c r="C72" t="s">
        <v>130</v>
      </c>
      <c r="D72">
        <v>19.5</v>
      </c>
      <c r="E72">
        <v>18.824852829435802</v>
      </c>
      <c r="F72">
        <v>0.67514717056419826</v>
      </c>
      <c r="G72">
        <v>1.502677875158154</v>
      </c>
      <c r="H72">
        <v>-0.48962087580022812</v>
      </c>
      <c r="I72">
        <v>1.5556404962134289</v>
      </c>
      <c r="J72">
        <v>0.61838336418138906</v>
      </c>
      <c r="K72">
        <v>0.30213081591089108</v>
      </c>
      <c r="L72">
        <v>0.7677879396180457</v>
      </c>
      <c r="M72">
        <v>0.32683549949117652</v>
      </c>
      <c r="N72">
        <v>1.6127557485530779</v>
      </c>
      <c r="O72">
        <v>3.1495182546933989</v>
      </c>
      <c r="P72">
        <v>1.1101254317490981</v>
      </c>
      <c r="Q72">
        <v>-0.52486557418804092</v>
      </c>
      <c r="R72">
        <v>1.502677875158154</v>
      </c>
      <c r="S72">
        <v>9.113751274705443</v>
      </c>
      <c r="T72">
        <v>2.210259888524568E-2</v>
      </c>
      <c r="U72">
        <v>9.0916486758201973</v>
      </c>
      <c r="V72">
        <v>-0.48962087580022812</v>
      </c>
      <c r="W72">
        <v>4.6286620780019438</v>
      </c>
      <c r="X72">
        <v>9.4936803620183419E-2</v>
      </c>
      <c r="Y72">
        <v>4.5337252743817604</v>
      </c>
      <c r="Z72">
        <v>1.5556404962134289</v>
      </c>
      <c r="AA72">
        <v>-0.61838336418138906</v>
      </c>
      <c r="AB72">
        <v>-0.36105429762281449</v>
      </c>
      <c r="AC72">
        <v>-0.24320733419896781</v>
      </c>
      <c r="AD72">
        <v>-0.72186189979972704</v>
      </c>
      <c r="AE72">
        <v>1.251590674861554</v>
      </c>
      <c r="AF72">
        <v>0.95453034853201846</v>
      </c>
      <c r="AG72">
        <v>1.7189022128173701</v>
      </c>
      <c r="AH72">
        <v>0.67266071836121211</v>
      </c>
      <c r="AI72">
        <v>0.7309055829358464</v>
      </c>
      <c r="AJ72">
        <v>0.38371557669335171</v>
      </c>
      <c r="AK72">
        <v>-0.18049295746170291</v>
      </c>
      <c r="AL72">
        <v>0.77728387924188069</v>
      </c>
      <c r="AM72">
        <v>-1.6127557485530779</v>
      </c>
      <c r="AN72">
        <v>3.1495182546933989</v>
      </c>
      <c r="AO72">
        <v>1.173319135350182</v>
      </c>
      <c r="AP72">
        <v>1.0469317281480139</v>
      </c>
      <c r="AQ72">
        <v>-0.52486557418804092</v>
      </c>
    </row>
    <row r="73" spans="1:43" x14ac:dyDescent="0.3">
      <c r="A73">
        <v>548</v>
      </c>
      <c r="B73">
        <v>2023</v>
      </c>
      <c r="C73" t="s">
        <v>131</v>
      </c>
      <c r="D73">
        <v>15.66666666666667</v>
      </c>
      <c r="E73">
        <v>14.779419212820351</v>
      </c>
      <c r="F73">
        <v>0.88724745384631731</v>
      </c>
      <c r="G73">
        <v>0.1995973503923614</v>
      </c>
      <c r="H73">
        <v>0.64142929496606882</v>
      </c>
      <c r="I73">
        <v>0.2009611117135188</v>
      </c>
      <c r="J73">
        <v>0.53310016648871883</v>
      </c>
      <c r="K73">
        <v>0.30213081591089108</v>
      </c>
      <c r="L73">
        <v>0.31251239154164778</v>
      </c>
      <c r="M73">
        <v>-0.42615703952806411</v>
      </c>
      <c r="N73">
        <v>-0.32387175569480892</v>
      </c>
      <c r="O73">
        <v>0.60217794925597745</v>
      </c>
      <c r="P73">
        <v>0.4596310334574466</v>
      </c>
      <c r="Q73">
        <v>-0.52486557418804092</v>
      </c>
      <c r="R73">
        <v>0.1995973503923614</v>
      </c>
      <c r="S73">
        <v>9.113751274705443</v>
      </c>
      <c r="T73">
        <v>2.210259888524568E-2</v>
      </c>
      <c r="U73">
        <v>9.0916486758201973</v>
      </c>
      <c r="V73">
        <v>0.64142929496606882</v>
      </c>
      <c r="W73">
        <v>4.6286620780019438</v>
      </c>
      <c r="X73">
        <v>9.4936803620183419E-2</v>
      </c>
      <c r="Y73">
        <v>4.5337252743817604</v>
      </c>
      <c r="Z73">
        <v>0.2009611117135188</v>
      </c>
      <c r="AA73">
        <v>-0.53310016648871883</v>
      </c>
      <c r="AB73">
        <v>-0.36105429762281449</v>
      </c>
      <c r="AC73">
        <v>-0.24320733419896781</v>
      </c>
      <c r="AD73">
        <v>-5.6295011565266929E-2</v>
      </c>
      <c r="AE73">
        <v>0.17223218913473731</v>
      </c>
      <c r="AF73">
        <v>0.71413276689121219</v>
      </c>
      <c r="AG73">
        <v>0.43171398378118281</v>
      </c>
      <c r="AH73">
        <v>0.44558947883542882</v>
      </c>
      <c r="AI73">
        <v>0.16770094217259299</v>
      </c>
      <c r="AJ73">
        <v>-0.45161163425794221</v>
      </c>
      <c r="AK73">
        <v>-0.69826865549223383</v>
      </c>
      <c r="AL73">
        <v>-0.1285908288340164</v>
      </c>
      <c r="AM73">
        <v>0.32387175569480892</v>
      </c>
      <c r="AN73">
        <v>0.60217794925597745</v>
      </c>
      <c r="AO73">
        <v>0.61679826469893972</v>
      </c>
      <c r="AP73">
        <v>0.30246380221595348</v>
      </c>
      <c r="AQ73">
        <v>-0.52486557418804092</v>
      </c>
    </row>
    <row r="74" spans="1:43" x14ac:dyDescent="0.3">
      <c r="A74">
        <v>556</v>
      </c>
      <c r="B74">
        <v>2023</v>
      </c>
      <c r="C74" t="s">
        <v>132</v>
      </c>
      <c r="D74">
        <v>6.5</v>
      </c>
      <c r="E74">
        <v>6.913114795872267</v>
      </c>
      <c r="F74">
        <v>-0.41311479587226702</v>
      </c>
      <c r="G74">
        <v>0.44216290206636799</v>
      </c>
      <c r="H74">
        <v>-1.4998854004346649</v>
      </c>
      <c r="I74">
        <v>1.5759860097230629</v>
      </c>
      <c r="J74">
        <v>0.58579640631582286</v>
      </c>
      <c r="K74">
        <v>0.30213081591089108</v>
      </c>
      <c r="L74">
        <v>-0.33085178429154039</v>
      </c>
      <c r="M74">
        <v>-0.58349333300145234</v>
      </c>
      <c r="N74">
        <v>-1.787642873607048</v>
      </c>
      <c r="O74">
        <v>-2.0761907439995202</v>
      </c>
      <c r="P74">
        <v>-0.2018164304979842</v>
      </c>
      <c r="Q74">
        <v>-0.52486557418804092</v>
      </c>
      <c r="R74">
        <v>0.44216290206636799</v>
      </c>
      <c r="S74">
        <v>9.113751274705443</v>
      </c>
      <c r="T74">
        <v>2.210259888524568E-2</v>
      </c>
      <c r="U74">
        <v>9.0916486758201973</v>
      </c>
      <c r="V74">
        <v>-1.4998854004346649</v>
      </c>
      <c r="W74">
        <v>4.6286620780019438</v>
      </c>
      <c r="X74">
        <v>9.4936803620183419E-2</v>
      </c>
      <c r="Y74">
        <v>4.5337252743817604</v>
      </c>
      <c r="Z74">
        <v>1.5759860097230629</v>
      </c>
      <c r="AA74">
        <v>-0.58579640631582286</v>
      </c>
      <c r="AB74">
        <v>-0.36105429762281449</v>
      </c>
      <c r="AC74">
        <v>-0.24320733419896781</v>
      </c>
      <c r="AD74">
        <v>-0.30734160386944193</v>
      </c>
      <c r="AE74">
        <v>0.60468212984607694</v>
      </c>
      <c r="AF74">
        <v>-0.40982450597100278</v>
      </c>
      <c r="AG74">
        <v>-1.0821308017763951</v>
      </c>
      <c r="AH74">
        <v>-0.25340212421294211</v>
      </c>
      <c r="AI74">
        <v>-0.53709379976553817</v>
      </c>
      <c r="AJ74">
        <v>-1.709852534706553</v>
      </c>
      <c r="AK74">
        <v>0.3381902505558157</v>
      </c>
      <c r="AL74">
        <v>-0.37881771485362031</v>
      </c>
      <c r="AM74">
        <v>1.787642873607048</v>
      </c>
      <c r="AN74">
        <v>-2.0761907439995202</v>
      </c>
      <c r="AO74">
        <v>-4.9331907381074513E-2</v>
      </c>
      <c r="AP74">
        <v>-0.35430095361489378</v>
      </c>
      <c r="AQ74">
        <v>-0.52486557418804092</v>
      </c>
    </row>
    <row r="75" spans="1:43" x14ac:dyDescent="0.3">
      <c r="A75">
        <v>564</v>
      </c>
      <c r="B75">
        <v>2023</v>
      </c>
      <c r="C75" t="s">
        <v>134</v>
      </c>
      <c r="D75">
        <v>5</v>
      </c>
      <c r="E75">
        <v>4.9634817032260896</v>
      </c>
      <c r="F75">
        <v>3.6518296773910393E-2</v>
      </c>
      <c r="G75">
        <v>-1.4134449075104749</v>
      </c>
      <c r="H75">
        <v>0.55135515420561476</v>
      </c>
      <c r="I75">
        <v>0.13726131727026211</v>
      </c>
      <c r="J75">
        <v>-1.441120004528452</v>
      </c>
      <c r="K75">
        <v>-1.32843374333387</v>
      </c>
      <c r="L75">
        <v>-1.3438464519143209</v>
      </c>
      <c r="M75">
        <v>-2.5705898831079321</v>
      </c>
      <c r="N75">
        <v>-0.56838462620832475</v>
      </c>
      <c r="O75">
        <v>-0.1086313350980741</v>
      </c>
      <c r="P75">
        <v>-0.2442610277386387</v>
      </c>
      <c r="Q75">
        <v>-0.52486557418804092</v>
      </c>
      <c r="R75">
        <v>-1.4134449075104749</v>
      </c>
      <c r="S75">
        <v>9.113751274705443</v>
      </c>
      <c r="T75">
        <v>2.210259888524568E-2</v>
      </c>
      <c r="U75">
        <v>9.0916486758201973</v>
      </c>
      <c r="V75">
        <v>0.55135515420561476</v>
      </c>
      <c r="W75">
        <v>4.6286620780019438</v>
      </c>
      <c r="X75">
        <v>9.4936803620183419E-2</v>
      </c>
      <c r="Y75">
        <v>4.5337252743817604</v>
      </c>
      <c r="Z75">
        <v>0.13726131727026211</v>
      </c>
      <c r="AA75">
        <v>1.441120004528452</v>
      </c>
      <c r="AB75">
        <v>2.7696665199223802</v>
      </c>
      <c r="AC75">
        <v>-0.11279903325464059</v>
      </c>
      <c r="AD75">
        <v>-1.2234566685734081</v>
      </c>
      <c r="AE75">
        <v>-2.3406788469651612</v>
      </c>
      <c r="AF75">
        <v>-0.91371508836113557</v>
      </c>
      <c r="AG75">
        <v>-1.3421765255332021</v>
      </c>
      <c r="AH75">
        <v>-1.092905097380505</v>
      </c>
      <c r="AI75">
        <v>-1.150146484672518</v>
      </c>
      <c r="AJ75">
        <v>-1.0530031204250789</v>
      </c>
      <c r="AK75">
        <v>-1.4743546961826739</v>
      </c>
      <c r="AL75">
        <v>-5.1844118327160444</v>
      </c>
      <c r="AM75">
        <v>0.56838462620832475</v>
      </c>
      <c r="AN75">
        <v>-0.1086313350980741</v>
      </c>
      <c r="AO75">
        <v>-0.42340081842075261</v>
      </c>
      <c r="AP75">
        <v>-6.5121237056524714E-2</v>
      </c>
      <c r="AQ75">
        <v>-0.52486557418804092</v>
      </c>
    </row>
    <row r="76" spans="1:43" x14ac:dyDescent="0.3">
      <c r="A76">
        <v>566</v>
      </c>
      <c r="B76">
        <v>2023</v>
      </c>
      <c r="C76" t="s">
        <v>135</v>
      </c>
      <c r="D76">
        <v>14.33333333333333</v>
      </c>
      <c r="E76">
        <v>12.343858150349091</v>
      </c>
      <c r="F76">
        <v>1.989475182984243</v>
      </c>
      <c r="G76">
        <v>-0.66124966839522026</v>
      </c>
      <c r="H76">
        <v>0.68773691408600024</v>
      </c>
      <c r="I76">
        <v>0.60848262050951407</v>
      </c>
      <c r="J76">
        <v>0.162299507169469</v>
      </c>
      <c r="K76">
        <v>0.30213081591089108</v>
      </c>
      <c r="L76">
        <v>-0.40061991351878778</v>
      </c>
      <c r="M76">
        <v>-0.48676985020889768</v>
      </c>
      <c r="N76">
        <v>4.3494871597569117E-2</v>
      </c>
      <c r="O76">
        <v>-1.99127158520645E-2</v>
      </c>
      <c r="P76">
        <v>0.50651603474889839</v>
      </c>
      <c r="Q76">
        <v>-0.52486557418804092</v>
      </c>
      <c r="R76">
        <v>-0.66124966839522026</v>
      </c>
      <c r="S76">
        <v>9.113751274705443</v>
      </c>
      <c r="T76">
        <v>2.210259888524568E-2</v>
      </c>
      <c r="U76">
        <v>9.0916486758201973</v>
      </c>
      <c r="V76">
        <v>0.68773691408600024</v>
      </c>
      <c r="W76">
        <v>4.6286620780019438</v>
      </c>
      <c r="X76">
        <v>9.4936803620183419E-2</v>
      </c>
      <c r="Y76">
        <v>4.5337252743817604</v>
      </c>
      <c r="Z76">
        <v>0.60848262050951407</v>
      </c>
      <c r="AA76">
        <v>-0.162299507169469</v>
      </c>
      <c r="AB76">
        <v>-0.36105429762281449</v>
      </c>
      <c r="AC76">
        <v>-0.24320733419896781</v>
      </c>
      <c r="AD76">
        <v>-0.17276709846024399</v>
      </c>
      <c r="AE76">
        <v>-0.70624491218168262</v>
      </c>
      <c r="AF76">
        <v>-9.3851794575317948E-2</v>
      </c>
      <c r="AG76">
        <v>-0.13233114110846261</v>
      </c>
      <c r="AH76">
        <v>-0.61824901346727223</v>
      </c>
      <c r="AI76">
        <v>-0.68027552131974711</v>
      </c>
      <c r="AJ76">
        <v>-0.35931540775766901</v>
      </c>
      <c r="AK76">
        <v>-0.75263675380359762</v>
      </c>
      <c r="AL76">
        <v>-0.34835738906542629</v>
      </c>
      <c r="AM76">
        <v>-4.3494871597569117E-2</v>
      </c>
      <c r="AN76">
        <v>-1.99127158520645E-2</v>
      </c>
      <c r="AO76">
        <v>0.47835202817983868</v>
      </c>
      <c r="AP76">
        <v>0.53468004131795799</v>
      </c>
      <c r="AQ76">
        <v>-0.52486557418804092</v>
      </c>
    </row>
    <row r="77" spans="1:43" x14ac:dyDescent="0.3">
      <c r="A77">
        <v>576</v>
      </c>
      <c r="B77">
        <v>2023</v>
      </c>
      <c r="C77" t="s">
        <v>136</v>
      </c>
      <c r="D77">
        <v>22</v>
      </c>
      <c r="E77">
        <v>18.41928768410656</v>
      </c>
      <c r="F77">
        <v>3.5807123158934431</v>
      </c>
      <c r="G77">
        <v>1.687632158643767</v>
      </c>
      <c r="H77">
        <v>0.76361157451220596</v>
      </c>
      <c r="I77">
        <v>-0.3466650169374535</v>
      </c>
      <c r="J77">
        <v>0.38186081344402129</v>
      </c>
      <c r="K77">
        <v>0.30213081591089108</v>
      </c>
      <c r="L77">
        <v>1.6229307882152539</v>
      </c>
      <c r="M77">
        <v>0.66825988592834173</v>
      </c>
      <c r="N77">
        <v>-3.1879867805907152</v>
      </c>
      <c r="O77">
        <v>2.2483796660568802</v>
      </c>
      <c r="P77">
        <v>0.92036124052467017</v>
      </c>
      <c r="Q77">
        <v>-0.52486557418804092</v>
      </c>
      <c r="R77">
        <v>1.687632158643767</v>
      </c>
      <c r="S77">
        <v>9.113751274705443</v>
      </c>
      <c r="T77">
        <v>2.210259888524568E-2</v>
      </c>
      <c r="U77">
        <v>9.0916486758201973</v>
      </c>
      <c r="V77">
        <v>0.76361157451220596</v>
      </c>
      <c r="W77">
        <v>4.6286620780019438</v>
      </c>
      <c r="X77">
        <v>9.4936803620183419E-2</v>
      </c>
      <c r="Y77">
        <v>4.5337252743817604</v>
      </c>
      <c r="Z77">
        <v>-0.3466650169374535</v>
      </c>
      <c r="AA77">
        <v>-0.38186081344402129</v>
      </c>
      <c r="AB77">
        <v>-0.36105429762281449</v>
      </c>
      <c r="AC77">
        <v>-0.24320733419896781</v>
      </c>
      <c r="AD77">
        <v>-0.22692828582764521</v>
      </c>
      <c r="AE77">
        <v>1.673929156557517</v>
      </c>
      <c r="AF77">
        <v>2.329593313393401</v>
      </c>
      <c r="AG77">
        <v>2.303043984335496</v>
      </c>
      <c r="AH77">
        <v>1.714873480663081</v>
      </c>
      <c r="AI77">
        <v>1.9430730801696761</v>
      </c>
      <c r="AJ77">
        <v>1.074020180325318</v>
      </c>
      <c r="AK77">
        <v>-0.91491603965860935</v>
      </c>
      <c r="AL77">
        <v>1.8456755171183159</v>
      </c>
      <c r="AM77">
        <v>3.1879867805907152</v>
      </c>
      <c r="AN77">
        <v>2.2483796660568802</v>
      </c>
      <c r="AO77">
        <v>1.234415139723243</v>
      </c>
      <c r="AP77">
        <v>0.60630734132609676</v>
      </c>
      <c r="AQ77">
        <v>-0.52486557418804092</v>
      </c>
    </row>
    <row r="78" spans="1:43" x14ac:dyDescent="0.3">
      <c r="A78">
        <v>578</v>
      </c>
      <c r="B78">
        <v>2023</v>
      </c>
      <c r="C78" t="s">
        <v>137</v>
      </c>
      <c r="D78">
        <v>15</v>
      </c>
      <c r="E78">
        <v>13.32846049577341</v>
      </c>
      <c r="F78">
        <v>1.6715395042265899</v>
      </c>
      <c r="G78">
        <v>-0.17972447438646991</v>
      </c>
      <c r="H78">
        <v>0.7743088734890069</v>
      </c>
      <c r="I78">
        <v>-0.55680011676980046</v>
      </c>
      <c r="J78">
        <v>0.55609037973696662</v>
      </c>
      <c r="K78">
        <v>0.30213081591089108</v>
      </c>
      <c r="L78">
        <v>-0.29509939705275651</v>
      </c>
      <c r="M78">
        <v>-0.20740299808871479</v>
      </c>
      <c r="N78">
        <v>-0.118670976054674</v>
      </c>
      <c r="O78">
        <v>0.48673124576838472</v>
      </c>
      <c r="P78">
        <v>0.75617696526574252</v>
      </c>
      <c r="Q78">
        <v>-0.52486557418804092</v>
      </c>
      <c r="R78">
        <v>-0.17972447438646991</v>
      </c>
      <c r="S78">
        <v>9.113751274705443</v>
      </c>
      <c r="T78">
        <v>2.210259888524568E-2</v>
      </c>
      <c r="U78">
        <v>9.0916486758201973</v>
      </c>
      <c r="V78">
        <v>0.7743088734890069</v>
      </c>
      <c r="W78">
        <v>4.6286620780019438</v>
      </c>
      <c r="X78">
        <v>9.4936803620183419E-2</v>
      </c>
      <c r="Y78">
        <v>4.5337252743817604</v>
      </c>
      <c r="Z78">
        <v>-0.55680011676980046</v>
      </c>
      <c r="AA78">
        <v>-0.55609037973696662</v>
      </c>
      <c r="AB78">
        <v>-0.36105429762281449</v>
      </c>
      <c r="AC78">
        <v>-0.24320733419896781</v>
      </c>
      <c r="AD78">
        <v>-0.65616690170789738</v>
      </c>
      <c r="AE78">
        <v>-0.36451586673320208</v>
      </c>
      <c r="AF78">
        <v>-7.4120373312404814E-2</v>
      </c>
      <c r="AG78">
        <v>-0.13914208147755011</v>
      </c>
      <c r="AH78">
        <v>9.4177276165636509E-2</v>
      </c>
      <c r="AI78">
        <v>-0.6308284352511212</v>
      </c>
      <c r="AJ78">
        <v>-0.1337998654617252</v>
      </c>
      <c r="AK78">
        <v>-0.70478622721696482</v>
      </c>
      <c r="AL78">
        <v>0.21637709841254571</v>
      </c>
      <c r="AM78">
        <v>0.118670976054674</v>
      </c>
      <c r="AN78">
        <v>0.48673124576838472</v>
      </c>
      <c r="AO78">
        <v>0.91577225133017937</v>
      </c>
      <c r="AP78">
        <v>0.59658167920130567</v>
      </c>
      <c r="AQ78">
        <v>-0.52486557418804092</v>
      </c>
    </row>
    <row r="79" spans="1:43" x14ac:dyDescent="0.3">
      <c r="A79">
        <v>582</v>
      </c>
      <c r="B79">
        <v>2023</v>
      </c>
      <c r="C79" t="s">
        <v>138</v>
      </c>
      <c r="D79">
        <v>11.33333333333333</v>
      </c>
      <c r="E79">
        <v>12.910180900836011</v>
      </c>
      <c r="F79">
        <v>-1.5768475675026841</v>
      </c>
      <c r="G79">
        <v>-0.58501084806097636</v>
      </c>
      <c r="H79">
        <v>0.68288138309832946</v>
      </c>
      <c r="I79">
        <v>1.190643730246584</v>
      </c>
      <c r="J79">
        <v>0.2676729078085332</v>
      </c>
      <c r="K79">
        <v>0.30213081591089108</v>
      </c>
      <c r="L79">
        <v>-0.55113204425745399</v>
      </c>
      <c r="M79">
        <v>-0.16343598178926891</v>
      </c>
      <c r="N79">
        <v>0.66101419586798371</v>
      </c>
      <c r="O79">
        <v>0.34652194851077178</v>
      </c>
      <c r="P79">
        <v>0.25832633342801509</v>
      </c>
      <c r="Q79">
        <v>-0.52486557418804092</v>
      </c>
      <c r="R79">
        <v>-0.58501084806097636</v>
      </c>
      <c r="S79">
        <v>9.113751274705443</v>
      </c>
      <c r="T79">
        <v>2.210259888524568E-2</v>
      </c>
      <c r="U79">
        <v>9.0916486758201973</v>
      </c>
      <c r="V79">
        <v>0.68288138309832946</v>
      </c>
      <c r="W79">
        <v>4.6286620780019438</v>
      </c>
      <c r="X79">
        <v>9.4936803620183419E-2</v>
      </c>
      <c r="Y79">
        <v>4.5337252743817604</v>
      </c>
      <c r="Z79">
        <v>1.190643730246584</v>
      </c>
      <c r="AA79">
        <v>-0.2676729078085332</v>
      </c>
      <c r="AB79">
        <v>-0.36105429762281449</v>
      </c>
      <c r="AC79">
        <v>-0.24320733419896781</v>
      </c>
      <c r="AD79">
        <v>-1.5386896311745411</v>
      </c>
      <c r="AE79">
        <v>-7.2805954734531136E-2</v>
      </c>
      <c r="AF79">
        <v>-0.12479766220265839</v>
      </c>
      <c r="AG79">
        <v>-0.7534168978301985</v>
      </c>
      <c r="AH79">
        <v>-0.26078405629610402</v>
      </c>
      <c r="AI79">
        <v>-0.55629806330669029</v>
      </c>
      <c r="AJ79">
        <v>0.26024462693314321</v>
      </c>
      <c r="AK79">
        <v>-1.01820717635941</v>
      </c>
      <c r="AL79">
        <v>0.26765460405846042</v>
      </c>
      <c r="AM79">
        <v>-0.66101419586798371</v>
      </c>
      <c r="AN79">
        <v>0.34652194851077178</v>
      </c>
      <c r="AO79">
        <v>0.48159966188187853</v>
      </c>
      <c r="AP79">
        <v>3.5053004974151668E-2</v>
      </c>
      <c r="AQ79">
        <v>-0.52486557418804092</v>
      </c>
    </row>
    <row r="80" spans="1:43" x14ac:dyDescent="0.3">
      <c r="A80">
        <v>614</v>
      </c>
      <c r="B80">
        <v>2023</v>
      </c>
      <c r="C80" t="s">
        <v>140</v>
      </c>
      <c r="D80">
        <v>7</v>
      </c>
      <c r="E80">
        <v>8.1321160844742906</v>
      </c>
      <c r="F80">
        <v>-1.132116084474291</v>
      </c>
      <c r="G80">
        <v>-0.84543189691791298</v>
      </c>
      <c r="H80">
        <v>-2.0670619944997231E-2</v>
      </c>
      <c r="I80">
        <v>-0.90084013062371593</v>
      </c>
      <c r="J80">
        <v>-2.4164392586781842</v>
      </c>
      <c r="K80">
        <v>0.30213081591089108</v>
      </c>
      <c r="L80">
        <v>-1.0162937006715309</v>
      </c>
      <c r="M80">
        <v>-0.84522227777684622</v>
      </c>
      <c r="N80">
        <v>-0.39896757310169828</v>
      </c>
      <c r="O80">
        <v>0.82218357348737314</v>
      </c>
      <c r="P80">
        <v>0.38582314088518321</v>
      </c>
      <c r="Q80">
        <v>-0.52486557418804092</v>
      </c>
      <c r="R80">
        <v>-0.84543189691791298</v>
      </c>
      <c r="S80">
        <v>9.113751274705443</v>
      </c>
      <c r="T80">
        <v>2.210259888524568E-2</v>
      </c>
      <c r="U80">
        <v>9.0916486758201973</v>
      </c>
      <c r="V80">
        <v>-2.0670619944997231E-2</v>
      </c>
      <c r="W80">
        <v>4.6286620780019438</v>
      </c>
      <c r="X80">
        <v>9.4936803620183419E-2</v>
      </c>
      <c r="Y80">
        <v>4.5337252743817604</v>
      </c>
      <c r="Z80">
        <v>-0.90084013062371593</v>
      </c>
      <c r="AA80">
        <v>2.4164392586781842</v>
      </c>
      <c r="AB80">
        <v>-0.36105429762281449</v>
      </c>
      <c r="AC80">
        <v>-0.24320733419896781</v>
      </c>
      <c r="AD80">
        <v>-0.97604617031141772</v>
      </c>
      <c r="AE80">
        <v>-0.43770823984486351</v>
      </c>
      <c r="AF80">
        <v>-1.3966610594561231</v>
      </c>
      <c r="AG80">
        <v>-1.1836066582108771</v>
      </c>
      <c r="AH80">
        <v>-1.349908083646981</v>
      </c>
      <c r="AI80">
        <v>-0.7538319925589223</v>
      </c>
      <c r="AJ80">
        <v>0.85710024098609283</v>
      </c>
      <c r="AK80">
        <v>-1.028354788032092</v>
      </c>
      <c r="AL80">
        <v>-2.3644122862845389</v>
      </c>
      <c r="AM80">
        <v>0.39896757310169828</v>
      </c>
      <c r="AN80">
        <v>0.82218357348737314</v>
      </c>
      <c r="AO80">
        <v>0.1115058429310845</v>
      </c>
      <c r="AP80">
        <v>0.66014043883928186</v>
      </c>
      <c r="AQ80">
        <v>-0.52486557418804092</v>
      </c>
    </row>
    <row r="81" spans="1:43" x14ac:dyDescent="0.3">
      <c r="A81">
        <v>616</v>
      </c>
      <c r="B81">
        <v>2023</v>
      </c>
      <c r="C81" t="s">
        <v>142</v>
      </c>
      <c r="D81">
        <v>15.5</v>
      </c>
      <c r="E81">
        <v>13.6180163065385</v>
      </c>
      <c r="F81">
        <v>1.8819836934615031</v>
      </c>
      <c r="G81">
        <v>-0.18965925333897851</v>
      </c>
      <c r="H81">
        <v>-0.93770055391969542</v>
      </c>
      <c r="I81">
        <v>0.1891292787497611</v>
      </c>
      <c r="J81">
        <v>-0.10474946779793751</v>
      </c>
      <c r="K81">
        <v>0.30213081591089108</v>
      </c>
      <c r="L81">
        <v>0.48303370671840068</v>
      </c>
      <c r="M81">
        <v>8.6586141961106797E-2</v>
      </c>
      <c r="N81">
        <v>0.98751291808987196</v>
      </c>
      <c r="O81">
        <v>6.213358047732348E-2</v>
      </c>
      <c r="P81">
        <v>0.39478831125420288</v>
      </c>
      <c r="Q81">
        <v>-0.52486557418804092</v>
      </c>
      <c r="R81">
        <v>-0.18965925333897851</v>
      </c>
      <c r="S81">
        <v>9.113751274705443</v>
      </c>
      <c r="T81">
        <v>2.210259888524568E-2</v>
      </c>
      <c r="U81">
        <v>9.0916486758201973</v>
      </c>
      <c r="V81">
        <v>-0.93770055391969542</v>
      </c>
      <c r="W81">
        <v>4.6286620780019438</v>
      </c>
      <c r="X81">
        <v>9.4936803620183419E-2</v>
      </c>
      <c r="Y81">
        <v>4.5337252743817604</v>
      </c>
      <c r="Z81">
        <v>0.1891292787497611</v>
      </c>
      <c r="AA81">
        <v>0.10474946779793751</v>
      </c>
      <c r="AB81">
        <v>-0.36105429762281449</v>
      </c>
      <c r="AC81">
        <v>-0.24320733419896781</v>
      </c>
      <c r="AD81">
        <v>0.40804345232294048</v>
      </c>
      <c r="AE81">
        <v>1.2125883078753339</v>
      </c>
      <c r="AF81">
        <v>0.21615130492584761</v>
      </c>
      <c r="AG81">
        <v>0.2460695779464889</v>
      </c>
      <c r="AH81">
        <v>0.25058720044821492</v>
      </c>
      <c r="AI81">
        <v>0.56476239679157769</v>
      </c>
      <c r="AJ81">
        <v>-7.4883648111156942E-2</v>
      </c>
      <c r="AK81">
        <v>-9.9972071343506733E-2</v>
      </c>
      <c r="AL81">
        <v>0.43461414533798398</v>
      </c>
      <c r="AM81">
        <v>-0.98751291808987196</v>
      </c>
      <c r="AN81">
        <v>6.213358047732348E-2</v>
      </c>
      <c r="AO81">
        <v>0.43634006162462208</v>
      </c>
      <c r="AP81">
        <v>0.35323656088378358</v>
      </c>
      <c r="AQ81">
        <v>-0.52486557418804092</v>
      </c>
    </row>
    <row r="82" spans="1:43" x14ac:dyDescent="0.3">
      <c r="A82">
        <v>622</v>
      </c>
      <c r="B82">
        <v>2023</v>
      </c>
      <c r="C82" t="s">
        <v>143</v>
      </c>
      <c r="D82">
        <v>7.6666666666666661</v>
      </c>
      <c r="E82">
        <v>7.6728190361654427</v>
      </c>
      <c r="F82">
        <v>-6.152369498776622E-3</v>
      </c>
      <c r="G82">
        <v>-1.2780538355972031</v>
      </c>
      <c r="H82">
        <v>-0.45134561490923919</v>
      </c>
      <c r="I82">
        <v>0.2116141273709243</v>
      </c>
      <c r="J82">
        <v>0.24552217122661149</v>
      </c>
      <c r="K82">
        <v>0.30213081591089108</v>
      </c>
      <c r="L82">
        <v>-1.3809823724611039</v>
      </c>
      <c r="M82">
        <v>-0.24086041370035299</v>
      </c>
      <c r="N82">
        <v>0.41400090968054237</v>
      </c>
      <c r="O82">
        <v>-0.18514322404700839</v>
      </c>
      <c r="P82">
        <v>0.24098818133389721</v>
      </c>
      <c r="Q82">
        <v>-0.52486557418804092</v>
      </c>
      <c r="R82">
        <v>-1.2780538355972031</v>
      </c>
      <c r="S82">
        <v>9.113751274705443</v>
      </c>
      <c r="T82">
        <v>2.210259888524568E-2</v>
      </c>
      <c r="U82">
        <v>9.0916486758201973</v>
      </c>
      <c r="V82">
        <v>-0.45134561490923919</v>
      </c>
      <c r="W82">
        <v>4.6286620780019438</v>
      </c>
      <c r="X82">
        <v>9.4936803620183419E-2</v>
      </c>
      <c r="Y82">
        <v>4.5337252743817604</v>
      </c>
      <c r="Z82">
        <v>0.2116141273709243</v>
      </c>
      <c r="AA82">
        <v>-0.24552217122661149</v>
      </c>
      <c r="AB82">
        <v>-0.36105429762281449</v>
      </c>
      <c r="AC82">
        <v>-0.24320733419896781</v>
      </c>
      <c r="AD82">
        <v>-1.3430508233365599</v>
      </c>
      <c r="AE82">
        <v>-1.704099417445345</v>
      </c>
      <c r="AF82">
        <v>-1.281674616945947</v>
      </c>
      <c r="AG82">
        <v>-1.3563333325534921</v>
      </c>
      <c r="AH82">
        <v>-1.2845043802935741</v>
      </c>
      <c r="AI82">
        <v>-1.316231664191708</v>
      </c>
      <c r="AJ82">
        <v>0.22122610272436621</v>
      </c>
      <c r="AK82">
        <v>-1.067295216564663</v>
      </c>
      <c r="AL82">
        <v>0.12348787273923741</v>
      </c>
      <c r="AM82">
        <v>-0.41400090968054237</v>
      </c>
      <c r="AN82">
        <v>-0.18514322404700839</v>
      </c>
      <c r="AO82">
        <v>2.2713931435266042E-2</v>
      </c>
      <c r="AP82">
        <v>0.4592624312325283</v>
      </c>
      <c r="AQ82">
        <v>-0.52486557418804092</v>
      </c>
    </row>
    <row r="83" spans="1:43" x14ac:dyDescent="0.3">
      <c r="A83">
        <v>624</v>
      </c>
      <c r="B83">
        <v>2023</v>
      </c>
      <c r="C83" t="s">
        <v>144</v>
      </c>
      <c r="D83">
        <v>7</v>
      </c>
      <c r="E83">
        <v>8.9912710384002743</v>
      </c>
      <c r="F83">
        <v>-1.9912710384002741</v>
      </c>
      <c r="G83">
        <v>-0.48653156110117518</v>
      </c>
      <c r="H83">
        <v>-2.0072347942165649</v>
      </c>
      <c r="I83">
        <v>0.22436281823962259</v>
      </c>
      <c r="J83">
        <v>0.34875872216957332</v>
      </c>
      <c r="K83">
        <v>0.30213081591089108</v>
      </c>
      <c r="L83">
        <v>0.46685882149650471</v>
      </c>
      <c r="M83">
        <v>-0.24712703007016831</v>
      </c>
      <c r="N83">
        <v>-1.652120344080297</v>
      </c>
      <c r="O83">
        <v>-0.57481464089273049</v>
      </c>
      <c r="P83">
        <v>0.60673608755078012</v>
      </c>
      <c r="Q83">
        <v>-0.52486557418804092</v>
      </c>
      <c r="R83">
        <v>-0.48653156110117518</v>
      </c>
      <c r="S83">
        <v>9.113751274705443</v>
      </c>
      <c r="T83">
        <v>2.210259888524568E-2</v>
      </c>
      <c r="U83">
        <v>9.0916486758201973</v>
      </c>
      <c r="V83">
        <v>-2.0072347942165649</v>
      </c>
      <c r="W83">
        <v>4.6286620780019438</v>
      </c>
      <c r="X83">
        <v>9.4936803620183419E-2</v>
      </c>
      <c r="Y83">
        <v>4.5337252743817604</v>
      </c>
      <c r="Z83">
        <v>0.22436281823962259</v>
      </c>
      <c r="AA83">
        <v>-0.34875872216957332</v>
      </c>
      <c r="AB83">
        <v>-0.36105429762281449</v>
      </c>
      <c r="AC83">
        <v>-0.24320733419896781</v>
      </c>
      <c r="AD83">
        <v>0.91431351772921288</v>
      </c>
      <c r="AE83">
        <v>1.0509078122958111</v>
      </c>
      <c r="AF83">
        <v>-0.25114641911443158</v>
      </c>
      <c r="AG83">
        <v>-4.3008673516668927E-2</v>
      </c>
      <c r="AH83">
        <v>0.26097778025086071</v>
      </c>
      <c r="AI83">
        <v>0.86910891133424406</v>
      </c>
      <c r="AJ83">
        <v>-0.3163875131079355</v>
      </c>
      <c r="AK83">
        <v>-0.32841708534072478</v>
      </c>
      <c r="AL83">
        <v>-9.6576491761844643E-2</v>
      </c>
      <c r="AM83">
        <v>1.652120344080297</v>
      </c>
      <c r="AN83">
        <v>-0.57481464089273049</v>
      </c>
      <c r="AO83">
        <v>0.71858882610095254</v>
      </c>
      <c r="AP83">
        <v>0.49488334900060771</v>
      </c>
      <c r="AQ83">
        <v>-0.52486557418804092</v>
      </c>
    </row>
    <row r="84" spans="1:43" x14ac:dyDescent="0.3">
      <c r="A84">
        <v>634</v>
      </c>
      <c r="B84">
        <v>2023</v>
      </c>
      <c r="C84" t="s">
        <v>145</v>
      </c>
      <c r="D84">
        <v>6</v>
      </c>
      <c r="E84">
        <v>3.923845434739953</v>
      </c>
      <c r="F84">
        <v>2.076154565260047</v>
      </c>
      <c r="G84">
        <v>-1.0615396677464251</v>
      </c>
      <c r="H84">
        <v>-1.1019988162001759</v>
      </c>
      <c r="I84">
        <v>-0.75894545485909348</v>
      </c>
      <c r="J84">
        <v>0.44346695334326802</v>
      </c>
      <c r="K84">
        <v>-2.450093175317039</v>
      </c>
      <c r="L84">
        <v>-1.2837853647385289</v>
      </c>
      <c r="M84">
        <v>0.31217849496054528</v>
      </c>
      <c r="N84">
        <v>-1.246302880202224</v>
      </c>
      <c r="O84">
        <v>1.129019911643409</v>
      </c>
      <c r="P84">
        <v>-0.37360284933995719</v>
      </c>
      <c r="Q84">
        <v>-0.52486557418804092</v>
      </c>
      <c r="R84">
        <v>-1.0615396677464251</v>
      </c>
      <c r="S84">
        <v>9.113751274705443</v>
      </c>
      <c r="T84">
        <v>2.210259888524568E-2</v>
      </c>
      <c r="U84">
        <v>9.0916486758201973</v>
      </c>
      <c r="V84">
        <v>-1.1019988162001759</v>
      </c>
      <c r="W84">
        <v>4.6286620780019438</v>
      </c>
      <c r="X84">
        <v>9.4936803620183419E-2</v>
      </c>
      <c r="Y84">
        <v>4.5337252743817604</v>
      </c>
      <c r="Z84">
        <v>-0.75894545485909348</v>
      </c>
      <c r="AA84">
        <v>-0.44346695334326802</v>
      </c>
      <c r="AB84">
        <v>2.7696665199223802</v>
      </c>
      <c r="AC84">
        <v>2.1305198307116981</v>
      </c>
      <c r="AD84">
        <v>-1.4409165007614539</v>
      </c>
      <c r="AE84">
        <v>-6.3812630620203262E-3</v>
      </c>
      <c r="AF84">
        <v>-1.761152410441867</v>
      </c>
      <c r="AG84">
        <v>-1.7265034555012599</v>
      </c>
      <c r="AH84">
        <v>-1.265581060655063</v>
      </c>
      <c r="AI84">
        <v>-1.5021774980095119</v>
      </c>
      <c r="AJ84">
        <v>1.5759232007834989</v>
      </c>
      <c r="AK84">
        <v>-0.24129612658988969</v>
      </c>
      <c r="AL84">
        <v>-0.39809158931197342</v>
      </c>
      <c r="AM84">
        <v>1.246302880202224</v>
      </c>
      <c r="AN84">
        <v>1.129019911643409</v>
      </c>
      <c r="AO84">
        <v>-0.44112556577946088</v>
      </c>
      <c r="AP84">
        <v>-0.30608013290045361</v>
      </c>
      <c r="AQ84">
        <v>-0.52486557418804092</v>
      </c>
    </row>
    <row r="85" spans="1:43" x14ac:dyDescent="0.3">
      <c r="A85">
        <v>636</v>
      </c>
      <c r="B85">
        <v>2023</v>
      </c>
      <c r="C85" t="s">
        <v>146</v>
      </c>
      <c r="D85">
        <v>7</v>
      </c>
      <c r="E85">
        <v>5.9883045975014157</v>
      </c>
      <c r="F85">
        <v>1.011695402498584</v>
      </c>
      <c r="G85">
        <v>-1.998176373597861</v>
      </c>
      <c r="H85">
        <v>-0.28778490195700102</v>
      </c>
      <c r="I85">
        <v>0.94531875082461081</v>
      </c>
      <c r="J85">
        <v>-0.89158713134232581</v>
      </c>
      <c r="K85">
        <v>0.30213081591089108</v>
      </c>
      <c r="L85">
        <v>-1.943808806371174</v>
      </c>
      <c r="M85">
        <v>-0.17589435916027041</v>
      </c>
      <c r="N85">
        <v>0.86321447669940832</v>
      </c>
      <c r="O85">
        <v>-0.25821550467070759</v>
      </c>
      <c r="P85">
        <v>-0.25308877756884751</v>
      </c>
      <c r="Q85">
        <v>-0.52486557418804092</v>
      </c>
      <c r="R85">
        <v>-1.998176373597861</v>
      </c>
      <c r="S85">
        <v>9.113751274705443</v>
      </c>
      <c r="T85">
        <v>2.210259888524568E-2</v>
      </c>
      <c r="U85">
        <v>9.0916486758201973</v>
      </c>
      <c r="V85">
        <v>-0.28778490195700102</v>
      </c>
      <c r="W85">
        <v>4.6286620780019438</v>
      </c>
      <c r="X85">
        <v>9.4936803620183419E-2</v>
      </c>
      <c r="Y85">
        <v>4.5337252743817604</v>
      </c>
      <c r="Z85">
        <v>0.94531875082461081</v>
      </c>
      <c r="AA85">
        <v>0.89158713134232581</v>
      </c>
      <c r="AB85">
        <v>-0.36105429762281449</v>
      </c>
      <c r="AC85">
        <v>-0.24320733419896781</v>
      </c>
      <c r="AD85">
        <v>-1.506884679791749</v>
      </c>
      <c r="AE85">
        <v>-2.4747779611997238</v>
      </c>
      <c r="AF85">
        <v>-2.1585802464947261</v>
      </c>
      <c r="AG85">
        <v>-1.9186339844721649</v>
      </c>
      <c r="AH85">
        <v>-1.9641772414317309</v>
      </c>
      <c r="AI85">
        <v>-1.6397987248369521</v>
      </c>
      <c r="AJ85">
        <v>0.12446918431069361</v>
      </c>
      <c r="AK85">
        <v>-1.20350421552075</v>
      </c>
      <c r="AL85">
        <v>0.55135195372924584</v>
      </c>
      <c r="AM85">
        <v>-0.86321447669940832</v>
      </c>
      <c r="AN85">
        <v>-0.25821550467070759</v>
      </c>
      <c r="AO85">
        <v>-0.1720508731603603</v>
      </c>
      <c r="AP85">
        <v>-0.33412668197733469</v>
      </c>
      <c r="AQ85">
        <v>-0.52486557418804092</v>
      </c>
    </row>
    <row r="86" spans="1:43" x14ac:dyDescent="0.3">
      <c r="A86">
        <v>638</v>
      </c>
      <c r="B86">
        <v>2023</v>
      </c>
      <c r="C86" t="s">
        <v>148</v>
      </c>
      <c r="D86">
        <v>9</v>
      </c>
      <c r="E86">
        <v>7.6410986222829234</v>
      </c>
      <c r="F86">
        <v>1.3589013777170771</v>
      </c>
      <c r="G86">
        <v>-1.445273864619727</v>
      </c>
      <c r="H86">
        <v>-0.93054361975325228</v>
      </c>
      <c r="I86">
        <v>1.2415075140206719</v>
      </c>
      <c r="J86">
        <v>0.45527686371726422</v>
      </c>
      <c r="K86">
        <v>0.30213081591089108</v>
      </c>
      <c r="L86">
        <v>-0.48408279277210098</v>
      </c>
      <c r="M86">
        <v>-0.58310710323427439</v>
      </c>
      <c r="N86">
        <v>8.7391057873146286E-2</v>
      </c>
      <c r="O86">
        <v>-0.39867048823726592</v>
      </c>
      <c r="P86">
        <v>-3.5617394210885891</v>
      </c>
      <c r="Q86">
        <v>-0.52486557418804092</v>
      </c>
      <c r="R86">
        <v>-1.445273864619727</v>
      </c>
      <c r="S86">
        <v>9.113751274705443</v>
      </c>
      <c r="T86">
        <v>2.210259888524568E-2</v>
      </c>
      <c r="U86">
        <v>9.0916486758201973</v>
      </c>
      <c r="V86">
        <v>-0.93054361975325228</v>
      </c>
      <c r="W86">
        <v>4.6286620780019438</v>
      </c>
      <c r="X86">
        <v>9.4936803620183419E-2</v>
      </c>
      <c r="Y86">
        <v>4.5337252743817604</v>
      </c>
      <c r="Z86">
        <v>1.2415075140206719</v>
      </c>
      <c r="AA86">
        <v>-0.45527686371726422</v>
      </c>
      <c r="AB86">
        <v>-0.36105429762281449</v>
      </c>
      <c r="AC86">
        <v>-0.24320733419896781</v>
      </c>
      <c r="AD86">
        <v>-0.39816813327584027</v>
      </c>
      <c r="AE86">
        <v>-0.44375239287427981</v>
      </c>
      <c r="AF86">
        <v>-0.51177615696220236</v>
      </c>
      <c r="AG86">
        <v>-0.65486780366537378</v>
      </c>
      <c r="AH86">
        <v>-0.71233694927482905</v>
      </c>
      <c r="AI86">
        <v>-0.18359532058008091</v>
      </c>
      <c r="AJ86">
        <v>-0.27686778756057429</v>
      </c>
      <c r="AK86">
        <v>-1.1850240121493609</v>
      </c>
      <c r="AL86">
        <v>-0.28742950999288791</v>
      </c>
      <c r="AM86">
        <v>-8.7391057873146286E-2</v>
      </c>
      <c r="AN86">
        <v>-0.39867048823726592</v>
      </c>
      <c r="AO86">
        <v>-3.6538258301925528</v>
      </c>
      <c r="AP86">
        <v>-3.4696530119846258</v>
      </c>
      <c r="AQ86">
        <v>-0.52486557418804092</v>
      </c>
    </row>
    <row r="87" spans="1:43" x14ac:dyDescent="0.3">
      <c r="A87">
        <v>644</v>
      </c>
      <c r="B87">
        <v>2023</v>
      </c>
      <c r="C87" t="s">
        <v>149</v>
      </c>
      <c r="D87">
        <v>4.6666666666666679</v>
      </c>
      <c r="E87">
        <v>7.5911192626658126</v>
      </c>
      <c r="F87">
        <v>-2.9244525959991461</v>
      </c>
      <c r="G87">
        <v>-1.3840496057115841</v>
      </c>
      <c r="H87">
        <v>0.1624662608820997</v>
      </c>
      <c r="I87">
        <v>1.548654912175786</v>
      </c>
      <c r="J87">
        <v>-2.902744275677843</v>
      </c>
      <c r="K87">
        <v>0.30213081591089108</v>
      </c>
      <c r="L87">
        <v>-1.303829023950092</v>
      </c>
      <c r="M87">
        <v>-0.60638395453340366</v>
      </c>
      <c r="N87">
        <v>0.53654906009925829</v>
      </c>
      <c r="O87">
        <v>-0.2296124459661204</v>
      </c>
      <c r="P87">
        <v>-0.95406765069393806</v>
      </c>
      <c r="Q87">
        <v>-0.52486557418804092</v>
      </c>
      <c r="R87">
        <v>-1.3840496057115841</v>
      </c>
      <c r="S87">
        <v>9.113751274705443</v>
      </c>
      <c r="T87">
        <v>2.210259888524568E-2</v>
      </c>
      <c r="U87">
        <v>9.0916486758201973</v>
      </c>
      <c r="V87">
        <v>0.1624662608820997</v>
      </c>
      <c r="W87">
        <v>4.6286620780019438</v>
      </c>
      <c r="X87">
        <v>9.4936803620183419E-2</v>
      </c>
      <c r="Y87">
        <v>4.5337252743817604</v>
      </c>
      <c r="Z87">
        <v>1.548654912175786</v>
      </c>
      <c r="AA87">
        <v>2.902744275677843</v>
      </c>
      <c r="AB87">
        <v>-0.36105429762281449</v>
      </c>
      <c r="AC87">
        <v>-0.24320733419896781</v>
      </c>
      <c r="AD87">
        <v>-1.336661734449188</v>
      </c>
      <c r="AE87">
        <v>-2.3847327577575248</v>
      </c>
      <c r="AF87">
        <v>-1.127532270108311</v>
      </c>
      <c r="AG87">
        <v>-1.478544112836303</v>
      </c>
      <c r="AH87">
        <v>-0.8890874811752032</v>
      </c>
      <c r="AI87">
        <v>-0.60641578737402413</v>
      </c>
      <c r="AJ87">
        <v>-8.4481653745043642E-2</v>
      </c>
      <c r="AK87">
        <v>-1.7476802040818371</v>
      </c>
      <c r="AL87">
        <v>1.3009994226670259E-2</v>
      </c>
      <c r="AM87">
        <v>-0.53654906009925829</v>
      </c>
      <c r="AN87">
        <v>-0.2296124459661204</v>
      </c>
      <c r="AO87">
        <v>-1.298960037974932</v>
      </c>
      <c r="AP87">
        <v>-0.60917526341294359</v>
      </c>
      <c r="AQ87">
        <v>-0.52486557418804092</v>
      </c>
    </row>
    <row r="88" spans="1:43" x14ac:dyDescent="0.3">
      <c r="A88">
        <v>646</v>
      </c>
      <c r="B88">
        <v>2023</v>
      </c>
      <c r="C88" t="s">
        <v>150</v>
      </c>
      <c r="D88">
        <v>6.5</v>
      </c>
      <c r="E88">
        <v>7.645561382215087</v>
      </c>
      <c r="F88">
        <v>-1.145561382215087</v>
      </c>
      <c r="G88">
        <v>-1.8945163724004579E-2</v>
      </c>
      <c r="H88">
        <v>-0.92056105988149572</v>
      </c>
      <c r="I88">
        <v>-0.4916158857185447</v>
      </c>
      <c r="J88">
        <v>0.35597058989391978</v>
      </c>
      <c r="K88">
        <v>0.30213081591089108</v>
      </c>
      <c r="L88">
        <v>-1.023679466060134</v>
      </c>
      <c r="M88">
        <v>-0.2345314337417454</v>
      </c>
      <c r="N88">
        <v>-0.34829248211014602</v>
      </c>
      <c r="O88">
        <v>-0.2649136893040604</v>
      </c>
      <c r="P88">
        <v>-0.1647812824496564</v>
      </c>
      <c r="Q88">
        <v>-0.52486557418804092</v>
      </c>
      <c r="R88">
        <v>-1.8945163724004579E-2</v>
      </c>
      <c r="S88">
        <v>9.113751274705443</v>
      </c>
      <c r="T88">
        <v>2.210259888524568E-2</v>
      </c>
      <c r="U88">
        <v>9.0916486758201973</v>
      </c>
      <c r="V88">
        <v>-0.92056105988149572</v>
      </c>
      <c r="W88">
        <v>4.6286620780019438</v>
      </c>
      <c r="X88">
        <v>9.4936803620183419E-2</v>
      </c>
      <c r="Y88">
        <v>4.5337252743817604</v>
      </c>
      <c r="Z88">
        <v>-0.4916158857185447</v>
      </c>
      <c r="AA88">
        <v>-0.35597058989391978</v>
      </c>
      <c r="AB88">
        <v>-0.36105429762281449</v>
      </c>
      <c r="AC88">
        <v>-0.24320733419896781</v>
      </c>
      <c r="AD88">
        <v>-1.178867964294678</v>
      </c>
      <c r="AE88">
        <v>-0.43055906160785312</v>
      </c>
      <c r="AF88">
        <v>-1.140019277762319</v>
      </c>
      <c r="AG88">
        <v>-1.119360989576804</v>
      </c>
      <c r="AH88">
        <v>-1.1066664371460151</v>
      </c>
      <c r="AI88">
        <v>-1.1666030659731359</v>
      </c>
      <c r="AJ88">
        <v>0.32294491439002188</v>
      </c>
      <c r="AK88">
        <v>-0.50711405186942626</v>
      </c>
      <c r="AL88">
        <v>-0.51942516374583181</v>
      </c>
      <c r="AM88">
        <v>0.34829248211014602</v>
      </c>
      <c r="AN88">
        <v>-0.2649136893040604</v>
      </c>
      <c r="AO88">
        <v>-0.248845503180811</v>
      </c>
      <c r="AP88">
        <v>-8.071706171850182E-2</v>
      </c>
      <c r="AQ88">
        <v>-0.52486557418804092</v>
      </c>
    </row>
    <row r="89" spans="1:43" x14ac:dyDescent="0.3">
      <c r="A89">
        <v>652</v>
      </c>
      <c r="B89">
        <v>2023</v>
      </c>
      <c r="C89" t="s">
        <v>151</v>
      </c>
      <c r="D89">
        <v>2</v>
      </c>
      <c r="E89">
        <v>5.9829437499966094</v>
      </c>
      <c r="F89">
        <v>-3.9829437499966089</v>
      </c>
      <c r="G89">
        <v>-1.0370750873422629</v>
      </c>
      <c r="H89">
        <v>-0.19497855404649561</v>
      </c>
      <c r="I89">
        <v>0.33377452822920539</v>
      </c>
      <c r="J89">
        <v>-2.2547636843498422</v>
      </c>
      <c r="K89">
        <v>-3.920499583278287</v>
      </c>
      <c r="L89">
        <v>-0.19263824516728251</v>
      </c>
      <c r="M89">
        <v>-1.204717780431833</v>
      </c>
      <c r="N89">
        <v>-0.58460954569246226</v>
      </c>
      <c r="O89">
        <v>-0.15531173379769439</v>
      </c>
      <c r="P89">
        <v>0.23440818628374449</v>
      </c>
      <c r="Q89">
        <v>-0.52486557418804092</v>
      </c>
      <c r="R89">
        <v>-1.0370750873422629</v>
      </c>
      <c r="S89">
        <v>9.113751274705443</v>
      </c>
      <c r="T89">
        <v>2.210259888524568E-2</v>
      </c>
      <c r="U89">
        <v>9.0916486758201973</v>
      </c>
      <c r="V89">
        <v>-0.19497855404649561</v>
      </c>
      <c r="W89">
        <v>4.6286620780019438</v>
      </c>
      <c r="X89">
        <v>9.4936803620183419E-2</v>
      </c>
      <c r="Y89">
        <v>4.5337252743817604</v>
      </c>
      <c r="Z89">
        <v>0.33377452822920539</v>
      </c>
      <c r="AA89">
        <v>2.2547636843498422</v>
      </c>
      <c r="AB89">
        <v>2.7696665199223802</v>
      </c>
      <c r="AC89">
        <v>5.0713326466341941</v>
      </c>
      <c r="AD89">
        <v>0.3035601060417546</v>
      </c>
      <c r="AE89">
        <v>-5.5154253366469293E-2</v>
      </c>
      <c r="AF89">
        <v>-0.37026868581574418</v>
      </c>
      <c r="AG89">
        <v>-0.52405050243593176</v>
      </c>
      <c r="AH89">
        <v>-0.27600566472260668</v>
      </c>
      <c r="AI89">
        <v>-0.2339104707046977</v>
      </c>
      <c r="AJ89">
        <v>-1.1978503072759019</v>
      </c>
      <c r="AK89">
        <v>-1.174381395029231</v>
      </c>
      <c r="AL89">
        <v>-1.241921638990368</v>
      </c>
      <c r="AM89">
        <v>0.58460954569246226</v>
      </c>
      <c r="AN89">
        <v>-0.15531173379769439</v>
      </c>
      <c r="AO89">
        <v>8.776007080574226E-2</v>
      </c>
      <c r="AP89">
        <v>0.38105630176174671</v>
      </c>
      <c r="AQ89">
        <v>-0.52486557418804092</v>
      </c>
    </row>
    <row r="90" spans="1:43" x14ac:dyDescent="0.3">
      <c r="A90">
        <v>662</v>
      </c>
      <c r="B90">
        <v>2023</v>
      </c>
      <c r="C90" t="s">
        <v>152</v>
      </c>
      <c r="D90">
        <v>10</v>
      </c>
      <c r="E90">
        <v>9.8307404590682737</v>
      </c>
      <c r="F90">
        <v>0.16925954093172629</v>
      </c>
      <c r="G90">
        <v>-0.98253206870630905</v>
      </c>
      <c r="H90">
        <v>-0.200954752612925</v>
      </c>
      <c r="I90">
        <v>1.1470274899115509</v>
      </c>
      <c r="J90">
        <v>0.39807797631622932</v>
      </c>
      <c r="K90">
        <v>0.30213081591089108</v>
      </c>
      <c r="L90">
        <v>-0.59893669017671358</v>
      </c>
      <c r="M90">
        <v>-0.77086342668229835</v>
      </c>
      <c r="N90">
        <v>1.44900497800359E-2</v>
      </c>
      <c r="O90">
        <v>-0.2856935786974924</v>
      </c>
      <c r="P90">
        <v>5.5708987149082602E-2</v>
      </c>
      <c r="Q90">
        <v>-0.52486557418804092</v>
      </c>
      <c r="R90">
        <v>-0.98253206870630905</v>
      </c>
      <c r="S90">
        <v>9.113751274705443</v>
      </c>
      <c r="T90">
        <v>2.210259888524568E-2</v>
      </c>
      <c r="U90">
        <v>9.0916486758201973</v>
      </c>
      <c r="V90">
        <v>-0.200954752612925</v>
      </c>
      <c r="W90">
        <v>4.6286620780019438</v>
      </c>
      <c r="X90">
        <v>9.4936803620183419E-2</v>
      </c>
      <c r="Y90">
        <v>4.5337252743817604</v>
      </c>
      <c r="Z90">
        <v>1.1470274899115509</v>
      </c>
      <c r="AA90">
        <v>-0.39807797631622932</v>
      </c>
      <c r="AB90">
        <v>-0.36105429762281449</v>
      </c>
      <c r="AC90">
        <v>-0.24320733419896781</v>
      </c>
      <c r="AD90">
        <v>-0.57266273647660759</v>
      </c>
      <c r="AE90">
        <v>-0.78486195449426044</v>
      </c>
      <c r="AF90">
        <v>-0.66919736550283238</v>
      </c>
      <c r="AG90">
        <v>-0.45071562990427527</v>
      </c>
      <c r="AH90">
        <v>-0.66450697215433563</v>
      </c>
      <c r="AI90">
        <v>-0.45167548252797018</v>
      </c>
      <c r="AJ90">
        <v>-0.38790894412389559</v>
      </c>
      <c r="AK90">
        <v>-1.0983155579380659</v>
      </c>
      <c r="AL90">
        <v>-0.82636577798493316</v>
      </c>
      <c r="AM90">
        <v>-1.44900497800359E-2</v>
      </c>
      <c r="AN90">
        <v>-0.2856935786974924</v>
      </c>
      <c r="AO90">
        <v>-9.2955860123457426E-2</v>
      </c>
      <c r="AP90">
        <v>0.2043738344216226</v>
      </c>
      <c r="AQ90">
        <v>-0.52486557418804092</v>
      </c>
    </row>
    <row r="91" spans="1:43" x14ac:dyDescent="0.3">
      <c r="A91">
        <v>664</v>
      </c>
      <c r="B91">
        <v>2023</v>
      </c>
      <c r="C91" t="s">
        <v>153</v>
      </c>
      <c r="D91">
        <v>7.6666666666666661</v>
      </c>
      <c r="E91">
        <v>8.6455182130822816</v>
      </c>
      <c r="F91">
        <v>-0.97885154641561556</v>
      </c>
      <c r="G91">
        <v>-1.1337984701746051</v>
      </c>
      <c r="H91">
        <v>-4.0903794998571899E-2</v>
      </c>
      <c r="I91">
        <v>0.74753940275884456</v>
      </c>
      <c r="J91">
        <v>-0.29323105840328201</v>
      </c>
      <c r="K91">
        <v>0.30213081591089108</v>
      </c>
      <c r="L91">
        <v>-0.70827987556383964</v>
      </c>
      <c r="M91">
        <v>-1.2790033660897211</v>
      </c>
      <c r="N91">
        <v>-0.42661105749676131</v>
      </c>
      <c r="O91">
        <v>-0.45886363392888152</v>
      </c>
      <c r="P91">
        <v>8.2836632755943412E-2</v>
      </c>
      <c r="Q91">
        <v>-0.52486557418804092</v>
      </c>
      <c r="R91">
        <v>-1.1337984701746051</v>
      </c>
      <c r="S91">
        <v>9.113751274705443</v>
      </c>
      <c r="T91">
        <v>2.210259888524568E-2</v>
      </c>
      <c r="U91">
        <v>9.0916486758201973</v>
      </c>
      <c r="V91">
        <v>-4.0903794998571899E-2</v>
      </c>
      <c r="W91">
        <v>4.6286620780019438</v>
      </c>
      <c r="X91">
        <v>9.4936803620183419E-2</v>
      </c>
      <c r="Y91">
        <v>4.5337252743817604</v>
      </c>
      <c r="Z91">
        <v>0.74753940275884456</v>
      </c>
      <c r="AA91">
        <v>0.29323105840328201</v>
      </c>
      <c r="AB91">
        <v>-0.36105429762281449</v>
      </c>
      <c r="AC91">
        <v>-0.24320733419896781</v>
      </c>
      <c r="AD91">
        <v>-0.29244599506553209</v>
      </c>
      <c r="AE91">
        <v>-1.15079272626967</v>
      </c>
      <c r="AF91">
        <v>-0.60656965069951208</v>
      </c>
      <c r="AG91">
        <v>-0.76272870374751511</v>
      </c>
      <c r="AH91">
        <v>-0.51947403431957662</v>
      </c>
      <c r="AI91">
        <v>-0.91766814328123181</v>
      </c>
      <c r="AJ91">
        <v>-0.75819649306987447</v>
      </c>
      <c r="AK91">
        <v>-1.0242297426366931</v>
      </c>
      <c r="AL91">
        <v>-2.0545838625625938</v>
      </c>
      <c r="AM91">
        <v>0.42661105749676131</v>
      </c>
      <c r="AN91">
        <v>-0.45886363392888152</v>
      </c>
      <c r="AO91">
        <v>-0.1021516323524304</v>
      </c>
      <c r="AP91">
        <v>0.26782489786431718</v>
      </c>
      <c r="AQ91">
        <v>-0.52486557418804092</v>
      </c>
    </row>
    <row r="92" spans="1:43" x14ac:dyDescent="0.3">
      <c r="A92">
        <v>666</v>
      </c>
      <c r="B92">
        <v>2023</v>
      </c>
      <c r="C92" t="s">
        <v>154</v>
      </c>
      <c r="D92">
        <v>8</v>
      </c>
      <c r="E92">
        <v>6.7674844044979476</v>
      </c>
      <c r="F92">
        <v>1.2325155955020519</v>
      </c>
      <c r="G92">
        <v>-1.737270651726835</v>
      </c>
      <c r="H92">
        <v>-2.070618349059858</v>
      </c>
      <c r="I92">
        <v>-1.069716624733734</v>
      </c>
      <c r="J92">
        <v>-0.18884976655169389</v>
      </c>
      <c r="K92">
        <v>0.30213081591089108</v>
      </c>
      <c r="L92">
        <v>-0.69595898579420334</v>
      </c>
      <c r="M92">
        <v>0.8244720506449964</v>
      </c>
      <c r="N92">
        <v>-9.4861462359629875E-2</v>
      </c>
      <c r="O92">
        <v>-0.42166155441120629</v>
      </c>
      <c r="P92">
        <v>0.62179899031980446</v>
      </c>
      <c r="Q92">
        <v>-0.52486557418804092</v>
      </c>
      <c r="R92">
        <v>-1.737270651726835</v>
      </c>
      <c r="S92">
        <v>9.113751274705443</v>
      </c>
      <c r="T92">
        <v>2.210259888524568E-2</v>
      </c>
      <c r="U92">
        <v>9.0916486758201973</v>
      </c>
      <c r="V92">
        <v>-2.070618349059858</v>
      </c>
      <c r="W92">
        <v>4.6286620780019438</v>
      </c>
      <c r="X92">
        <v>9.4936803620183419E-2</v>
      </c>
      <c r="Y92">
        <v>4.5337252743817604</v>
      </c>
      <c r="Z92">
        <v>-1.069716624733734</v>
      </c>
      <c r="AA92">
        <v>0.18884976655169389</v>
      </c>
      <c r="AB92">
        <v>-0.36105429762281449</v>
      </c>
      <c r="AC92">
        <v>-0.24320733419896781</v>
      </c>
      <c r="AD92">
        <v>-0.1206107246739066</v>
      </c>
      <c r="AE92">
        <v>-0.39496146384892827</v>
      </c>
      <c r="AF92">
        <v>-1.3347088327316909</v>
      </c>
      <c r="AG92">
        <v>-0.98912631506227622</v>
      </c>
      <c r="AH92">
        <v>-0.68472938289743734</v>
      </c>
      <c r="AI92">
        <v>-0.65161719555098108</v>
      </c>
      <c r="AJ92">
        <v>-0.20930584711942929</v>
      </c>
      <c r="AK92">
        <v>2.249406283152259</v>
      </c>
      <c r="AL92">
        <v>0.43331571590215912</v>
      </c>
      <c r="AM92">
        <v>9.4861462359629875E-2</v>
      </c>
      <c r="AN92">
        <v>-0.42166155441120629</v>
      </c>
      <c r="AO92">
        <v>0.91570303259531705</v>
      </c>
      <c r="AP92">
        <v>0.32789494804429181</v>
      </c>
      <c r="AQ92">
        <v>-0.52486557418804092</v>
      </c>
    </row>
    <row r="93" spans="1:43" x14ac:dyDescent="0.3">
      <c r="A93">
        <v>674</v>
      </c>
      <c r="B93">
        <v>2023</v>
      </c>
      <c r="C93" t="s">
        <v>155</v>
      </c>
      <c r="D93">
        <v>7</v>
      </c>
      <c r="E93">
        <v>6.5649503881497848</v>
      </c>
      <c r="F93">
        <v>0.43504961185021518</v>
      </c>
      <c r="G93">
        <v>-2.1773565444809941</v>
      </c>
      <c r="H93">
        <v>-1.042824291494002</v>
      </c>
      <c r="I93">
        <v>3.8415303137614328E-2</v>
      </c>
      <c r="J93">
        <v>-0.48747451158204619</v>
      </c>
      <c r="K93">
        <v>0.30213081591089108</v>
      </c>
      <c r="L93">
        <v>-1.062049146661505</v>
      </c>
      <c r="M93">
        <v>-0.44066336649425919</v>
      </c>
      <c r="N93">
        <v>0.14973475534301689</v>
      </c>
      <c r="O93">
        <v>-0.32389133430931472</v>
      </c>
      <c r="P93">
        <v>0.35352769319495481</v>
      </c>
      <c r="Q93">
        <v>-0.52486557418804092</v>
      </c>
      <c r="R93">
        <v>-2.1773565444809941</v>
      </c>
      <c r="S93">
        <v>9.113751274705443</v>
      </c>
      <c r="T93">
        <v>2.210259888524568E-2</v>
      </c>
      <c r="U93">
        <v>9.0916486758201973</v>
      </c>
      <c r="V93">
        <v>-1.042824291494002</v>
      </c>
      <c r="W93">
        <v>4.6286620780019438</v>
      </c>
      <c r="X93">
        <v>9.4936803620183419E-2</v>
      </c>
      <c r="Y93">
        <v>4.5337252743817604</v>
      </c>
      <c r="Z93">
        <v>3.8415303137614328E-2</v>
      </c>
      <c r="AA93">
        <v>0.48747451158204619</v>
      </c>
      <c r="AB93">
        <v>-0.36105429762281449</v>
      </c>
      <c r="AC93">
        <v>-0.24320733419896781</v>
      </c>
      <c r="AD93">
        <v>-0.51026040496146352</v>
      </c>
      <c r="AE93">
        <v>-0.8553706949589075</v>
      </c>
      <c r="AF93">
        <v>-1.412193924633343</v>
      </c>
      <c r="AG93">
        <v>-1.2269447728588689</v>
      </c>
      <c r="AH93">
        <v>-1.2165390283104349</v>
      </c>
      <c r="AI93">
        <v>-1.150986054246014</v>
      </c>
      <c r="AJ93">
        <v>-0.28929758075746148</v>
      </c>
      <c r="AK93">
        <v>-1.2935952069562731</v>
      </c>
      <c r="AL93">
        <v>0.26090268823095691</v>
      </c>
      <c r="AM93">
        <v>-0.14973475534301689</v>
      </c>
      <c r="AN93">
        <v>-0.32389133430931472</v>
      </c>
      <c r="AO93">
        <v>0.33758698943518378</v>
      </c>
      <c r="AP93">
        <v>0.36946839695472578</v>
      </c>
      <c r="AQ93">
        <v>-0.52486557418804092</v>
      </c>
    </row>
    <row r="94" spans="1:43" x14ac:dyDescent="0.3">
      <c r="A94">
        <v>684</v>
      </c>
      <c r="B94">
        <v>2023</v>
      </c>
      <c r="C94" t="s">
        <v>156</v>
      </c>
      <c r="D94">
        <v>13</v>
      </c>
      <c r="E94">
        <v>11.873749773613421</v>
      </c>
      <c r="F94">
        <v>1.1262502263865779</v>
      </c>
      <c r="G94">
        <v>0.14005325569631219</v>
      </c>
      <c r="H94">
        <v>-1.1045097486878079</v>
      </c>
      <c r="I94">
        <v>-0.37722694710214127</v>
      </c>
      <c r="J94">
        <v>-0.1107975155985139</v>
      </c>
      <c r="K94">
        <v>0.30213081591089108</v>
      </c>
      <c r="L94">
        <v>0.64567980500625322</v>
      </c>
      <c r="M94">
        <v>-0.49120143707195751</v>
      </c>
      <c r="N94">
        <v>-0.65014821874568152</v>
      </c>
      <c r="O94">
        <v>-0.67830030039219347</v>
      </c>
      <c r="P94">
        <v>0.91384827700778559</v>
      </c>
      <c r="Q94">
        <v>-0.52486557418804092</v>
      </c>
      <c r="R94">
        <v>0.14005325569631219</v>
      </c>
      <c r="S94">
        <v>9.113751274705443</v>
      </c>
      <c r="T94">
        <v>2.210259888524568E-2</v>
      </c>
      <c r="U94">
        <v>9.0916486758201973</v>
      </c>
      <c r="V94">
        <v>-1.1045097486878079</v>
      </c>
      <c r="W94">
        <v>4.6286620780019438</v>
      </c>
      <c r="X94">
        <v>9.4936803620183419E-2</v>
      </c>
      <c r="Y94">
        <v>4.5337252743817604</v>
      </c>
      <c r="Z94">
        <v>-0.37722694710214127</v>
      </c>
      <c r="AA94">
        <v>0.1107975155985139</v>
      </c>
      <c r="AB94">
        <v>-0.36105429762281449</v>
      </c>
      <c r="AC94">
        <v>-0.24320733419896781</v>
      </c>
      <c r="AD94">
        <v>0.53253590856641109</v>
      </c>
      <c r="AE94">
        <v>0.89803762050887082</v>
      </c>
      <c r="AF94">
        <v>0.52903783115181946</v>
      </c>
      <c r="AG94">
        <v>0.89007539262863034</v>
      </c>
      <c r="AH94">
        <v>0.69633232881129348</v>
      </c>
      <c r="AI94">
        <v>0.32805974837049368</v>
      </c>
      <c r="AJ94">
        <v>-0.69890437471536826</v>
      </c>
      <c r="AK94">
        <v>-0.44499086821471151</v>
      </c>
      <c r="AL94">
        <v>-0.32970906828579288</v>
      </c>
      <c r="AM94">
        <v>0.65014821874568152</v>
      </c>
      <c r="AN94">
        <v>-0.67830030039219347</v>
      </c>
      <c r="AO94">
        <v>0.97272416990332655</v>
      </c>
      <c r="AP94">
        <v>0.85497238411224474</v>
      </c>
      <c r="AQ94">
        <v>-0.52486557418804092</v>
      </c>
    </row>
    <row r="95" spans="1:43" x14ac:dyDescent="0.3">
      <c r="A95">
        <v>686</v>
      </c>
      <c r="B95">
        <v>2023</v>
      </c>
      <c r="C95" t="s">
        <v>157</v>
      </c>
      <c r="D95">
        <v>11.66666666666667</v>
      </c>
      <c r="E95">
        <v>10.91728589621499</v>
      </c>
      <c r="F95">
        <v>0.7493807704516815</v>
      </c>
      <c r="G95">
        <v>-0.65354637397836901</v>
      </c>
      <c r="H95">
        <v>0.11565758623981021</v>
      </c>
      <c r="I95">
        <v>-0.36059252511250411</v>
      </c>
      <c r="J95">
        <v>0.38165094427743979</v>
      </c>
      <c r="K95">
        <v>0.30213081591089108</v>
      </c>
      <c r="L95">
        <v>-0.47534191081097349</v>
      </c>
      <c r="M95">
        <v>-0.21413837957904239</v>
      </c>
      <c r="N95">
        <v>-0.29603379452510747</v>
      </c>
      <c r="O95">
        <v>-0.18983712563370159</v>
      </c>
      <c r="P95">
        <v>0.48677626099158278</v>
      </c>
      <c r="Q95">
        <v>-0.52486557418804092</v>
      </c>
      <c r="R95">
        <v>-0.65354637397836901</v>
      </c>
      <c r="S95">
        <v>9.113751274705443</v>
      </c>
      <c r="T95">
        <v>2.210259888524568E-2</v>
      </c>
      <c r="U95">
        <v>9.0916486758201973</v>
      </c>
      <c r="V95">
        <v>0.11565758623981021</v>
      </c>
      <c r="W95">
        <v>4.6286620780019438</v>
      </c>
      <c r="X95">
        <v>9.4936803620183419E-2</v>
      </c>
      <c r="Y95">
        <v>4.5337252743817604</v>
      </c>
      <c r="Z95">
        <v>-0.36059252511250411</v>
      </c>
      <c r="AA95">
        <v>-0.38165094427743979</v>
      </c>
      <c r="AB95">
        <v>-0.36105429762281449</v>
      </c>
      <c r="AC95">
        <v>-0.24320733419896781</v>
      </c>
      <c r="AD95">
        <v>-0.69952907932412955</v>
      </c>
      <c r="AE95">
        <v>-0.46910817691260281</v>
      </c>
      <c r="AF95">
        <v>-0.3066999925940721</v>
      </c>
      <c r="AG95">
        <v>-0.39180218822248919</v>
      </c>
      <c r="AH95">
        <v>-0.30595030566781178</v>
      </c>
      <c r="AI95">
        <v>-0.67896172214473638</v>
      </c>
      <c r="AJ95">
        <v>-0.49784745774233158</v>
      </c>
      <c r="AK95">
        <v>-0.15219514604926321</v>
      </c>
      <c r="AL95">
        <v>7.6274650544676022E-3</v>
      </c>
      <c r="AM95">
        <v>0.29603379452510747</v>
      </c>
      <c r="AN95">
        <v>-0.18983712563370159</v>
      </c>
      <c r="AO95">
        <v>0.5817089644581166</v>
      </c>
      <c r="AP95">
        <v>0.39184355752504901</v>
      </c>
      <c r="AQ95">
        <v>-0.52486557418804092</v>
      </c>
    </row>
    <row r="96" spans="1:43" x14ac:dyDescent="0.3">
      <c r="A96">
        <v>688</v>
      </c>
      <c r="B96">
        <v>2023</v>
      </c>
      <c r="C96" t="s">
        <v>158</v>
      </c>
      <c r="D96">
        <v>5.6666666666666679</v>
      </c>
      <c r="E96">
        <v>2.1885458181921118</v>
      </c>
      <c r="F96">
        <v>3.478120848474556</v>
      </c>
      <c r="G96">
        <v>-2.0659119360553628</v>
      </c>
      <c r="H96">
        <v>-0.8986001428985686</v>
      </c>
      <c r="I96">
        <v>0.56539029897730453</v>
      </c>
      <c r="J96">
        <v>-0.20842483608920609</v>
      </c>
      <c r="K96">
        <v>-2.450093175317039</v>
      </c>
      <c r="L96">
        <v>-1.13382559582566</v>
      </c>
      <c r="M96">
        <v>-0.18298853091344661</v>
      </c>
      <c r="N96">
        <v>-0.91271964690421359</v>
      </c>
      <c r="O96">
        <v>-3.6804059636874951</v>
      </c>
      <c r="P96">
        <v>0.35451584151504389</v>
      </c>
      <c r="Q96">
        <v>-0.52486557418804092</v>
      </c>
      <c r="R96">
        <v>-2.0659119360553628</v>
      </c>
      <c r="S96">
        <v>9.113751274705443</v>
      </c>
      <c r="T96">
        <v>2.210259888524568E-2</v>
      </c>
      <c r="U96">
        <v>9.0916486758201973</v>
      </c>
      <c r="V96">
        <v>-0.8986001428985686</v>
      </c>
      <c r="W96">
        <v>4.6286620780019438</v>
      </c>
      <c r="X96">
        <v>9.4936803620183419E-2</v>
      </c>
      <c r="Y96">
        <v>4.5337252743817604</v>
      </c>
      <c r="Z96">
        <v>0.56539029897730453</v>
      </c>
      <c r="AA96">
        <v>0.20842483608920609</v>
      </c>
      <c r="AB96">
        <v>2.7696665199223802</v>
      </c>
      <c r="AC96">
        <v>2.1305198307116981</v>
      </c>
      <c r="AD96">
        <v>-0.81563989836578921</v>
      </c>
      <c r="AE96">
        <v>-1.5465436317586709</v>
      </c>
      <c r="AF96">
        <v>-1.0692442581534369</v>
      </c>
      <c r="AG96">
        <v>-1.1235722563582911</v>
      </c>
      <c r="AH96">
        <v>-1.2717444904118349</v>
      </c>
      <c r="AI96">
        <v>-0.97620903990593511</v>
      </c>
      <c r="AJ96">
        <v>3.4678964503340903E-2</v>
      </c>
      <c r="AK96">
        <v>-2.7288771476569541E-2</v>
      </c>
      <c r="AL96">
        <v>-0.55635578576711109</v>
      </c>
      <c r="AM96">
        <v>0.91271964690421359</v>
      </c>
      <c r="AN96">
        <v>-3.6804059636874951</v>
      </c>
      <c r="AO96">
        <v>0.55733974173722722</v>
      </c>
      <c r="AP96">
        <v>0.15169194129286059</v>
      </c>
      <c r="AQ96">
        <v>-0.52486557418804092</v>
      </c>
    </row>
    <row r="97" spans="1:43" x14ac:dyDescent="0.3">
      <c r="A97">
        <v>692</v>
      </c>
      <c r="B97">
        <v>2023</v>
      </c>
      <c r="C97" t="s">
        <v>160</v>
      </c>
      <c r="D97">
        <v>5</v>
      </c>
      <c r="E97">
        <v>4.6383201255473141</v>
      </c>
      <c r="F97">
        <v>0.3616798744526859</v>
      </c>
      <c r="G97">
        <v>-2.0611761462036031</v>
      </c>
      <c r="H97">
        <v>-1.012821097146777</v>
      </c>
      <c r="I97">
        <v>1.385890804098705</v>
      </c>
      <c r="J97">
        <v>0.3611410029978826</v>
      </c>
      <c r="K97">
        <v>0.30213081591089108</v>
      </c>
      <c r="L97">
        <v>-1.137072566905593</v>
      </c>
      <c r="M97">
        <v>-0.84836262061171996</v>
      </c>
      <c r="N97">
        <v>0.1733220098670453</v>
      </c>
      <c r="O97">
        <v>-1.130078629967632</v>
      </c>
      <c r="P97">
        <v>-4.235158741337429</v>
      </c>
      <c r="Q97">
        <v>-0.52486557418804092</v>
      </c>
      <c r="R97">
        <v>-2.0611761462036031</v>
      </c>
      <c r="S97">
        <v>9.113751274705443</v>
      </c>
      <c r="T97">
        <v>2.210259888524568E-2</v>
      </c>
      <c r="U97">
        <v>9.0916486758201973</v>
      </c>
      <c r="V97">
        <v>-1.012821097146777</v>
      </c>
      <c r="W97">
        <v>4.6286620780019438</v>
      </c>
      <c r="X97">
        <v>9.4936803620183419E-2</v>
      </c>
      <c r="Y97">
        <v>4.5337252743817604</v>
      </c>
      <c r="Z97">
        <v>1.385890804098705</v>
      </c>
      <c r="AA97">
        <v>-0.3611410029978826</v>
      </c>
      <c r="AB97">
        <v>-0.36105429762281449</v>
      </c>
      <c r="AC97">
        <v>-0.24320733419896781</v>
      </c>
      <c r="AD97">
        <v>-0.92947383791215865</v>
      </c>
      <c r="AE97">
        <v>-2.0251116320808888</v>
      </c>
      <c r="AF97">
        <v>-0.98442961650026672</v>
      </c>
      <c r="AG97">
        <v>-1.2466813947921691</v>
      </c>
      <c r="AH97">
        <v>-0.92979663385390421</v>
      </c>
      <c r="AI97">
        <v>-0.70694228629417089</v>
      </c>
      <c r="AJ97">
        <v>-0.42296797775785749</v>
      </c>
      <c r="AK97">
        <v>-1.5654356985130931</v>
      </c>
      <c r="AL97">
        <v>-0.55668418556420962</v>
      </c>
      <c r="AM97">
        <v>-0.1733220098670453</v>
      </c>
      <c r="AN97">
        <v>-1.130078629967632</v>
      </c>
      <c r="AO97">
        <v>-4.6885699852314318</v>
      </c>
      <c r="AP97">
        <v>-3.7817474974434262</v>
      </c>
      <c r="AQ97">
        <v>-0.52486557418804092</v>
      </c>
    </row>
    <row r="98" spans="1:43" x14ac:dyDescent="0.3">
      <c r="A98">
        <v>694</v>
      </c>
      <c r="B98">
        <v>2023</v>
      </c>
      <c r="C98" t="s">
        <v>162</v>
      </c>
      <c r="D98">
        <v>6.6666666666666679</v>
      </c>
      <c r="E98">
        <v>8.3957723854777804</v>
      </c>
      <c r="F98">
        <v>-1.729105718811113</v>
      </c>
      <c r="G98">
        <v>-1.1197547406753781</v>
      </c>
      <c r="H98">
        <v>0.74458530329359407</v>
      </c>
      <c r="I98">
        <v>-0.33854427549369348</v>
      </c>
      <c r="J98">
        <v>-2.2640742437400041</v>
      </c>
      <c r="K98">
        <v>0.30213081591089108</v>
      </c>
      <c r="L98">
        <v>-1.303998958594103</v>
      </c>
      <c r="M98">
        <v>-1.8658330743545539</v>
      </c>
      <c r="N98">
        <v>0.60325459380030955</v>
      </c>
      <c r="O98">
        <v>0.15178322152565241</v>
      </c>
      <c r="P98">
        <v>0.23468246843422461</v>
      </c>
      <c r="Q98">
        <v>-0.52486557418804092</v>
      </c>
      <c r="R98">
        <v>-1.1197547406753781</v>
      </c>
      <c r="S98">
        <v>9.113751274705443</v>
      </c>
      <c r="T98">
        <v>2.210259888524568E-2</v>
      </c>
      <c r="U98">
        <v>9.0916486758201973</v>
      </c>
      <c r="V98">
        <v>0.74458530329359407</v>
      </c>
      <c r="W98">
        <v>4.6286620780019438</v>
      </c>
      <c r="X98">
        <v>9.4936803620183419E-2</v>
      </c>
      <c r="Y98">
        <v>4.5337252743817604</v>
      </c>
      <c r="Z98">
        <v>-0.33854427549369348</v>
      </c>
      <c r="AA98">
        <v>2.2640742437400041</v>
      </c>
      <c r="AB98">
        <v>-0.36105429762281449</v>
      </c>
      <c r="AC98">
        <v>-0.24320733419896781</v>
      </c>
      <c r="AD98">
        <v>-0.76531327935505</v>
      </c>
      <c r="AE98">
        <v>-2.1441984287495108</v>
      </c>
      <c r="AF98">
        <v>-1.2163035019681701</v>
      </c>
      <c r="AG98">
        <v>-1.382900202173917</v>
      </c>
      <c r="AH98">
        <v>-1.1227798947179359</v>
      </c>
      <c r="AI98">
        <v>-1.192498444600032</v>
      </c>
      <c r="AJ98">
        <v>-0.63191881581359455</v>
      </c>
      <c r="AK98">
        <v>-1.824571050252082</v>
      </c>
      <c r="AL98">
        <v>-3.141009356997984</v>
      </c>
      <c r="AM98">
        <v>-0.60325459380030955</v>
      </c>
      <c r="AN98">
        <v>0.15178322152565241</v>
      </c>
      <c r="AO98">
        <v>-8.712759833561691E-2</v>
      </c>
      <c r="AP98">
        <v>0.55649253520406616</v>
      </c>
      <c r="AQ98">
        <v>-0.52486557418804092</v>
      </c>
    </row>
    <row r="99" spans="1:43" x14ac:dyDescent="0.3">
      <c r="A99">
        <v>714</v>
      </c>
      <c r="B99">
        <v>2023</v>
      </c>
      <c r="C99" t="s">
        <v>163</v>
      </c>
      <c r="D99">
        <v>8.6666666666666661</v>
      </c>
      <c r="E99">
        <v>9.0554396653066878</v>
      </c>
      <c r="F99">
        <v>-0.38877299864002168</v>
      </c>
      <c r="G99">
        <v>-1.652954965334241</v>
      </c>
      <c r="H99">
        <v>-1.0960651115434139</v>
      </c>
      <c r="I99">
        <v>1.583233553162118</v>
      </c>
      <c r="J99">
        <v>-0.32217392437638731</v>
      </c>
      <c r="K99">
        <v>0.30213081591089108</v>
      </c>
      <c r="L99">
        <v>-7.782094535030358E-2</v>
      </c>
      <c r="M99">
        <v>-0.5055785782865857</v>
      </c>
      <c r="N99">
        <v>-0.14925939446569331</v>
      </c>
      <c r="O99">
        <v>-1.204133655827113</v>
      </c>
      <c r="P99">
        <v>0.1596933590174279</v>
      </c>
      <c r="Q99">
        <v>-0.52486557418804092</v>
      </c>
      <c r="R99">
        <v>-1.652954965334241</v>
      </c>
      <c r="S99">
        <v>9.113751274705443</v>
      </c>
      <c r="T99">
        <v>2.210259888524568E-2</v>
      </c>
      <c r="U99">
        <v>9.0916486758201973</v>
      </c>
      <c r="V99">
        <v>-1.0960651115434139</v>
      </c>
      <c r="W99">
        <v>4.6286620780019438</v>
      </c>
      <c r="X99">
        <v>9.4936803620183419E-2</v>
      </c>
      <c r="Y99">
        <v>4.5337252743817604</v>
      </c>
      <c r="Z99">
        <v>1.583233553162118</v>
      </c>
      <c r="AA99">
        <v>0.32217392437638731</v>
      </c>
      <c r="AB99">
        <v>-0.36105429762281449</v>
      </c>
      <c r="AC99">
        <v>-0.24320733419896781</v>
      </c>
      <c r="AD99">
        <v>-1.160109911528141</v>
      </c>
      <c r="AE99">
        <v>9.9970237680552354E-2</v>
      </c>
      <c r="AF99">
        <v>0.1685814852409602</v>
      </c>
      <c r="AG99">
        <v>-0.17723541996672151</v>
      </c>
      <c r="AH99">
        <v>5.1494235679545537E-2</v>
      </c>
      <c r="AI99">
        <v>0.550373700791983</v>
      </c>
      <c r="AJ99">
        <v>-0.69622294755394298</v>
      </c>
      <c r="AK99">
        <v>-0.61230270945211052</v>
      </c>
      <c r="AL99">
        <v>-0.20821007785370371</v>
      </c>
      <c r="AM99">
        <v>0.14925939446569331</v>
      </c>
      <c r="AN99">
        <v>-1.204133655827113</v>
      </c>
      <c r="AO99">
        <v>0.18542408883781639</v>
      </c>
      <c r="AP99">
        <v>0.13396262919703941</v>
      </c>
      <c r="AQ99">
        <v>-0.52486557418804092</v>
      </c>
    </row>
    <row r="100" spans="1:43" x14ac:dyDescent="0.3">
      <c r="A100">
        <v>718</v>
      </c>
      <c r="B100">
        <v>2023</v>
      </c>
      <c r="C100" t="s">
        <v>164</v>
      </c>
      <c r="D100">
        <v>10</v>
      </c>
      <c r="E100">
        <v>11.421253047630209</v>
      </c>
      <c r="F100">
        <v>-1.421253047630211</v>
      </c>
      <c r="G100">
        <v>0.6520343776752302</v>
      </c>
      <c r="H100">
        <v>-2.07725830112759</v>
      </c>
      <c r="I100">
        <v>8.0285147463236714E-2</v>
      </c>
      <c r="J100">
        <v>0.29459339817639851</v>
      </c>
      <c r="K100">
        <v>0.30213081591089108</v>
      </c>
      <c r="L100">
        <v>0.58752533126026318</v>
      </c>
      <c r="M100">
        <v>4.6142665592254863E-2</v>
      </c>
      <c r="N100">
        <v>7.6583705682513784E-2</v>
      </c>
      <c r="O100">
        <v>-0.78741088328066877</v>
      </c>
      <c r="P100">
        <v>0.5679221988828993</v>
      </c>
      <c r="Q100">
        <v>-0.52486557418804092</v>
      </c>
      <c r="R100">
        <v>0.6520343776752302</v>
      </c>
      <c r="S100">
        <v>9.113751274705443</v>
      </c>
      <c r="T100">
        <v>2.210259888524568E-2</v>
      </c>
      <c r="U100">
        <v>9.0916486758201973</v>
      </c>
      <c r="V100">
        <v>-2.07725830112759</v>
      </c>
      <c r="W100">
        <v>4.6286620780019438</v>
      </c>
      <c r="X100">
        <v>9.4936803620183419E-2</v>
      </c>
      <c r="Y100">
        <v>4.5337252743817604</v>
      </c>
      <c r="Z100">
        <v>8.0285147463236714E-2</v>
      </c>
      <c r="AA100">
        <v>-0.29459339817639851</v>
      </c>
      <c r="AB100">
        <v>-0.36105429762281449</v>
      </c>
      <c r="AC100">
        <v>-0.24320733419896781</v>
      </c>
      <c r="AD100">
        <v>0.46641943131237762</v>
      </c>
      <c r="AE100">
        <v>0.88378470879446969</v>
      </c>
      <c r="AF100">
        <v>0.4333784132271456</v>
      </c>
      <c r="AG100">
        <v>-7.9156515782354137E-2</v>
      </c>
      <c r="AH100">
        <v>0.29625310024476548</v>
      </c>
      <c r="AI100">
        <v>1.5244728497651749</v>
      </c>
      <c r="AJ100">
        <v>5.2145831152998971E-2</v>
      </c>
      <c r="AK100">
        <v>0.19100863084796571</v>
      </c>
      <c r="AL100">
        <v>-0.10472646522420009</v>
      </c>
      <c r="AM100">
        <v>-7.6583705682513784E-2</v>
      </c>
      <c r="AN100">
        <v>-0.78741088328066877</v>
      </c>
      <c r="AO100">
        <v>0.81853248251992128</v>
      </c>
      <c r="AP100">
        <v>0.31731191524587732</v>
      </c>
      <c r="AQ100">
        <v>-0.52486557418804092</v>
      </c>
    </row>
    <row r="101" spans="1:43" x14ac:dyDescent="0.3">
      <c r="A101">
        <v>722</v>
      </c>
      <c r="B101">
        <v>2023</v>
      </c>
      <c r="C101" t="s">
        <v>166</v>
      </c>
      <c r="D101">
        <v>9.5</v>
      </c>
      <c r="E101">
        <v>7.9702996440204279</v>
      </c>
      <c r="F101">
        <v>1.5297003559795721</v>
      </c>
      <c r="G101">
        <v>-1.2988087811020119</v>
      </c>
      <c r="H101">
        <v>-0.69841410361862366</v>
      </c>
      <c r="I101">
        <v>1.046784358971375</v>
      </c>
      <c r="J101">
        <v>0.30854015824649728</v>
      </c>
      <c r="K101">
        <v>0.30213081591089108</v>
      </c>
      <c r="L101">
        <v>-0.27268497697419752</v>
      </c>
      <c r="M101">
        <v>-0.67578265119768821</v>
      </c>
      <c r="N101">
        <v>-1.675985422568095</v>
      </c>
      <c r="O101">
        <v>-0.9580076976973142</v>
      </c>
      <c r="P101">
        <v>1.9352038587533281E-2</v>
      </c>
      <c r="Q101">
        <v>-0.52486557418804092</v>
      </c>
      <c r="R101">
        <v>-1.2988087811020119</v>
      </c>
      <c r="S101">
        <v>9.113751274705443</v>
      </c>
      <c r="T101">
        <v>2.210259888524568E-2</v>
      </c>
      <c r="U101">
        <v>9.0916486758201973</v>
      </c>
      <c r="V101">
        <v>-0.69841410361862366</v>
      </c>
      <c r="W101">
        <v>4.6286620780019438</v>
      </c>
      <c r="X101">
        <v>9.4936803620183419E-2</v>
      </c>
      <c r="Y101">
        <v>4.5337252743817604</v>
      </c>
      <c r="Z101">
        <v>1.046784358971375</v>
      </c>
      <c r="AA101">
        <v>-0.30854015824649728</v>
      </c>
      <c r="AB101">
        <v>-0.36105429762281449</v>
      </c>
      <c r="AC101">
        <v>-0.24320733419896781</v>
      </c>
      <c r="AD101">
        <v>-4.604717910678428E-3</v>
      </c>
      <c r="AE101">
        <v>-0.19504039896417899</v>
      </c>
      <c r="AF101">
        <v>-0.18841676498245649</v>
      </c>
      <c r="AG101">
        <v>-0.71079428967420699</v>
      </c>
      <c r="AH101">
        <v>-0.46296625756245757</v>
      </c>
      <c r="AI101">
        <v>-7.42874327512065E-2</v>
      </c>
      <c r="AJ101">
        <v>-0.47456665556509708</v>
      </c>
      <c r="AK101">
        <v>-0.71567634706081906</v>
      </c>
      <c r="AL101">
        <v>-0.83710495096714876</v>
      </c>
      <c r="AM101">
        <v>1.675985422568095</v>
      </c>
      <c r="AN101">
        <v>-0.9580076976973142</v>
      </c>
      <c r="AO101">
        <v>5.160785525291834E-2</v>
      </c>
      <c r="AP101">
        <v>-1.290377807785178E-2</v>
      </c>
      <c r="AQ101">
        <v>-0.52486557418804092</v>
      </c>
    </row>
    <row r="102" spans="1:43" x14ac:dyDescent="0.3">
      <c r="A102">
        <v>728</v>
      </c>
      <c r="B102">
        <v>2023</v>
      </c>
      <c r="C102" t="s">
        <v>167</v>
      </c>
      <c r="D102">
        <v>9.5</v>
      </c>
      <c r="E102">
        <v>10.22463646942937</v>
      </c>
      <c r="F102">
        <v>-0.72463646942936677</v>
      </c>
      <c r="G102">
        <v>-0.59944898953907044</v>
      </c>
      <c r="H102">
        <v>-1.171520643939411</v>
      </c>
      <c r="I102">
        <v>-0.80474469020589012</v>
      </c>
      <c r="J102">
        <v>-3.1371575554982163E-2</v>
      </c>
      <c r="K102">
        <v>0.30213081591089108</v>
      </c>
      <c r="L102">
        <v>0.1310673719736542</v>
      </c>
      <c r="M102">
        <v>-0.33297485894688911</v>
      </c>
      <c r="N102">
        <v>-0.25310999212272339</v>
      </c>
      <c r="O102">
        <v>-0.50416043078338835</v>
      </c>
      <c r="P102">
        <v>0.37658301160093982</v>
      </c>
      <c r="Q102">
        <v>-0.52486557418804092</v>
      </c>
      <c r="R102">
        <v>-0.59944898953907044</v>
      </c>
      <c r="S102">
        <v>9.113751274705443</v>
      </c>
      <c r="T102">
        <v>2.210259888524568E-2</v>
      </c>
      <c r="U102">
        <v>9.0916486758201973</v>
      </c>
      <c r="V102">
        <v>-1.171520643939411</v>
      </c>
      <c r="W102">
        <v>4.6286620780019438</v>
      </c>
      <c r="X102">
        <v>9.4936803620183419E-2</v>
      </c>
      <c r="Y102">
        <v>4.5337252743817604</v>
      </c>
      <c r="Z102">
        <v>-0.80474469020589012</v>
      </c>
      <c r="AA102">
        <v>3.1371575554982163E-2</v>
      </c>
      <c r="AB102">
        <v>-0.36105429762281449</v>
      </c>
      <c r="AC102">
        <v>-0.24320733419896781</v>
      </c>
      <c r="AD102">
        <v>0.49704691709917259</v>
      </c>
      <c r="AE102">
        <v>0.62220945608254807</v>
      </c>
      <c r="AF102">
        <v>-0.23185636153822151</v>
      </c>
      <c r="AG102">
        <v>-0.38959093244483162</v>
      </c>
      <c r="AH102">
        <v>0.30972002234058338</v>
      </c>
      <c r="AI102">
        <v>-2.1124869697325591E-2</v>
      </c>
      <c r="AJ102">
        <v>-0.68654976171926874</v>
      </c>
      <c r="AK102">
        <v>0.36772557558687557</v>
      </c>
      <c r="AL102">
        <v>-0.68010039070827422</v>
      </c>
      <c r="AM102">
        <v>0.25310999212272339</v>
      </c>
      <c r="AN102">
        <v>-0.50416043078338835</v>
      </c>
      <c r="AO102">
        <v>0.52774278283558584</v>
      </c>
      <c r="AP102">
        <v>0.22542324036629369</v>
      </c>
      <c r="AQ102">
        <v>-0.52486557418804092</v>
      </c>
    </row>
    <row r="103" spans="1:43" x14ac:dyDescent="0.3">
      <c r="A103">
        <v>738</v>
      </c>
      <c r="B103">
        <v>2023</v>
      </c>
      <c r="C103" t="s">
        <v>168</v>
      </c>
      <c r="D103">
        <v>8.5</v>
      </c>
      <c r="E103">
        <v>9.8185735716394156</v>
      </c>
      <c r="F103">
        <v>-1.318573571639416</v>
      </c>
      <c r="G103">
        <v>-1.5364431699151451</v>
      </c>
      <c r="H103">
        <v>-0.2092928717388354</v>
      </c>
      <c r="I103">
        <v>1.2056627359275169</v>
      </c>
      <c r="J103">
        <v>0.13997705945125311</v>
      </c>
      <c r="K103">
        <v>0.30213081591089108</v>
      </c>
      <c r="L103">
        <v>-0.60564073303305133</v>
      </c>
      <c r="M103">
        <v>-0.62063835521061728</v>
      </c>
      <c r="N103">
        <v>0.28464607214947429</v>
      </c>
      <c r="O103">
        <v>-0.25975427681620761</v>
      </c>
      <c r="P103">
        <v>7.6540707299530691E-2</v>
      </c>
      <c r="Q103">
        <v>-0.52486557418804092</v>
      </c>
      <c r="R103">
        <v>-1.5364431699151451</v>
      </c>
      <c r="S103">
        <v>9.113751274705443</v>
      </c>
      <c r="T103">
        <v>2.210259888524568E-2</v>
      </c>
      <c r="U103">
        <v>9.0916486758201973</v>
      </c>
      <c r="V103">
        <v>-0.2092928717388354</v>
      </c>
      <c r="W103">
        <v>4.6286620780019438</v>
      </c>
      <c r="X103">
        <v>9.4936803620183419E-2</v>
      </c>
      <c r="Y103">
        <v>4.5337252743817604</v>
      </c>
      <c r="Z103">
        <v>1.2056627359275169</v>
      </c>
      <c r="AA103">
        <v>-0.13997705945125311</v>
      </c>
      <c r="AB103">
        <v>-0.36105429762281449</v>
      </c>
      <c r="AC103">
        <v>-0.24320733419896781</v>
      </c>
      <c r="AD103">
        <v>-0.74911086214346134</v>
      </c>
      <c r="AE103">
        <v>-9.2384274727521684E-2</v>
      </c>
      <c r="AF103">
        <v>-0.77625494462599265</v>
      </c>
      <c r="AG103">
        <v>-0.98713425413058042</v>
      </c>
      <c r="AH103">
        <v>-0.57027290202897507</v>
      </c>
      <c r="AI103">
        <v>-0.4586871605417765</v>
      </c>
      <c r="AJ103">
        <v>-4.6615892615010181E-2</v>
      </c>
      <c r="AK103">
        <v>-1.160191238869057</v>
      </c>
      <c r="AL103">
        <v>-0.6551079341477849</v>
      </c>
      <c r="AM103">
        <v>-0.28464607214947429</v>
      </c>
      <c r="AN103">
        <v>-0.25975427681620761</v>
      </c>
      <c r="AO103">
        <v>-0.1687245257781117</v>
      </c>
      <c r="AP103">
        <v>0.32180594037717308</v>
      </c>
      <c r="AQ103">
        <v>-0.52486557418804092</v>
      </c>
    </row>
    <row r="104" spans="1:43" x14ac:dyDescent="0.3">
      <c r="A104">
        <v>742</v>
      </c>
      <c r="B104">
        <v>2023</v>
      </c>
      <c r="C104" t="s">
        <v>169</v>
      </c>
      <c r="D104">
        <v>7.5</v>
      </c>
      <c r="E104">
        <v>5.4597885212760344</v>
      </c>
      <c r="F104">
        <v>2.040211478723966</v>
      </c>
      <c r="G104">
        <v>-1.718348579261485</v>
      </c>
      <c r="H104">
        <v>-1.3341956683363609</v>
      </c>
      <c r="I104">
        <v>0.80198329835222426</v>
      </c>
      <c r="J104">
        <v>0.32048362172650002</v>
      </c>
      <c r="K104">
        <v>0.30213081591089108</v>
      </c>
      <c r="L104">
        <v>-0.91487111095630957</v>
      </c>
      <c r="M104">
        <v>-0.59164808774611499</v>
      </c>
      <c r="N104">
        <v>-0.29319999009465869</v>
      </c>
      <c r="O104">
        <v>-5.9972515068525301E-2</v>
      </c>
      <c r="P104">
        <v>-3.165764786614921</v>
      </c>
      <c r="Q104">
        <v>-0.52486557418804092</v>
      </c>
      <c r="R104">
        <v>-1.718348579261485</v>
      </c>
      <c r="S104">
        <v>9.113751274705443</v>
      </c>
      <c r="T104">
        <v>2.210259888524568E-2</v>
      </c>
      <c r="U104">
        <v>9.0916486758201973</v>
      </c>
      <c r="V104">
        <v>-1.3341956683363609</v>
      </c>
      <c r="W104">
        <v>4.6286620780019438</v>
      </c>
      <c r="X104">
        <v>9.4936803620183419E-2</v>
      </c>
      <c r="Y104">
        <v>4.5337252743817604</v>
      </c>
      <c r="Z104">
        <v>0.80198329835222426</v>
      </c>
      <c r="AA104">
        <v>-0.32048362172650002</v>
      </c>
      <c r="AB104">
        <v>-0.36105429762281449</v>
      </c>
      <c r="AC104">
        <v>-0.24320733419896781</v>
      </c>
      <c r="AD104">
        <v>-1.026730712102758</v>
      </c>
      <c r="AE104">
        <v>-1.170433233828456</v>
      </c>
      <c r="AF104">
        <v>-0.91400858401066909</v>
      </c>
      <c r="AG104">
        <v>-0.87905302347788694</v>
      </c>
      <c r="AH104">
        <v>-0.735750675634669</v>
      </c>
      <c r="AI104">
        <v>-0.7632504366834183</v>
      </c>
      <c r="AJ104">
        <v>-0.35658386046238533</v>
      </c>
      <c r="AK104">
        <v>-0.78852464874357209</v>
      </c>
      <c r="AL104">
        <v>-0.62983575403238745</v>
      </c>
      <c r="AM104">
        <v>0.29319999009465869</v>
      </c>
      <c r="AN104">
        <v>-5.9972515068525301E-2</v>
      </c>
      <c r="AO104">
        <v>-3.1686464065719768</v>
      </c>
      <c r="AP104">
        <v>-3.1628831666578638</v>
      </c>
      <c r="AQ104">
        <v>-0.52486557418804092</v>
      </c>
    </row>
    <row r="105" spans="1:43" x14ac:dyDescent="0.3">
      <c r="A105">
        <v>744</v>
      </c>
      <c r="B105">
        <v>2023</v>
      </c>
      <c r="C105" t="s">
        <v>170</v>
      </c>
      <c r="D105">
        <v>4.5</v>
      </c>
      <c r="E105">
        <v>8.4629226625820273</v>
      </c>
      <c r="F105">
        <v>-3.9629226625820269</v>
      </c>
      <c r="G105">
        <v>-0.64924606714978073</v>
      </c>
      <c r="H105">
        <v>-0.45930601992980907</v>
      </c>
      <c r="I105">
        <v>-0.83015475214281631</v>
      </c>
      <c r="J105">
        <v>-0.57519982321311969</v>
      </c>
      <c r="K105">
        <v>0.30213081591089108</v>
      </c>
      <c r="L105">
        <v>-0.59995870562441389</v>
      </c>
      <c r="M105">
        <v>-0.38097553310159399</v>
      </c>
      <c r="N105">
        <v>-0.72132671826342165</v>
      </c>
      <c r="O105">
        <v>-0.63763275083255211</v>
      </c>
      <c r="P105">
        <v>8.4692125363571069E-2</v>
      </c>
      <c r="Q105">
        <v>-0.52486557418804092</v>
      </c>
      <c r="R105">
        <v>-0.64924606714978073</v>
      </c>
      <c r="S105">
        <v>9.113751274705443</v>
      </c>
      <c r="T105">
        <v>2.210259888524568E-2</v>
      </c>
      <c r="U105">
        <v>9.0916486758201973</v>
      </c>
      <c r="V105">
        <v>-0.45930601992980907</v>
      </c>
      <c r="W105">
        <v>4.6286620780019438</v>
      </c>
      <c r="X105">
        <v>9.4936803620183419E-2</v>
      </c>
      <c r="Y105">
        <v>4.5337252743817604</v>
      </c>
      <c r="Z105">
        <v>-0.83015475214281631</v>
      </c>
      <c r="AA105">
        <v>0.57519982321311969</v>
      </c>
      <c r="AB105">
        <v>-0.36105429762281449</v>
      </c>
      <c r="AC105">
        <v>-0.24320733419896781</v>
      </c>
      <c r="AD105">
        <v>-0.39137763566256001</v>
      </c>
      <c r="AE105">
        <v>-0.78386097386790088</v>
      </c>
      <c r="AF105">
        <v>-0.60310819437486107</v>
      </c>
      <c r="AG105">
        <v>-1.022044156592647</v>
      </c>
      <c r="AH105">
        <v>-0.31828253776656729</v>
      </c>
      <c r="AI105">
        <v>-0.48107873548194757</v>
      </c>
      <c r="AJ105">
        <v>-0.50391199393920005</v>
      </c>
      <c r="AK105">
        <v>-6.0454136455580683E-2</v>
      </c>
      <c r="AL105">
        <v>-0.57856046891000135</v>
      </c>
      <c r="AM105">
        <v>0.72132671826342165</v>
      </c>
      <c r="AN105">
        <v>-0.63763275083255211</v>
      </c>
      <c r="AO105">
        <v>0.24841631448287249</v>
      </c>
      <c r="AP105">
        <v>-7.9032063755730381E-2</v>
      </c>
      <c r="AQ105">
        <v>-0.52486557418804092</v>
      </c>
    </row>
    <row r="106" spans="1:43" x14ac:dyDescent="0.3">
      <c r="A106">
        <v>746</v>
      </c>
      <c r="B106">
        <v>2023</v>
      </c>
      <c r="C106" t="s">
        <v>171</v>
      </c>
      <c r="D106">
        <v>8.3333333333333339</v>
      </c>
      <c r="E106">
        <v>7.948756293054231</v>
      </c>
      <c r="F106">
        <v>0.38457704027910289</v>
      </c>
      <c r="G106">
        <v>-1.592125809720268</v>
      </c>
      <c r="H106">
        <v>-0.4233481695161832</v>
      </c>
      <c r="I106">
        <v>1.0226404341412709</v>
      </c>
      <c r="J106">
        <v>5.2595170092767762E-2</v>
      </c>
      <c r="K106">
        <v>0.30213081591089108</v>
      </c>
      <c r="L106">
        <v>-0.90880407393723095</v>
      </c>
      <c r="M106">
        <v>-1.0234995344539839</v>
      </c>
      <c r="N106">
        <v>0.2093557779679463</v>
      </c>
      <c r="O106">
        <v>-0.83816450236543594</v>
      </c>
      <c r="P106">
        <v>0.1489180447573008</v>
      </c>
      <c r="Q106">
        <v>-0.52486557418804092</v>
      </c>
      <c r="R106">
        <v>-1.592125809720268</v>
      </c>
      <c r="S106">
        <v>9.113751274705443</v>
      </c>
      <c r="T106">
        <v>2.210259888524568E-2</v>
      </c>
      <c r="U106">
        <v>9.0916486758201973</v>
      </c>
      <c r="V106">
        <v>-0.4233481695161832</v>
      </c>
      <c r="W106">
        <v>4.6286620780019438</v>
      </c>
      <c r="X106">
        <v>9.4936803620183419E-2</v>
      </c>
      <c r="Y106">
        <v>4.5337252743817604</v>
      </c>
      <c r="Z106">
        <v>1.0226404341412709</v>
      </c>
      <c r="AA106">
        <v>-5.2595170092767762E-2</v>
      </c>
      <c r="AB106">
        <v>-0.36105429762281449</v>
      </c>
      <c r="AC106">
        <v>-0.24320733419896781</v>
      </c>
      <c r="AD106">
        <v>-0.92987636166230558</v>
      </c>
      <c r="AE106">
        <v>-0.86106324905863474</v>
      </c>
      <c r="AF106">
        <v>-0.88203436139755853</v>
      </c>
      <c r="AG106">
        <v>-0.90646373646903666</v>
      </c>
      <c r="AH106">
        <v>-0.6792590166331901</v>
      </c>
      <c r="AI106">
        <v>-1.19412771840266</v>
      </c>
      <c r="AJ106">
        <v>-0.4042731678286684</v>
      </c>
      <c r="AK106">
        <v>-1.2379895950262889</v>
      </c>
      <c r="AL106">
        <v>-1.4282358405069939</v>
      </c>
      <c r="AM106">
        <v>-0.2093557779679463</v>
      </c>
      <c r="AN106">
        <v>-0.83816450236543594</v>
      </c>
      <c r="AO106">
        <v>-1.7027345236115019E-2</v>
      </c>
      <c r="AP106">
        <v>0.3148634347507166</v>
      </c>
      <c r="AQ106">
        <v>-0.52486557418804092</v>
      </c>
    </row>
    <row r="107" spans="1:43" x14ac:dyDescent="0.3">
      <c r="A107">
        <v>748</v>
      </c>
      <c r="B107">
        <v>2023</v>
      </c>
      <c r="C107" t="s">
        <v>172</v>
      </c>
      <c r="D107">
        <v>6</v>
      </c>
      <c r="E107">
        <v>5.6125236295035519</v>
      </c>
      <c r="F107">
        <v>0.38747637049644812</v>
      </c>
      <c r="G107">
        <v>-1.8013699568226671</v>
      </c>
      <c r="H107">
        <v>-0.91908000771531828</v>
      </c>
      <c r="I107">
        <v>0.79333863810564109</v>
      </c>
      <c r="J107">
        <v>0.34765213929123429</v>
      </c>
      <c r="K107">
        <v>0.30213081591089108</v>
      </c>
      <c r="L107">
        <v>-1.1424149854240531</v>
      </c>
      <c r="M107">
        <v>-0.53327742961349522</v>
      </c>
      <c r="N107">
        <v>3.4215551207668733E-2</v>
      </c>
      <c r="O107">
        <v>-0.2264573165249272</v>
      </c>
      <c r="P107">
        <v>-3.394886357171393</v>
      </c>
      <c r="Q107">
        <v>-0.52486557418804092</v>
      </c>
      <c r="R107">
        <v>-1.8013699568226671</v>
      </c>
      <c r="S107">
        <v>9.113751274705443</v>
      </c>
      <c r="T107">
        <v>2.210259888524568E-2</v>
      </c>
      <c r="U107">
        <v>9.0916486758201973</v>
      </c>
      <c r="V107">
        <v>-0.91908000771531828</v>
      </c>
      <c r="W107">
        <v>4.6286620780019438</v>
      </c>
      <c r="X107">
        <v>9.4936803620183419E-2</v>
      </c>
      <c r="Y107">
        <v>4.5337252743817604</v>
      </c>
      <c r="Z107">
        <v>0.79333863810564109</v>
      </c>
      <c r="AA107">
        <v>-0.34765213929123429</v>
      </c>
      <c r="AB107">
        <v>-0.36105429762281449</v>
      </c>
      <c r="AC107">
        <v>-0.24320733419896781</v>
      </c>
      <c r="AD107">
        <v>-1.0570359558845881</v>
      </c>
      <c r="AE107">
        <v>-2.4632613023803178</v>
      </c>
      <c r="AF107">
        <v>-1.1920172970754741</v>
      </c>
      <c r="AG107">
        <v>-0.87042605948862772</v>
      </c>
      <c r="AH107">
        <v>-0.96599711302155034</v>
      </c>
      <c r="AI107">
        <v>-0.30575218469376197</v>
      </c>
      <c r="AJ107">
        <v>-0.74571657973912897</v>
      </c>
      <c r="AK107">
        <v>-0.56832972553715322</v>
      </c>
      <c r="AL107">
        <v>-0.28578598356420343</v>
      </c>
      <c r="AM107">
        <v>-3.4215551207668733E-2</v>
      </c>
      <c r="AN107">
        <v>-0.2264573165249272</v>
      </c>
      <c r="AO107">
        <v>-3.4167921625437412</v>
      </c>
      <c r="AP107">
        <v>-3.3729805517990452</v>
      </c>
      <c r="AQ107">
        <v>-0.52486557418804092</v>
      </c>
    </row>
    <row r="108" spans="1:43" x14ac:dyDescent="0.3">
      <c r="A108">
        <v>754</v>
      </c>
      <c r="B108">
        <v>2023</v>
      </c>
      <c r="C108" t="s">
        <v>173</v>
      </c>
      <c r="D108">
        <v>1.6666666666666681</v>
      </c>
      <c r="E108">
        <v>3.8421278282188429</v>
      </c>
      <c r="F108">
        <v>-2.1754611615521759</v>
      </c>
      <c r="G108">
        <v>-1.475269588305296</v>
      </c>
      <c r="H108">
        <v>-0.75440626187212079</v>
      </c>
      <c r="I108">
        <v>8.3515980080647007E-2</v>
      </c>
      <c r="J108">
        <v>-1.122557688672855</v>
      </c>
      <c r="K108">
        <v>-3.1881896902688212</v>
      </c>
      <c r="L108">
        <v>-0.54025388515847939</v>
      </c>
      <c r="M108">
        <v>-1.236284412149903</v>
      </c>
      <c r="N108">
        <v>-1.972784763063026</v>
      </c>
      <c r="O108">
        <v>0.9659229950787801</v>
      </c>
      <c r="P108">
        <v>-0.1274294452261491</v>
      </c>
      <c r="Q108">
        <v>-0.52486557418804092</v>
      </c>
      <c r="R108">
        <v>-1.475269588305296</v>
      </c>
      <c r="S108">
        <v>9.113751274705443</v>
      </c>
      <c r="T108">
        <v>2.210259888524568E-2</v>
      </c>
      <c r="U108">
        <v>9.0916486758201973</v>
      </c>
      <c r="V108">
        <v>-0.75440626187212079</v>
      </c>
      <c r="W108">
        <v>4.6286620780019438</v>
      </c>
      <c r="X108">
        <v>9.4936803620183419E-2</v>
      </c>
      <c r="Y108">
        <v>4.5337252743817604</v>
      </c>
      <c r="Z108">
        <v>8.3515980080647007E-2</v>
      </c>
      <c r="AA108">
        <v>1.122557688672855</v>
      </c>
      <c r="AB108">
        <v>2.7696665199223802</v>
      </c>
      <c r="AC108">
        <v>3.6067128606152621</v>
      </c>
      <c r="AD108">
        <v>-0.20745327247566619</v>
      </c>
      <c r="AE108">
        <v>0.2119509090423301</v>
      </c>
      <c r="AF108">
        <v>-1.0046539312204119</v>
      </c>
      <c r="AG108">
        <v>-0.8845840022335073</v>
      </c>
      <c r="AH108">
        <v>-0.73749891486309771</v>
      </c>
      <c r="AI108">
        <v>-0.61928409920052352</v>
      </c>
      <c r="AJ108">
        <v>-1.072700333031436</v>
      </c>
      <c r="AK108">
        <v>-0.61865527936102571</v>
      </c>
      <c r="AL108">
        <v>-2.017497624057246</v>
      </c>
      <c r="AM108">
        <v>1.972784763063026</v>
      </c>
      <c r="AN108">
        <v>0.9659229950787801</v>
      </c>
      <c r="AO108">
        <v>-9.816809640409703E-2</v>
      </c>
      <c r="AP108">
        <v>-0.1566907940482011</v>
      </c>
      <c r="AQ108">
        <v>-0.52486557418804092</v>
      </c>
    </row>
    <row r="109" spans="1:43" x14ac:dyDescent="0.3">
      <c r="A109">
        <v>819</v>
      </c>
      <c r="B109">
        <v>2023</v>
      </c>
      <c r="C109" t="s">
        <v>174</v>
      </c>
      <c r="D109">
        <v>9</v>
      </c>
      <c r="E109">
        <v>9.0355762190817064</v>
      </c>
      <c r="F109">
        <v>-3.5576219081706377E-2</v>
      </c>
      <c r="G109">
        <v>-0.33802615619728638</v>
      </c>
      <c r="H109">
        <v>-1.5981028413131779</v>
      </c>
      <c r="I109">
        <v>-0.38403789153884332</v>
      </c>
      <c r="J109">
        <v>0.45010645061330129</v>
      </c>
      <c r="K109">
        <v>0.30213081591089108</v>
      </c>
      <c r="L109">
        <v>0.21952551960797481</v>
      </c>
      <c r="M109">
        <v>-0.8357655838825977</v>
      </c>
      <c r="N109">
        <v>-0.69112725340167946</v>
      </c>
      <c r="O109">
        <v>-1.3182484809030539</v>
      </c>
      <c r="P109">
        <v>0.43795084519502059</v>
      </c>
      <c r="Q109">
        <v>-0.52486557418804092</v>
      </c>
      <c r="R109">
        <v>-0.33802615619728638</v>
      </c>
      <c r="S109">
        <v>9.113751274705443</v>
      </c>
      <c r="T109">
        <v>2.210259888524568E-2</v>
      </c>
      <c r="U109">
        <v>9.0916486758201973</v>
      </c>
      <c r="V109">
        <v>-1.5981028413131779</v>
      </c>
      <c r="W109">
        <v>4.6286620780019438</v>
      </c>
      <c r="X109">
        <v>9.4936803620183419E-2</v>
      </c>
      <c r="Y109">
        <v>4.5337252743817604</v>
      </c>
      <c r="Z109">
        <v>-0.38403789153884332</v>
      </c>
      <c r="AA109">
        <v>-0.45010645061330129</v>
      </c>
      <c r="AB109">
        <v>-0.36105429762281449</v>
      </c>
      <c r="AC109">
        <v>-0.24320733419896781</v>
      </c>
      <c r="AD109">
        <v>5.3564981594611413E-2</v>
      </c>
      <c r="AE109">
        <v>0.86087337445779422</v>
      </c>
      <c r="AF109">
        <v>0.2833091586860898</v>
      </c>
      <c r="AG109">
        <v>-0.42134806344373471</v>
      </c>
      <c r="AH109">
        <v>0.15868160875432641</v>
      </c>
      <c r="AI109">
        <v>0.38207205759876189</v>
      </c>
      <c r="AJ109">
        <v>-1.066911457570789</v>
      </c>
      <c r="AK109">
        <v>-0.52443924253010377</v>
      </c>
      <c r="AL109">
        <v>-0.9159460515468999</v>
      </c>
      <c r="AM109">
        <v>0.69112725340167946</v>
      </c>
      <c r="AN109">
        <v>-1.3182484809030539</v>
      </c>
      <c r="AO109">
        <v>0.59531479090691442</v>
      </c>
      <c r="AP109">
        <v>0.28058689948312671</v>
      </c>
      <c r="AQ109">
        <v>-0.52486557418804092</v>
      </c>
    </row>
    <row r="110" spans="1:43" x14ac:dyDescent="0.3">
      <c r="A110">
        <v>853</v>
      </c>
      <c r="B110">
        <v>2023</v>
      </c>
      <c r="C110" t="s">
        <v>175</v>
      </c>
      <c r="D110">
        <v>7.5</v>
      </c>
      <c r="E110">
        <v>9.3874537901545239</v>
      </c>
      <c r="F110">
        <v>-1.8874537901545241</v>
      </c>
      <c r="G110">
        <v>-1.0002551479040289</v>
      </c>
      <c r="H110">
        <v>-0.69793829901454874</v>
      </c>
      <c r="I110">
        <v>-0.4069593391623591</v>
      </c>
      <c r="J110">
        <v>1.940384886047258E-3</v>
      </c>
      <c r="K110">
        <v>0.30213081591089108</v>
      </c>
      <c r="L110">
        <v>-0.75256126528503453</v>
      </c>
      <c r="M110">
        <v>-0.65231900165934309</v>
      </c>
      <c r="N110">
        <v>0.11647922687981049</v>
      </c>
      <c r="O110">
        <v>2.192285602467142</v>
      </c>
      <c r="P110">
        <v>-0.46383058133117622</v>
      </c>
      <c r="Q110">
        <v>-0.52486557418804092</v>
      </c>
      <c r="R110">
        <v>-1.0002551479040289</v>
      </c>
      <c r="S110">
        <v>9.113751274705443</v>
      </c>
      <c r="T110">
        <v>2.210259888524568E-2</v>
      </c>
      <c r="U110">
        <v>9.0916486758201973</v>
      </c>
      <c r="V110">
        <v>-0.69793829901454874</v>
      </c>
      <c r="W110">
        <v>4.6286620780019438</v>
      </c>
      <c r="X110">
        <v>9.4936803620183419E-2</v>
      </c>
      <c r="Y110">
        <v>4.5337252743817604</v>
      </c>
      <c r="Z110">
        <v>-0.4069593391623591</v>
      </c>
      <c r="AA110">
        <v>-1.940384886047258E-3</v>
      </c>
      <c r="AB110">
        <v>-0.36105429762281449</v>
      </c>
      <c r="AC110">
        <v>-0.24320733419896781</v>
      </c>
      <c r="AD110">
        <v>-0.14840493387033291</v>
      </c>
      <c r="AE110">
        <v>-0.60195516842817065</v>
      </c>
      <c r="AF110">
        <v>-1.165314794029938</v>
      </c>
      <c r="AG110">
        <v>-1.0488188638131291</v>
      </c>
      <c r="AH110">
        <v>-0.74897368236180029</v>
      </c>
      <c r="AI110">
        <v>-0.80190014920683605</v>
      </c>
      <c r="AJ110">
        <v>-0.38457595522231092</v>
      </c>
      <c r="AK110">
        <v>-0.94849390917716025</v>
      </c>
      <c r="AL110">
        <v>-0.6238871405785581</v>
      </c>
      <c r="AM110">
        <v>-0.11647922687981049</v>
      </c>
      <c r="AN110">
        <v>2.192285602467142</v>
      </c>
      <c r="AO110">
        <v>0.15252401890246389</v>
      </c>
      <c r="AP110">
        <v>-1.080185181564816</v>
      </c>
      <c r="AQ110">
        <v>-0.52486557418804092</v>
      </c>
    </row>
    <row r="111" spans="1:43" x14ac:dyDescent="0.3">
      <c r="A111">
        <v>911</v>
      </c>
      <c r="B111">
        <v>2023</v>
      </c>
      <c r="C111" t="s">
        <v>176</v>
      </c>
      <c r="D111">
        <v>9.3333333333333339</v>
      </c>
      <c r="E111">
        <v>10.36779795075279</v>
      </c>
      <c r="F111">
        <v>-1.0344646174194561</v>
      </c>
      <c r="G111">
        <v>-0.11791950955214139</v>
      </c>
      <c r="H111">
        <v>-0.82290804560638642</v>
      </c>
      <c r="I111">
        <v>0.75967685502424931</v>
      </c>
      <c r="J111">
        <v>9.1688072122360645E-2</v>
      </c>
      <c r="K111">
        <v>0.30213081591089108</v>
      </c>
      <c r="L111">
        <v>-0.36679642826878028</v>
      </c>
      <c r="M111">
        <v>-0.24121958001625929</v>
      </c>
      <c r="N111">
        <v>0.21116163373244801</v>
      </c>
      <c r="O111">
        <v>-0.252370756689481</v>
      </c>
      <c r="P111">
        <v>0.13152628349298839</v>
      </c>
      <c r="Q111">
        <v>-0.52486557418804092</v>
      </c>
      <c r="R111">
        <v>-0.11791950955214139</v>
      </c>
      <c r="S111">
        <v>9.113751274705443</v>
      </c>
      <c r="T111">
        <v>2.210259888524568E-2</v>
      </c>
      <c r="U111">
        <v>9.0916486758201973</v>
      </c>
      <c r="V111">
        <v>-0.82290804560638642</v>
      </c>
      <c r="W111">
        <v>4.6286620780019438</v>
      </c>
      <c r="X111">
        <v>9.4936803620183419E-2</v>
      </c>
      <c r="Y111">
        <v>4.5337252743817604</v>
      </c>
      <c r="Z111">
        <v>0.75967685502424931</v>
      </c>
      <c r="AA111">
        <v>-9.1688072122360645E-2</v>
      </c>
      <c r="AB111">
        <v>-0.36105429762281449</v>
      </c>
      <c r="AC111">
        <v>-0.24320733419896781</v>
      </c>
      <c r="AD111">
        <v>-6.8461041033000977E-2</v>
      </c>
      <c r="AE111">
        <v>-1.0210431538966001</v>
      </c>
      <c r="AF111">
        <v>-0.47273227387502309</v>
      </c>
      <c r="AG111">
        <v>-0.26477934284982901</v>
      </c>
      <c r="AH111">
        <v>-0.30005335613762357</v>
      </c>
      <c r="AI111">
        <v>-7.3709401820605328E-2</v>
      </c>
      <c r="AJ111">
        <v>-4.5663610071700257E-2</v>
      </c>
      <c r="AK111">
        <v>-0.37536010194036978</v>
      </c>
      <c r="AL111">
        <v>-0.30263502803670778</v>
      </c>
      <c r="AM111">
        <v>-0.21116163373244801</v>
      </c>
      <c r="AN111">
        <v>-0.252370756689481</v>
      </c>
      <c r="AO111">
        <v>0.28536722211020182</v>
      </c>
      <c r="AP111">
        <v>-2.2314655124224939E-2</v>
      </c>
      <c r="AQ111">
        <v>-0.52486557418804092</v>
      </c>
    </row>
    <row r="112" spans="1:43" x14ac:dyDescent="0.3">
      <c r="A112">
        <v>912</v>
      </c>
      <c r="B112">
        <v>2023</v>
      </c>
      <c r="C112" t="s">
        <v>177</v>
      </c>
      <c r="D112">
        <v>12</v>
      </c>
      <c r="E112">
        <v>11.94584746609255</v>
      </c>
      <c r="F112">
        <v>5.415253390744823E-2</v>
      </c>
      <c r="G112">
        <v>-0.20061376190729471</v>
      </c>
      <c r="H112">
        <v>-0.25043364901797488</v>
      </c>
      <c r="I112">
        <v>-0.41796163402164688</v>
      </c>
      <c r="J112">
        <v>-0.20279652662179259</v>
      </c>
      <c r="K112">
        <v>0.30213081591089108</v>
      </c>
      <c r="L112">
        <v>-0.91734470554847292</v>
      </c>
      <c r="M112">
        <v>0.82460293388459249</v>
      </c>
      <c r="N112">
        <v>1.006905030760981</v>
      </c>
      <c r="O112">
        <v>1.8648633377931569</v>
      </c>
      <c r="P112">
        <v>0.5048815254060719</v>
      </c>
      <c r="Q112">
        <v>-0.52486557418804092</v>
      </c>
      <c r="R112">
        <v>-0.20061376190729471</v>
      </c>
      <c r="S112">
        <v>9.113751274705443</v>
      </c>
      <c r="T112">
        <v>2.210259888524568E-2</v>
      </c>
      <c r="U112">
        <v>9.0916486758201973</v>
      </c>
      <c r="V112">
        <v>-0.25043364901797488</v>
      </c>
      <c r="W112">
        <v>4.6286620780019438</v>
      </c>
      <c r="X112">
        <v>9.4936803620183419E-2</v>
      </c>
      <c r="Y112">
        <v>4.5337252743817604</v>
      </c>
      <c r="Z112">
        <v>-0.41796163402164688</v>
      </c>
      <c r="AA112">
        <v>0.20279652662179259</v>
      </c>
      <c r="AB112">
        <v>-0.36105429762281449</v>
      </c>
      <c r="AC112">
        <v>-0.24320733419896781</v>
      </c>
      <c r="AD112">
        <v>-1.7278869439859339</v>
      </c>
      <c r="AE112">
        <v>-0.90321685135006058</v>
      </c>
      <c r="AF112">
        <v>-0.3030335373997089</v>
      </c>
      <c r="AG112">
        <v>-0.44245777640692102</v>
      </c>
      <c r="AH112">
        <v>-0.77774924876457752</v>
      </c>
      <c r="AI112">
        <v>-1.3497238753836349</v>
      </c>
      <c r="AJ112">
        <v>0.94330687122256873</v>
      </c>
      <c r="AK112">
        <v>0.92757673665048035</v>
      </c>
      <c r="AL112">
        <v>0.6029251937807284</v>
      </c>
      <c r="AM112">
        <v>-1.006905030760981</v>
      </c>
      <c r="AN112">
        <v>1.8648633377931569</v>
      </c>
      <c r="AO112">
        <v>0.40244911663077321</v>
      </c>
      <c r="AP112">
        <v>0.60731393418137058</v>
      </c>
      <c r="AQ112">
        <v>-0.52486557418804092</v>
      </c>
    </row>
    <row r="113" spans="1:43" x14ac:dyDescent="0.3">
      <c r="A113">
        <v>913</v>
      </c>
      <c r="B113">
        <v>2023</v>
      </c>
      <c r="C113" t="s">
        <v>178</v>
      </c>
      <c r="D113">
        <v>1.3333333333333319</v>
      </c>
      <c r="E113">
        <v>5.223130431661315</v>
      </c>
      <c r="F113">
        <v>-3.8897970983279828</v>
      </c>
      <c r="G113">
        <v>-0.13244159180050691</v>
      </c>
      <c r="H113">
        <v>-0.25503712131296519</v>
      </c>
      <c r="I113">
        <v>-1.0708517821398511</v>
      </c>
      <c r="J113">
        <v>-0.29466198453906489</v>
      </c>
      <c r="K113">
        <v>-3.920499583278287</v>
      </c>
      <c r="L113">
        <v>-1.4243252031436211</v>
      </c>
      <c r="M113">
        <v>0.65273591730293978</v>
      </c>
      <c r="N113">
        <v>0.48134543849826361</v>
      </c>
      <c r="O113">
        <v>0.35747438554638911</v>
      </c>
      <c r="P113">
        <v>-0.69650299869440357</v>
      </c>
      <c r="Q113">
        <v>-0.52486557418804092</v>
      </c>
      <c r="R113">
        <v>-0.13244159180050691</v>
      </c>
      <c r="S113">
        <v>9.113751274705443</v>
      </c>
      <c r="T113">
        <v>2.210259888524568E-2</v>
      </c>
      <c r="U113">
        <v>9.0916486758201973</v>
      </c>
      <c r="V113">
        <v>-0.25503712131296519</v>
      </c>
      <c r="W113">
        <v>4.6286620780019438</v>
      </c>
      <c r="X113">
        <v>9.4936803620183419E-2</v>
      </c>
      <c r="Y113">
        <v>4.5337252743817604</v>
      </c>
      <c r="Z113">
        <v>-1.0708517821398511</v>
      </c>
      <c r="AA113">
        <v>0.29466198453906489</v>
      </c>
      <c r="AB113">
        <v>2.7696665199223802</v>
      </c>
      <c r="AC113">
        <v>5.0713326466341941</v>
      </c>
      <c r="AD113">
        <v>-2.0131803907555099</v>
      </c>
      <c r="AE113">
        <v>-0.90155692170921564</v>
      </c>
      <c r="AF113">
        <v>-1.377120074301686</v>
      </c>
      <c r="AG113">
        <v>-1.9310781188100159</v>
      </c>
      <c r="AH113">
        <v>-1.5131025085369949</v>
      </c>
      <c r="AI113">
        <v>-0.80991320474830342</v>
      </c>
      <c r="AJ113">
        <v>0.60539692874912654</v>
      </c>
      <c r="AK113">
        <v>0.96404213794581095</v>
      </c>
      <c r="AL113">
        <v>0.38876868521388169</v>
      </c>
      <c r="AM113">
        <v>-0.48134543849826361</v>
      </c>
      <c r="AN113">
        <v>0.35747438554638911</v>
      </c>
      <c r="AO113">
        <v>-0.49819129052300548</v>
      </c>
      <c r="AP113">
        <v>-0.89481470686580167</v>
      </c>
      <c r="AQ113">
        <v>-0.52486557418804092</v>
      </c>
    </row>
    <row r="114" spans="1:43" x14ac:dyDescent="0.3">
      <c r="A114">
        <v>914</v>
      </c>
      <c r="B114">
        <v>2023</v>
      </c>
      <c r="C114" t="s">
        <v>179</v>
      </c>
      <c r="D114">
        <v>9</v>
      </c>
      <c r="E114">
        <v>10.930049075656759</v>
      </c>
      <c r="F114">
        <v>-1.9300490756567581</v>
      </c>
      <c r="G114">
        <v>-6.07498349501037E-2</v>
      </c>
      <c r="H114">
        <v>-0.83498048675461578</v>
      </c>
      <c r="I114">
        <v>7.4827659933827895E-2</v>
      </c>
      <c r="J114">
        <v>0.28671376492201978</v>
      </c>
      <c r="K114">
        <v>0.30213081591089108</v>
      </c>
      <c r="L114">
        <v>-0.1168537978577479</v>
      </c>
      <c r="M114">
        <v>-0.12553017516484041</v>
      </c>
      <c r="N114">
        <v>2.0713185995402429E-3</v>
      </c>
      <c r="O114">
        <v>-0.65189548760974891</v>
      </c>
      <c r="P114">
        <v>0.63840851063594806</v>
      </c>
      <c r="Q114">
        <v>-0.52486557418804092</v>
      </c>
      <c r="R114">
        <v>-6.07498349501037E-2</v>
      </c>
      <c r="S114">
        <v>9.113751274705443</v>
      </c>
      <c r="T114">
        <v>2.210259888524568E-2</v>
      </c>
      <c r="U114">
        <v>9.0916486758201973</v>
      </c>
      <c r="V114">
        <v>-0.83498048675461578</v>
      </c>
      <c r="W114">
        <v>4.6286620780019438</v>
      </c>
      <c r="X114">
        <v>9.4936803620183419E-2</v>
      </c>
      <c r="Y114">
        <v>4.5337252743817604</v>
      </c>
      <c r="Z114">
        <v>7.4827659933827895E-2</v>
      </c>
      <c r="AA114">
        <v>-0.28671376492201978</v>
      </c>
      <c r="AB114">
        <v>-0.36105429762281449</v>
      </c>
      <c r="AC114">
        <v>-0.24320733419896781</v>
      </c>
      <c r="AD114">
        <v>3.4443430926279349E-2</v>
      </c>
      <c r="AE114">
        <v>0.1899723881925848</v>
      </c>
      <c r="AF114">
        <v>1.454331815678514E-2</v>
      </c>
      <c r="AG114">
        <v>-0.1235871974863843</v>
      </c>
      <c r="AH114">
        <v>-0.3452679587762516</v>
      </c>
      <c r="AI114">
        <v>-0.47122676815950082</v>
      </c>
      <c r="AJ114">
        <v>-0.23073220434390221</v>
      </c>
      <c r="AK114">
        <v>-0.17983295019843881</v>
      </c>
      <c r="AL114">
        <v>3.3974629047819942E-2</v>
      </c>
      <c r="AM114">
        <v>-2.0713185995402429E-3</v>
      </c>
      <c r="AN114">
        <v>-0.65189548760974891</v>
      </c>
      <c r="AO114">
        <v>0.61755765976325772</v>
      </c>
      <c r="AP114">
        <v>0.65925936150863851</v>
      </c>
      <c r="AQ114">
        <v>-0.52486557418804092</v>
      </c>
    </row>
    <row r="115" spans="1:43" x14ac:dyDescent="0.3">
      <c r="A115">
        <v>915</v>
      </c>
      <c r="B115">
        <v>2023</v>
      </c>
      <c r="C115" t="s">
        <v>180</v>
      </c>
      <c r="D115">
        <v>11</v>
      </c>
      <c r="E115">
        <v>12.492102751648559</v>
      </c>
      <c r="F115">
        <v>-1.4921027516485561</v>
      </c>
      <c r="G115">
        <v>-9.3032298166020058E-2</v>
      </c>
      <c r="H115">
        <v>-0.69710668323539615</v>
      </c>
      <c r="I115">
        <v>0.78940924708446725</v>
      </c>
      <c r="J115">
        <v>-1.8817583590378901E-2</v>
      </c>
      <c r="K115">
        <v>0.30213081591089108</v>
      </c>
      <c r="L115">
        <v>0.22454074809157101</v>
      </c>
      <c r="M115">
        <v>-3.7774053374946992E-2</v>
      </c>
      <c r="N115">
        <v>0.53138153437314606</v>
      </c>
      <c r="O115">
        <v>-0.67989079597115543</v>
      </c>
      <c r="P115">
        <v>0.15257975257165021</v>
      </c>
      <c r="Q115">
        <v>-0.52486557418804092</v>
      </c>
      <c r="R115">
        <v>-9.3032298166020058E-2</v>
      </c>
      <c r="S115">
        <v>9.113751274705443</v>
      </c>
      <c r="T115">
        <v>2.210259888524568E-2</v>
      </c>
      <c r="U115">
        <v>9.0916486758201973</v>
      </c>
      <c r="V115">
        <v>-0.69710668323539615</v>
      </c>
      <c r="W115">
        <v>4.6286620780019438</v>
      </c>
      <c r="X115">
        <v>9.4936803620183419E-2</v>
      </c>
      <c r="Y115">
        <v>4.5337252743817604</v>
      </c>
      <c r="Z115">
        <v>0.78940924708446725</v>
      </c>
      <c r="AA115">
        <v>1.8817583590378901E-2</v>
      </c>
      <c r="AB115">
        <v>-0.36105429762281449</v>
      </c>
      <c r="AC115">
        <v>-0.24320733419896781</v>
      </c>
      <c r="AD115">
        <v>-0.1152864839344299</v>
      </c>
      <c r="AE115">
        <v>-0.4305913513054776</v>
      </c>
      <c r="AF115">
        <v>0.61994082721420596</v>
      </c>
      <c r="AG115">
        <v>0.7561723276868636</v>
      </c>
      <c r="AH115">
        <v>2.1546371183212391E-2</v>
      </c>
      <c r="AI115">
        <v>0.49546279770505153</v>
      </c>
      <c r="AJ115">
        <v>-0.17823136412721141</v>
      </c>
      <c r="AK115">
        <v>-0.16919033307830861</v>
      </c>
      <c r="AL115">
        <v>0.23409953708067899</v>
      </c>
      <c r="AM115">
        <v>-0.53138153437314606</v>
      </c>
      <c r="AN115">
        <v>-0.67989079597115543</v>
      </c>
      <c r="AO115">
        <v>0.27851857615450121</v>
      </c>
      <c r="AP115">
        <v>2.6640928988799151E-2</v>
      </c>
      <c r="AQ115">
        <v>-0.52486557418804092</v>
      </c>
    </row>
    <row r="116" spans="1:43" x14ac:dyDescent="0.3">
      <c r="A116">
        <v>916</v>
      </c>
      <c r="B116">
        <v>2023</v>
      </c>
      <c r="C116" t="s">
        <v>181</v>
      </c>
      <c r="D116">
        <v>13.66666666666667</v>
      </c>
      <c r="E116">
        <v>12.645124954935371</v>
      </c>
      <c r="F116">
        <v>1.021541711731301</v>
      </c>
      <c r="G116">
        <v>0.26351985265903588</v>
      </c>
      <c r="H116">
        <v>0.42033346851337022</v>
      </c>
      <c r="I116">
        <v>-2.0088963177645362E-2</v>
      </c>
      <c r="J116">
        <v>-0.68459889604752056</v>
      </c>
      <c r="K116">
        <v>0.30213081591089108</v>
      </c>
      <c r="L116">
        <v>-0.50482170754104416</v>
      </c>
      <c r="M116">
        <v>-1.58191044740606E-2</v>
      </c>
      <c r="N116">
        <v>0.97426071501806788</v>
      </c>
      <c r="O116">
        <v>-1.914979520849729E-2</v>
      </c>
      <c r="P116">
        <v>-0.26401876702990251</v>
      </c>
      <c r="Q116">
        <v>-0.52486557418804092</v>
      </c>
      <c r="R116">
        <v>0.26351985265903588</v>
      </c>
      <c r="S116">
        <v>9.113751274705443</v>
      </c>
      <c r="T116">
        <v>2.210259888524568E-2</v>
      </c>
      <c r="U116">
        <v>9.0916486758201973</v>
      </c>
      <c r="V116">
        <v>0.42033346851337022</v>
      </c>
      <c r="W116">
        <v>4.6286620780019438</v>
      </c>
      <c r="X116">
        <v>9.4936803620183419E-2</v>
      </c>
      <c r="Y116">
        <v>4.5337252743817604</v>
      </c>
      <c r="Z116">
        <v>-2.0088963177645362E-2</v>
      </c>
      <c r="AA116">
        <v>0.68459889604752056</v>
      </c>
      <c r="AB116">
        <v>-0.36105429762281449</v>
      </c>
      <c r="AC116">
        <v>-0.24320733419896781</v>
      </c>
      <c r="AD116">
        <v>-1.27329936706458</v>
      </c>
      <c r="AE116">
        <v>-0.35619588797862167</v>
      </c>
      <c r="AF116">
        <v>-0.102003580230491</v>
      </c>
      <c r="AG116">
        <v>-0.2439728683523</v>
      </c>
      <c r="AH116">
        <v>-0.64901673446716468</v>
      </c>
      <c r="AI116">
        <v>-0.40444180715310751</v>
      </c>
      <c r="AJ116">
        <v>0.23954501164961731</v>
      </c>
      <c r="AK116">
        <v>-0.62162531204571303</v>
      </c>
      <c r="AL116">
        <v>0.33462298697391402</v>
      </c>
      <c r="AM116">
        <v>-0.97426071501806788</v>
      </c>
      <c r="AN116">
        <v>-1.914979520849729E-2</v>
      </c>
      <c r="AO116">
        <v>-0.35643791469600161</v>
      </c>
      <c r="AP116">
        <v>-0.1715996193638033</v>
      </c>
      <c r="AQ116">
        <v>-0.52486557418804092</v>
      </c>
    </row>
    <row r="117" spans="1:43" x14ac:dyDescent="0.3">
      <c r="A117">
        <v>917</v>
      </c>
      <c r="B117">
        <v>2023</v>
      </c>
      <c r="C117" t="s">
        <v>182</v>
      </c>
      <c r="D117">
        <v>7</v>
      </c>
      <c r="E117">
        <v>7.067537910416104</v>
      </c>
      <c r="F117">
        <v>-6.7537910416104019E-2</v>
      </c>
      <c r="G117">
        <v>-1.101272928817737</v>
      </c>
      <c r="H117">
        <v>-1.0657848434727071</v>
      </c>
      <c r="I117">
        <v>5.2774388590456313E-3</v>
      </c>
      <c r="J117">
        <v>-0.48947780817214248</v>
      </c>
      <c r="K117">
        <v>0.30213081591089108</v>
      </c>
      <c r="L117">
        <v>-1.109184419724506</v>
      </c>
      <c r="M117">
        <v>0.34296884726227023</v>
      </c>
      <c r="N117">
        <v>0.44728422054012562</v>
      </c>
      <c r="O117">
        <v>-1.28592133498919</v>
      </c>
      <c r="P117">
        <v>-0.21549633974572929</v>
      </c>
      <c r="Q117">
        <v>-0.52486557418804092</v>
      </c>
      <c r="R117">
        <v>-1.101272928817737</v>
      </c>
      <c r="S117">
        <v>9.113751274705443</v>
      </c>
      <c r="T117">
        <v>2.210259888524568E-2</v>
      </c>
      <c r="U117">
        <v>9.0916486758201973</v>
      </c>
      <c r="V117">
        <v>-1.0657848434727071</v>
      </c>
      <c r="W117">
        <v>4.6286620780019438</v>
      </c>
      <c r="X117">
        <v>9.4936803620183419E-2</v>
      </c>
      <c r="Y117">
        <v>4.5337252743817604</v>
      </c>
      <c r="Z117">
        <v>5.2774388590456313E-3</v>
      </c>
      <c r="AA117">
        <v>0.48947780817214248</v>
      </c>
      <c r="AB117">
        <v>-0.36105429762281449</v>
      </c>
      <c r="AC117">
        <v>-0.24320733419896781</v>
      </c>
      <c r="AD117">
        <v>-0.96037784971013473</v>
      </c>
      <c r="AE117">
        <v>-0.60479546590440014</v>
      </c>
      <c r="AF117">
        <v>-1.2642721172684539</v>
      </c>
      <c r="AG117">
        <v>-1.019303653155827</v>
      </c>
      <c r="AH117">
        <v>-1.4305570348018291</v>
      </c>
      <c r="AI117">
        <v>-1.3758003975063891</v>
      </c>
      <c r="AJ117">
        <v>0.14023196640916549</v>
      </c>
      <c r="AK117">
        <v>0.41895863939773559</v>
      </c>
      <c r="AL117">
        <v>0.4697159359799094</v>
      </c>
      <c r="AM117">
        <v>-0.44728422054012562</v>
      </c>
      <c r="AN117">
        <v>-1.28592133498919</v>
      </c>
      <c r="AO117">
        <v>7.3918301243542706E-2</v>
      </c>
      <c r="AP117">
        <v>-0.5049109807350014</v>
      </c>
      <c r="AQ117">
        <v>-0.52486557418804092</v>
      </c>
    </row>
    <row r="118" spans="1:43" x14ac:dyDescent="0.3">
      <c r="A118">
        <v>918</v>
      </c>
      <c r="B118">
        <v>2023</v>
      </c>
      <c r="C118" t="s">
        <v>183</v>
      </c>
      <c r="D118">
        <v>14.33333333333333</v>
      </c>
      <c r="E118">
        <v>14.37028727453098</v>
      </c>
      <c r="F118">
        <v>-3.6953941197651829E-2</v>
      </c>
      <c r="G118">
        <v>0.40729707823763678</v>
      </c>
      <c r="H118">
        <v>-6.9515603315732241E-2</v>
      </c>
      <c r="I118">
        <v>-0.20795751389000511</v>
      </c>
      <c r="J118">
        <v>0.13923297786064581</v>
      </c>
      <c r="K118">
        <v>0.30213081591089108</v>
      </c>
      <c r="L118">
        <v>2.339299940028506E-2</v>
      </c>
      <c r="M118">
        <v>0.41016308516800137</v>
      </c>
      <c r="N118">
        <v>0.976927825070255</v>
      </c>
      <c r="O118">
        <v>0.17000280096270631</v>
      </c>
      <c r="P118">
        <v>0.72945676899230061</v>
      </c>
      <c r="Q118">
        <v>-0.52486557418804092</v>
      </c>
      <c r="R118">
        <v>0.40729707823763678</v>
      </c>
      <c r="S118">
        <v>9.113751274705443</v>
      </c>
      <c r="T118">
        <v>2.210259888524568E-2</v>
      </c>
      <c r="U118">
        <v>9.0916486758201973</v>
      </c>
      <c r="V118">
        <v>-6.9515603315732241E-2</v>
      </c>
      <c r="W118">
        <v>4.6286620780019438</v>
      </c>
      <c r="X118">
        <v>9.4936803620183419E-2</v>
      </c>
      <c r="Y118">
        <v>4.5337252743817604</v>
      </c>
      <c r="Z118">
        <v>-0.20795751389000511</v>
      </c>
      <c r="AA118">
        <v>-0.13923297786064581</v>
      </c>
      <c r="AB118">
        <v>-0.36105429762281449</v>
      </c>
      <c r="AC118">
        <v>-0.24320733419896781</v>
      </c>
      <c r="AD118">
        <v>0.27973872820758089</v>
      </c>
      <c r="AE118">
        <v>0.37953922337240997</v>
      </c>
      <c r="AF118">
        <v>-0.21369211742682509</v>
      </c>
      <c r="AG118">
        <v>0.14437906956440641</v>
      </c>
      <c r="AH118">
        <v>-0.1763119735034259</v>
      </c>
      <c r="AI118">
        <v>-0.27329493381243591</v>
      </c>
      <c r="AJ118">
        <v>6.3472981405001017E-2</v>
      </c>
      <c r="AK118">
        <v>0.41252356858091288</v>
      </c>
      <c r="AL118">
        <v>0.75449270551809022</v>
      </c>
      <c r="AM118">
        <v>-0.976927825070255</v>
      </c>
      <c r="AN118">
        <v>0.17000280096270631</v>
      </c>
      <c r="AO118">
        <v>0.91925617256181946</v>
      </c>
      <c r="AP118">
        <v>0.53965736542278175</v>
      </c>
      <c r="AQ118">
        <v>-0.52486557418804092</v>
      </c>
    </row>
    <row r="119" spans="1:43" x14ac:dyDescent="0.3">
      <c r="A119">
        <v>921</v>
      </c>
      <c r="B119">
        <v>2023</v>
      </c>
      <c r="C119" t="s">
        <v>184</v>
      </c>
      <c r="D119">
        <v>7</v>
      </c>
      <c r="E119">
        <v>8.7085983095200366</v>
      </c>
      <c r="F119">
        <v>-1.708598309520037</v>
      </c>
      <c r="G119">
        <v>-0.24975158291937019</v>
      </c>
      <c r="H119">
        <v>-1.015873025944219</v>
      </c>
      <c r="I119">
        <v>-0.1102029972632394</v>
      </c>
      <c r="J119">
        <v>-0.60007885896060109</v>
      </c>
      <c r="K119">
        <v>-1.3689834382906669</v>
      </c>
      <c r="L119">
        <v>-0.35643797080639972</v>
      </c>
      <c r="M119">
        <v>0.1217217821692569</v>
      </c>
      <c r="N119">
        <v>0.6418999071606436</v>
      </c>
      <c r="O119">
        <v>-1.1853063260468779</v>
      </c>
      <c r="P119">
        <v>0.62105267473877968</v>
      </c>
      <c r="Q119">
        <v>-0.52486557418804092</v>
      </c>
      <c r="R119">
        <v>-0.24975158291937019</v>
      </c>
      <c r="S119">
        <v>9.113751274705443</v>
      </c>
      <c r="T119">
        <v>2.210259888524568E-2</v>
      </c>
      <c r="U119">
        <v>9.0916486758201973</v>
      </c>
      <c r="V119">
        <v>-1.015873025944219</v>
      </c>
      <c r="W119">
        <v>4.6286620780019438</v>
      </c>
      <c r="X119">
        <v>9.4936803620183419E-2</v>
      </c>
      <c r="Y119">
        <v>4.5337252743817604</v>
      </c>
      <c r="Z119">
        <v>-0.1102029972632394</v>
      </c>
      <c r="AA119">
        <v>0.60007885896060109</v>
      </c>
      <c r="AB119">
        <v>2.7696665199223802</v>
      </c>
      <c r="AC119">
        <v>-3.1699643341045733E-2</v>
      </c>
      <c r="AD119">
        <v>0.11003538416022331</v>
      </c>
      <c r="AE119">
        <v>-0.84694427979363895</v>
      </c>
      <c r="AF119">
        <v>-0.45124884041413132</v>
      </c>
      <c r="AG119">
        <v>-0.19906291087108879</v>
      </c>
      <c r="AH119">
        <v>-0.33297763284216031</v>
      </c>
      <c r="AI119">
        <v>-0.41842954507760199</v>
      </c>
      <c r="AJ119">
        <v>-0.23221074829272551</v>
      </c>
      <c r="AK119">
        <v>0.3543604285057817</v>
      </c>
      <c r="AL119">
        <v>0.24301566629471449</v>
      </c>
      <c r="AM119">
        <v>-0.6418999071606436</v>
      </c>
      <c r="AN119">
        <v>-1.1853063260468779</v>
      </c>
      <c r="AO119">
        <v>0.78505114624549022</v>
      </c>
      <c r="AP119">
        <v>0.45705420323206919</v>
      </c>
      <c r="AQ119">
        <v>-0.52486557418804092</v>
      </c>
    </row>
    <row r="120" spans="1:43" x14ac:dyDescent="0.3">
      <c r="A120">
        <v>922</v>
      </c>
      <c r="B120">
        <v>2023</v>
      </c>
      <c r="C120" t="s">
        <v>185</v>
      </c>
      <c r="D120">
        <v>1</v>
      </c>
      <c r="E120">
        <v>9.5944417660067352</v>
      </c>
      <c r="F120">
        <v>-8.5944417660067352</v>
      </c>
      <c r="G120">
        <v>0.31505850748198838</v>
      </c>
      <c r="H120">
        <v>1.4968937449798829</v>
      </c>
      <c r="I120">
        <v>-0.87669620579361229</v>
      </c>
      <c r="J120">
        <v>-0.17219378633117891</v>
      </c>
      <c r="K120">
        <v>-3.920499583278287</v>
      </c>
      <c r="L120">
        <v>-1.388916403165547</v>
      </c>
      <c r="M120">
        <v>0.5128701090870752</v>
      </c>
      <c r="N120">
        <v>1.0718880558866619</v>
      </c>
      <c r="O120">
        <v>0.81033890722453339</v>
      </c>
      <c r="P120">
        <v>0.75224035172496806</v>
      </c>
      <c r="Q120">
        <v>-0.52486557418804092</v>
      </c>
      <c r="R120">
        <v>0.31505850748198838</v>
      </c>
      <c r="S120">
        <v>9.113751274705443</v>
      </c>
      <c r="T120">
        <v>2.210259888524568E-2</v>
      </c>
      <c r="U120">
        <v>9.0916486758201973</v>
      </c>
      <c r="V120">
        <v>1.4968937449798829</v>
      </c>
      <c r="W120">
        <v>4.6286620780019438</v>
      </c>
      <c r="X120">
        <v>9.4936803620183419E-2</v>
      </c>
      <c r="Y120">
        <v>4.5337252743817604</v>
      </c>
      <c r="Z120">
        <v>-0.87669620579361229</v>
      </c>
      <c r="AA120">
        <v>0.17219378633117891</v>
      </c>
      <c r="AB120">
        <v>2.7696665199223802</v>
      </c>
      <c r="AC120">
        <v>5.0713326466341941</v>
      </c>
      <c r="AD120">
        <v>-1.5874005800635</v>
      </c>
      <c r="AE120">
        <v>-1.3858641168055079</v>
      </c>
      <c r="AF120">
        <v>-1.064576333070971</v>
      </c>
      <c r="AG120">
        <v>-1.593244346402293</v>
      </c>
      <c r="AH120">
        <v>-1.445085579735808</v>
      </c>
      <c r="AI120">
        <v>-1.2573274629152009</v>
      </c>
      <c r="AJ120">
        <v>0.42912441796907669</v>
      </c>
      <c r="AK120">
        <v>0.33670523421347193</v>
      </c>
      <c r="AL120">
        <v>0.77278067507867687</v>
      </c>
      <c r="AM120">
        <v>-1.0718880558866619</v>
      </c>
      <c r="AN120">
        <v>0.81033890722453339</v>
      </c>
      <c r="AO120">
        <v>0.51266561442353142</v>
      </c>
      <c r="AP120">
        <v>0.99181508902640458</v>
      </c>
      <c r="AQ120">
        <v>-0.52486557418804092</v>
      </c>
    </row>
    <row r="121" spans="1:43" x14ac:dyDescent="0.3">
      <c r="A121">
        <v>924</v>
      </c>
      <c r="B121">
        <v>2023</v>
      </c>
      <c r="C121" t="s">
        <v>186</v>
      </c>
      <c r="D121">
        <v>18</v>
      </c>
      <c r="E121">
        <v>15.389991092269531</v>
      </c>
      <c r="F121">
        <v>2.6100089077304669</v>
      </c>
      <c r="G121">
        <v>0.25204315136144789</v>
      </c>
      <c r="H121">
        <v>2.636128631393758</v>
      </c>
      <c r="I121">
        <v>0.66698688682477392</v>
      </c>
      <c r="J121">
        <v>0.52214881179619244</v>
      </c>
      <c r="K121">
        <v>0.30213081591089108</v>
      </c>
      <c r="L121">
        <v>-0.50913252904264905</v>
      </c>
      <c r="M121">
        <v>-0.32780821267138749</v>
      </c>
      <c r="N121">
        <v>-0.66578970790590308</v>
      </c>
      <c r="O121">
        <v>0.36214242541635111</v>
      </c>
      <c r="P121">
        <v>0.58020609556282454</v>
      </c>
      <c r="Q121">
        <v>-0.52486557418804092</v>
      </c>
      <c r="R121">
        <v>0.25204315136144789</v>
      </c>
      <c r="S121">
        <v>9.113751274705443</v>
      </c>
      <c r="T121">
        <v>2.210259888524568E-2</v>
      </c>
      <c r="U121">
        <v>9.0916486758201973</v>
      </c>
      <c r="V121">
        <v>2.636128631393758</v>
      </c>
      <c r="W121">
        <v>4.6286620780019438</v>
      </c>
      <c r="X121">
        <v>9.4936803620183419E-2</v>
      </c>
      <c r="Y121">
        <v>4.5337252743817604</v>
      </c>
      <c r="Z121">
        <v>0.66698688682477392</v>
      </c>
      <c r="AA121">
        <v>-0.52214881179619244</v>
      </c>
      <c r="AB121">
        <v>-0.36105429762281449</v>
      </c>
      <c r="AC121">
        <v>-0.24320733419896781</v>
      </c>
      <c r="AD121">
        <v>-1.831606498663656</v>
      </c>
      <c r="AE121">
        <v>-0.64291763965167037</v>
      </c>
      <c r="AF121">
        <v>0.49417234032708302</v>
      </c>
      <c r="AG121">
        <v>-0.72377448601876249</v>
      </c>
      <c r="AH121">
        <v>-0.21206330454723471</v>
      </c>
      <c r="AI121">
        <v>-0.13860558570165399</v>
      </c>
      <c r="AJ121">
        <v>-1.1289100631536499</v>
      </c>
      <c r="AK121">
        <v>-0.27875153878011621</v>
      </c>
      <c r="AL121">
        <v>0.42423696391960403</v>
      </c>
      <c r="AM121">
        <v>0.66578970790590308</v>
      </c>
      <c r="AN121">
        <v>0.36214242541635111</v>
      </c>
      <c r="AO121">
        <v>0.3928397069076271</v>
      </c>
      <c r="AP121">
        <v>0.76757248421802193</v>
      </c>
      <c r="AQ121">
        <v>-0.52486557418804092</v>
      </c>
    </row>
    <row r="122" spans="1:43" x14ac:dyDescent="0.3">
      <c r="A122">
        <v>926</v>
      </c>
      <c r="B122">
        <v>2023</v>
      </c>
      <c r="C122" t="s">
        <v>187</v>
      </c>
      <c r="D122">
        <v>3.6666666666666679</v>
      </c>
      <c r="E122">
        <v>6.0157790586548661</v>
      </c>
      <c r="F122">
        <v>-2.3491123919881982</v>
      </c>
      <c r="G122">
        <v>-0.42502267595044169</v>
      </c>
      <c r="H122">
        <v>0.22827094700072609</v>
      </c>
      <c r="I122">
        <v>-1.4900741441988989</v>
      </c>
      <c r="J122">
        <v>-1.009743472127719</v>
      </c>
      <c r="K122">
        <v>-3.920499583278287</v>
      </c>
      <c r="L122">
        <v>-0.87473532448470082</v>
      </c>
      <c r="M122">
        <v>0.19572058120811031</v>
      </c>
      <c r="N122">
        <v>-0.64342487882246047</v>
      </c>
      <c r="O122">
        <v>-0.17421664872812229</v>
      </c>
      <c r="P122">
        <v>0.4570193369089931</v>
      </c>
      <c r="Q122">
        <v>-0.52486557418804092</v>
      </c>
      <c r="R122">
        <v>-0.42502267595044169</v>
      </c>
      <c r="S122">
        <v>9.113751274705443</v>
      </c>
      <c r="T122">
        <v>2.210259888524568E-2</v>
      </c>
      <c r="U122">
        <v>9.0916486758201973</v>
      </c>
      <c r="V122">
        <v>0.22827094700072609</v>
      </c>
      <c r="W122">
        <v>4.6286620780019438</v>
      </c>
      <c r="X122">
        <v>9.4936803620183419E-2</v>
      </c>
      <c r="Y122">
        <v>4.5337252743817604</v>
      </c>
      <c r="Z122">
        <v>-1.4900741441988989</v>
      </c>
      <c r="AA122">
        <v>1.009743472127719</v>
      </c>
      <c r="AB122">
        <v>2.7696665199223802</v>
      </c>
      <c r="AC122">
        <v>5.0713326466341941</v>
      </c>
      <c r="AD122">
        <v>-0.2661002023550913</v>
      </c>
      <c r="AE122">
        <v>-1.7392437635228</v>
      </c>
      <c r="AF122">
        <v>-0.66674185991589552</v>
      </c>
      <c r="AG122">
        <v>-0.62146727918405131</v>
      </c>
      <c r="AH122">
        <v>-1.1234546914207351</v>
      </c>
      <c r="AI122">
        <v>-0.83140415050963301</v>
      </c>
      <c r="AJ122">
        <v>-1.5120784865012431</v>
      </c>
      <c r="AK122">
        <v>2.034326416236135</v>
      </c>
      <c r="AL122">
        <v>6.4913813889438246E-2</v>
      </c>
      <c r="AM122">
        <v>0.64342487882246047</v>
      </c>
      <c r="AN122">
        <v>-0.17421664872812229</v>
      </c>
      <c r="AO122">
        <v>0.49570398558321432</v>
      </c>
      <c r="AP122">
        <v>0.41833468823477188</v>
      </c>
      <c r="AQ122">
        <v>-0.52486557418804092</v>
      </c>
    </row>
    <row r="123" spans="1:43" x14ac:dyDescent="0.3">
      <c r="A123">
        <v>927</v>
      </c>
      <c r="B123">
        <v>2023</v>
      </c>
      <c r="C123" t="s">
        <v>188</v>
      </c>
      <c r="D123">
        <v>10</v>
      </c>
      <c r="E123">
        <v>9.877822320137831</v>
      </c>
      <c r="F123">
        <v>0.122177679862169</v>
      </c>
      <c r="G123">
        <v>-0.90138748894638321</v>
      </c>
      <c r="H123">
        <v>-6.8497519973640661E-2</v>
      </c>
      <c r="I123">
        <v>0.97317376717471193</v>
      </c>
      <c r="J123">
        <v>-1.112312257540649</v>
      </c>
      <c r="K123">
        <v>0.30213081591089108</v>
      </c>
      <c r="L123">
        <v>-0.90092759037342329</v>
      </c>
      <c r="M123">
        <v>0.1049788772995503</v>
      </c>
      <c r="N123">
        <v>0.71869045074652693</v>
      </c>
      <c r="O123">
        <v>-0.42685975947415572</v>
      </c>
      <c r="P123">
        <v>-8.0811311218412826E-2</v>
      </c>
      <c r="Q123">
        <v>-0.52486557418804092</v>
      </c>
      <c r="R123">
        <v>-0.90138748894638321</v>
      </c>
      <c r="S123">
        <v>9.113751274705443</v>
      </c>
      <c r="T123">
        <v>2.210259888524568E-2</v>
      </c>
      <c r="U123">
        <v>9.0916486758201973</v>
      </c>
      <c r="V123">
        <v>-6.8497519973640661E-2</v>
      </c>
      <c r="W123">
        <v>4.6286620780019438</v>
      </c>
      <c r="X123">
        <v>9.4936803620183419E-2</v>
      </c>
      <c r="Y123">
        <v>4.5337252743817604</v>
      </c>
      <c r="Z123">
        <v>0.97317376717471193</v>
      </c>
      <c r="AA123">
        <v>1.112312257540649</v>
      </c>
      <c r="AB123">
        <v>-0.36105429762281449</v>
      </c>
      <c r="AC123">
        <v>-0.24320733419896781</v>
      </c>
      <c r="AD123">
        <v>-1.614291619626633</v>
      </c>
      <c r="AE123">
        <v>-0.2141977569733241</v>
      </c>
      <c r="AF123">
        <v>-0.58434799726517517</v>
      </c>
      <c r="AG123">
        <v>-0.97398483482204401</v>
      </c>
      <c r="AH123">
        <v>-1.0638125484501391</v>
      </c>
      <c r="AI123">
        <v>-0.9549307851032246</v>
      </c>
      <c r="AJ123">
        <v>-6.3406137457579656E-2</v>
      </c>
      <c r="AK123">
        <v>-0.28799164046581072</v>
      </c>
      <c r="AL123">
        <v>0.6663344098220414</v>
      </c>
      <c r="AM123">
        <v>-0.71869045074652693</v>
      </c>
      <c r="AN123">
        <v>-0.42685975947415572</v>
      </c>
      <c r="AO123">
        <v>-2.8829930645057379E-2</v>
      </c>
      <c r="AP123">
        <v>-0.13279269179176831</v>
      </c>
      <c r="AQ123">
        <v>-0.52486557418804092</v>
      </c>
    </row>
    <row r="124" spans="1:43" x14ac:dyDescent="0.3">
      <c r="A124">
        <v>935</v>
      </c>
      <c r="B124">
        <v>2023</v>
      </c>
      <c r="C124" t="s">
        <v>189</v>
      </c>
      <c r="D124">
        <v>19</v>
      </c>
      <c r="E124">
        <v>17.981229307862549</v>
      </c>
      <c r="F124">
        <v>1.0187706921374511</v>
      </c>
      <c r="G124">
        <v>0.93541458248760578</v>
      </c>
      <c r="H124">
        <v>0.56437957379224357</v>
      </c>
      <c r="I124">
        <v>-0.64866054686480534</v>
      </c>
      <c r="J124">
        <v>2.5127553403603339E-3</v>
      </c>
      <c r="K124">
        <v>0.30213081591089108</v>
      </c>
      <c r="L124">
        <v>1.0041125160644451</v>
      </c>
      <c r="M124">
        <v>0.50304304801033883</v>
      </c>
      <c r="N124">
        <v>0.4397274087255959</v>
      </c>
      <c r="O124">
        <v>0.22400206549722551</v>
      </c>
      <c r="P124">
        <v>0.7474506224586468</v>
      </c>
      <c r="Q124">
        <v>-0.52486557418804092</v>
      </c>
      <c r="R124">
        <v>0.93541458248760578</v>
      </c>
      <c r="S124">
        <v>9.113751274705443</v>
      </c>
      <c r="T124">
        <v>2.210259888524568E-2</v>
      </c>
      <c r="U124">
        <v>9.0916486758201973</v>
      </c>
      <c r="V124">
        <v>0.56437957379224357</v>
      </c>
      <c r="W124">
        <v>4.6286620780019438</v>
      </c>
      <c r="X124">
        <v>9.4936803620183419E-2</v>
      </c>
      <c r="Y124">
        <v>4.5337252743817604</v>
      </c>
      <c r="Z124">
        <v>-0.64866054686480534</v>
      </c>
      <c r="AA124">
        <v>-2.5127553403603339E-3</v>
      </c>
      <c r="AB124">
        <v>-0.36105429762281449</v>
      </c>
      <c r="AC124">
        <v>-0.24320733419896781</v>
      </c>
      <c r="AD124">
        <v>1.0463859087469161</v>
      </c>
      <c r="AE124">
        <v>1.127585080921466</v>
      </c>
      <c r="AF124">
        <v>0.981461374907725</v>
      </c>
      <c r="AG124">
        <v>1.1626606515888891</v>
      </c>
      <c r="AH124">
        <v>1.058353238243394</v>
      </c>
      <c r="AI124">
        <v>0.64822884197827757</v>
      </c>
      <c r="AJ124">
        <v>-1.432591941647974E-3</v>
      </c>
      <c r="AK124">
        <v>0.87040360747024448</v>
      </c>
      <c r="AL124">
        <v>0.64015812850241993</v>
      </c>
      <c r="AM124">
        <v>-0.4397274087255959</v>
      </c>
      <c r="AN124">
        <v>0.22400206549722551</v>
      </c>
      <c r="AO124">
        <v>0.92772590975605007</v>
      </c>
      <c r="AP124">
        <v>0.56717533516124341</v>
      </c>
      <c r="AQ124">
        <v>-0.52486557418804092</v>
      </c>
    </row>
    <row r="125" spans="1:43" x14ac:dyDescent="0.3">
      <c r="A125">
        <v>936</v>
      </c>
      <c r="B125">
        <v>2023</v>
      </c>
      <c r="C125" t="s">
        <v>190</v>
      </c>
      <c r="D125">
        <v>17.333333333333329</v>
      </c>
      <c r="E125">
        <v>15.478006977828841</v>
      </c>
      <c r="F125">
        <v>1.8553263555044901</v>
      </c>
      <c r="G125">
        <v>0.74214335880641291</v>
      </c>
      <c r="H125">
        <v>7.0439321793116877E-2</v>
      </c>
      <c r="I125">
        <v>-0.44804330528374681</v>
      </c>
      <c r="J125">
        <v>5.2480696001905053E-2</v>
      </c>
      <c r="K125">
        <v>0.30213081591089108</v>
      </c>
      <c r="L125">
        <v>0.41983457720903089</v>
      </c>
      <c r="M125">
        <v>0.47516222332766561</v>
      </c>
      <c r="N125">
        <v>6.7054343725220664E-2</v>
      </c>
      <c r="O125">
        <v>-0.19873355618919711</v>
      </c>
      <c r="P125">
        <v>-0.71961871359902951</v>
      </c>
      <c r="Q125">
        <v>1.9052497423687671</v>
      </c>
      <c r="R125">
        <v>0.74214335880641291</v>
      </c>
      <c r="S125">
        <v>9.113751274705443</v>
      </c>
      <c r="T125">
        <v>2.210259888524568E-2</v>
      </c>
      <c r="U125">
        <v>9.0916486758201973</v>
      </c>
      <c r="V125">
        <v>7.0439321793116877E-2</v>
      </c>
      <c r="W125">
        <v>4.6286620780019438</v>
      </c>
      <c r="X125">
        <v>9.4936803620183419E-2</v>
      </c>
      <c r="Y125">
        <v>4.5337252743817604</v>
      </c>
      <c r="Z125">
        <v>-0.44804330528374681</v>
      </c>
      <c r="AA125">
        <v>-5.2480696001905053E-2</v>
      </c>
      <c r="AB125">
        <v>-0.36105429762281449</v>
      </c>
      <c r="AC125">
        <v>-0.24320733419896781</v>
      </c>
      <c r="AD125">
        <v>0.86344053684154298</v>
      </c>
      <c r="AE125">
        <v>0.65622366274314547</v>
      </c>
      <c r="AF125">
        <v>-9.3653751561679158E-3</v>
      </c>
      <c r="AG125">
        <v>0.36473462605783269</v>
      </c>
      <c r="AH125">
        <v>0.47938303982748792</v>
      </c>
      <c r="AI125">
        <v>0.1645909729403445</v>
      </c>
      <c r="AJ125">
        <v>-0.31854267886384752</v>
      </c>
      <c r="AK125">
        <v>1.108253724968973</v>
      </c>
      <c r="AL125">
        <v>0.6357756238778709</v>
      </c>
      <c r="AM125">
        <v>-6.7054343725220664E-2</v>
      </c>
      <c r="AN125">
        <v>-0.19873355618919711</v>
      </c>
      <c r="AO125">
        <v>-0.3799322557809709</v>
      </c>
      <c r="AP125">
        <v>-1.059305171417088</v>
      </c>
      <c r="AQ125">
        <v>1.9052497423687671</v>
      </c>
    </row>
    <row r="126" spans="1:43" x14ac:dyDescent="0.3">
      <c r="A126">
        <v>939</v>
      </c>
      <c r="B126">
        <v>2023</v>
      </c>
      <c r="C126" t="s">
        <v>191</v>
      </c>
      <c r="D126">
        <v>18.333333333333329</v>
      </c>
      <c r="E126">
        <v>18.028051253201699</v>
      </c>
      <c r="F126">
        <v>0.30528208013162939</v>
      </c>
      <c r="G126">
        <v>0.89792078832604771</v>
      </c>
      <c r="H126">
        <v>-0.541328572844746</v>
      </c>
      <c r="I126">
        <v>-0.43057934518963942</v>
      </c>
      <c r="J126">
        <v>-8.0728987731925994E-2</v>
      </c>
      <c r="K126">
        <v>0.30213081591089108</v>
      </c>
      <c r="L126">
        <v>1.2027450223554641</v>
      </c>
      <c r="M126">
        <v>0.54663782081875611</v>
      </c>
      <c r="N126">
        <v>1.0544129285655619</v>
      </c>
      <c r="O126">
        <v>0.29858725654969359</v>
      </c>
      <c r="P126">
        <v>-0.56188397801830536</v>
      </c>
      <c r="Q126">
        <v>1.9052497423687671</v>
      </c>
      <c r="R126">
        <v>0.89792078832604771</v>
      </c>
      <c r="S126">
        <v>9.113751274705443</v>
      </c>
      <c r="T126">
        <v>2.210259888524568E-2</v>
      </c>
      <c r="U126">
        <v>9.0916486758201973</v>
      </c>
      <c r="V126">
        <v>-0.541328572844746</v>
      </c>
      <c r="W126">
        <v>4.6286620780019438</v>
      </c>
      <c r="X126">
        <v>9.4936803620183419E-2</v>
      </c>
      <c r="Y126">
        <v>4.5337252743817604</v>
      </c>
      <c r="Z126">
        <v>-0.43057934518963942</v>
      </c>
      <c r="AA126">
        <v>8.0728987731925994E-2</v>
      </c>
      <c r="AB126">
        <v>-0.36105429762281449</v>
      </c>
      <c r="AC126">
        <v>-0.24320733419896781</v>
      </c>
      <c r="AD126">
        <v>1.2062547390095231</v>
      </c>
      <c r="AE126">
        <v>0.76064495711660884</v>
      </c>
      <c r="AF126">
        <v>1.148887200417759</v>
      </c>
      <c r="AG126">
        <v>1.304802262709972</v>
      </c>
      <c r="AH126">
        <v>1.363736354356212</v>
      </c>
      <c r="AI126">
        <v>1.4321446205227091</v>
      </c>
      <c r="AJ126">
        <v>5.722134126886773E-4</v>
      </c>
      <c r="AK126">
        <v>0.90439398152833528</v>
      </c>
      <c r="AL126">
        <v>0.73494726751524431</v>
      </c>
      <c r="AM126">
        <v>-1.0544129285655619</v>
      </c>
      <c r="AN126">
        <v>0.29858725654969359</v>
      </c>
      <c r="AO126">
        <v>-0.34339471286818851</v>
      </c>
      <c r="AP126">
        <v>-0.78037324316842227</v>
      </c>
      <c r="AQ126">
        <v>1.9052497423687671</v>
      </c>
    </row>
    <row r="127" spans="1:43" x14ac:dyDescent="0.3">
      <c r="A127">
        <v>941</v>
      </c>
      <c r="B127">
        <v>2023</v>
      </c>
      <c r="C127" t="s">
        <v>192</v>
      </c>
      <c r="D127">
        <v>16.666666666666671</v>
      </c>
      <c r="E127">
        <v>15.978634331390509</v>
      </c>
      <c r="F127">
        <v>0.6880323352761657</v>
      </c>
      <c r="G127">
        <v>0.67588637181394284</v>
      </c>
      <c r="H127">
        <v>-0.52764381290893125</v>
      </c>
      <c r="I127">
        <v>-0.34893533174968738</v>
      </c>
      <c r="J127">
        <v>-4.5757152973388032E-2</v>
      </c>
      <c r="K127">
        <v>0.30213081591089108</v>
      </c>
      <c r="L127">
        <v>0.78047194563047695</v>
      </c>
      <c r="M127">
        <v>0.49704873988502929</v>
      </c>
      <c r="N127">
        <v>0.37235509751149798</v>
      </c>
      <c r="O127">
        <v>-3.6890932886026101E-2</v>
      </c>
      <c r="P127">
        <v>-0.43504810285142181</v>
      </c>
      <c r="Q127">
        <v>1.9052497423687671</v>
      </c>
      <c r="R127">
        <v>0.67588637181394284</v>
      </c>
      <c r="S127">
        <v>9.113751274705443</v>
      </c>
      <c r="T127">
        <v>2.210259888524568E-2</v>
      </c>
      <c r="U127">
        <v>9.0916486758201973</v>
      </c>
      <c r="V127">
        <v>-0.52764381290893125</v>
      </c>
      <c r="W127">
        <v>4.6286620780019438</v>
      </c>
      <c r="X127">
        <v>9.4936803620183419E-2</v>
      </c>
      <c r="Y127">
        <v>4.5337252743817604</v>
      </c>
      <c r="Z127">
        <v>-0.34893533174968738</v>
      </c>
      <c r="AA127">
        <v>4.5757152973388032E-2</v>
      </c>
      <c r="AB127">
        <v>-0.36105429762281449</v>
      </c>
      <c r="AC127">
        <v>-0.24320733419896781</v>
      </c>
      <c r="AD127">
        <v>0.95325796931197782</v>
      </c>
      <c r="AE127">
        <v>0.67759465891165926</v>
      </c>
      <c r="AF127">
        <v>0.51382870735900854</v>
      </c>
      <c r="AG127">
        <v>1.012442902904928</v>
      </c>
      <c r="AH127">
        <v>0.94840543088598694</v>
      </c>
      <c r="AI127">
        <v>0.57730200440930213</v>
      </c>
      <c r="AJ127">
        <v>1.247574520406261E-2</v>
      </c>
      <c r="AK127">
        <v>0.84878836959835158</v>
      </c>
      <c r="AL127">
        <v>0.62988210485267371</v>
      </c>
      <c r="AM127">
        <v>-0.37235509751149798</v>
      </c>
      <c r="AN127">
        <v>-3.6890932886026101E-2</v>
      </c>
      <c r="AO127">
        <v>-0.2247555596763641</v>
      </c>
      <c r="AP127">
        <v>-0.64534064602647956</v>
      </c>
      <c r="AQ127">
        <v>1.9052497423687671</v>
      </c>
    </row>
    <row r="128" spans="1:43" x14ac:dyDescent="0.3">
      <c r="A128">
        <v>942</v>
      </c>
      <c r="B128">
        <v>2023</v>
      </c>
      <c r="C128" t="s">
        <v>193</v>
      </c>
      <c r="D128">
        <v>11.66666666666667</v>
      </c>
      <c r="E128">
        <v>12.424967119159779</v>
      </c>
      <c r="F128">
        <v>-0.75830045249311162</v>
      </c>
      <c r="G128">
        <v>0.21106000705613459</v>
      </c>
      <c r="H128">
        <v>-0.1898458332747438</v>
      </c>
      <c r="I128">
        <v>0.13407414455308761</v>
      </c>
      <c r="J128">
        <v>-6.5885513950069918E-2</v>
      </c>
      <c r="K128">
        <v>0.30213081591089108</v>
      </c>
      <c r="L128">
        <v>-0.25813171335263457</v>
      </c>
      <c r="M128">
        <v>0.45734216873856021</v>
      </c>
      <c r="N128">
        <v>0.34401705320701143</v>
      </c>
      <c r="O128">
        <v>-0.36832176365333019</v>
      </c>
      <c r="P128">
        <v>0.61585233553444285</v>
      </c>
      <c r="Q128">
        <v>-0.52486557418804092</v>
      </c>
      <c r="R128">
        <v>0.21106000705613459</v>
      </c>
      <c r="S128">
        <v>9.113751274705443</v>
      </c>
      <c r="T128">
        <v>2.210259888524568E-2</v>
      </c>
      <c r="U128">
        <v>9.0916486758201973</v>
      </c>
      <c r="V128">
        <v>-0.1898458332747438</v>
      </c>
      <c r="W128">
        <v>4.6286620780019438</v>
      </c>
      <c r="X128">
        <v>9.4936803620183419E-2</v>
      </c>
      <c r="Y128">
        <v>4.5337252743817604</v>
      </c>
      <c r="Z128">
        <v>0.13407414455308761</v>
      </c>
      <c r="AA128">
        <v>6.5885513950069918E-2</v>
      </c>
      <c r="AB128">
        <v>-0.36105429762281449</v>
      </c>
      <c r="AC128">
        <v>-0.24320733419896781</v>
      </c>
      <c r="AD128">
        <v>-0.21531865345498941</v>
      </c>
      <c r="AE128">
        <v>-7.6069606024059641E-2</v>
      </c>
      <c r="AF128">
        <v>-0.25791586266454991</v>
      </c>
      <c r="AG128">
        <v>-0.16224499109702251</v>
      </c>
      <c r="AH128">
        <v>-0.248998753372069</v>
      </c>
      <c r="AI128">
        <v>-0.58824241350311668</v>
      </c>
      <c r="AJ128">
        <v>0.20303249413376109</v>
      </c>
      <c r="AK128">
        <v>0.82379059450223158</v>
      </c>
      <c r="AL128">
        <v>0.34520341757968809</v>
      </c>
      <c r="AM128">
        <v>-0.34401705320701143</v>
      </c>
      <c r="AN128">
        <v>-0.36832176365333019</v>
      </c>
      <c r="AO128">
        <v>0.73848301917736348</v>
      </c>
      <c r="AP128">
        <v>0.49322165189152217</v>
      </c>
      <c r="AQ128">
        <v>-0.52486557418804092</v>
      </c>
    </row>
    <row r="129" spans="1:43" x14ac:dyDescent="0.3">
      <c r="A129">
        <v>943</v>
      </c>
      <c r="B129">
        <v>2023</v>
      </c>
      <c r="C129" t="s">
        <v>194</v>
      </c>
      <c r="D129">
        <v>8.5</v>
      </c>
      <c r="E129">
        <v>10.01636348102457</v>
      </c>
      <c r="F129">
        <v>-1.516363481024571</v>
      </c>
      <c r="G129">
        <v>0.20983095102762389</v>
      </c>
      <c r="H129">
        <v>-1.423970333887197</v>
      </c>
      <c r="I129">
        <v>-7.4882137972907339E-2</v>
      </c>
      <c r="J129">
        <v>0.16617254724365521</v>
      </c>
      <c r="K129">
        <v>0.30213081591089108</v>
      </c>
      <c r="L129">
        <v>-5.1253202509714268E-3</v>
      </c>
      <c r="M129">
        <v>0.21786524630889631</v>
      </c>
      <c r="N129">
        <v>-4.2186038828937192E-2</v>
      </c>
      <c r="O129">
        <v>-1.5878568778246831</v>
      </c>
      <c r="P129">
        <v>0.29350566092069702</v>
      </c>
      <c r="Q129">
        <v>-0.52486557418804092</v>
      </c>
      <c r="R129">
        <v>0.20983095102762389</v>
      </c>
      <c r="S129">
        <v>9.113751274705443</v>
      </c>
      <c r="T129">
        <v>2.210259888524568E-2</v>
      </c>
      <c r="U129">
        <v>9.0916486758201973</v>
      </c>
      <c r="V129">
        <v>-1.423970333887197</v>
      </c>
      <c r="W129">
        <v>4.6286620780019438</v>
      </c>
      <c r="X129">
        <v>9.4936803620183419E-2</v>
      </c>
      <c r="Y129">
        <v>4.5337252743817604</v>
      </c>
      <c r="Z129">
        <v>-7.4882137972907339E-2</v>
      </c>
      <c r="AA129">
        <v>-0.16617254724365521</v>
      </c>
      <c r="AB129">
        <v>-0.36105429762281449</v>
      </c>
      <c r="AC129">
        <v>-0.24320733419896781</v>
      </c>
      <c r="AD129">
        <v>0.2273526594280848</v>
      </c>
      <c r="AE129">
        <v>5.3581901341409298E-2</v>
      </c>
      <c r="AF129">
        <v>1.029547272536886E-2</v>
      </c>
      <c r="AG129">
        <v>0.1061096937637111</v>
      </c>
      <c r="AH129">
        <v>-0.2142402760756898</v>
      </c>
      <c r="AI129">
        <v>-0.2138513726887129</v>
      </c>
      <c r="AJ129">
        <v>-0.59934072880562428</v>
      </c>
      <c r="AK129">
        <v>0.9227091830839087</v>
      </c>
      <c r="AL129">
        <v>0.3302272846484044</v>
      </c>
      <c r="AM129">
        <v>4.2186038828937192E-2</v>
      </c>
      <c r="AN129">
        <v>-1.5878568778246831</v>
      </c>
      <c r="AO129">
        <v>0.44859219748288692</v>
      </c>
      <c r="AP129">
        <v>0.13841912435850709</v>
      </c>
      <c r="AQ129">
        <v>-0.52486557418804092</v>
      </c>
    </row>
    <row r="130" spans="1:43" x14ac:dyDescent="0.3">
      <c r="A130">
        <v>944</v>
      </c>
      <c r="B130">
        <v>2023</v>
      </c>
      <c r="C130" t="s">
        <v>195</v>
      </c>
      <c r="D130">
        <v>13.66666666666667</v>
      </c>
      <c r="E130">
        <v>13.93386400426964</v>
      </c>
      <c r="F130">
        <v>-0.26719733760296899</v>
      </c>
      <c r="G130">
        <v>0.66526685475970426</v>
      </c>
      <c r="H130">
        <v>0.31526693828288838</v>
      </c>
      <c r="I130">
        <v>-7.6453894381377022E-2</v>
      </c>
      <c r="J130">
        <v>-0.35884379148272127</v>
      </c>
      <c r="K130">
        <v>0.30213081591089108</v>
      </c>
      <c r="L130">
        <v>0.2404878941689394</v>
      </c>
      <c r="M130">
        <v>0.19773787572044199</v>
      </c>
      <c r="N130">
        <v>-0.41441458548728111</v>
      </c>
      <c r="O130">
        <v>-2.622297473445083E-2</v>
      </c>
      <c r="P130">
        <v>0.17364939285464229</v>
      </c>
      <c r="Q130">
        <v>-0.52486557418804092</v>
      </c>
      <c r="R130">
        <v>0.66526685475970426</v>
      </c>
      <c r="S130">
        <v>9.113751274705443</v>
      </c>
      <c r="T130">
        <v>2.210259888524568E-2</v>
      </c>
      <c r="U130">
        <v>9.0916486758201973</v>
      </c>
      <c r="V130">
        <v>0.31526693828288838</v>
      </c>
      <c r="W130">
        <v>4.6286620780019438</v>
      </c>
      <c r="X130">
        <v>9.4936803620183419E-2</v>
      </c>
      <c r="Y130">
        <v>4.5337252743817604</v>
      </c>
      <c r="Z130">
        <v>-7.6453894381377022E-2</v>
      </c>
      <c r="AA130">
        <v>0.35884379148272127</v>
      </c>
      <c r="AB130">
        <v>-0.36105429762281449</v>
      </c>
      <c r="AC130">
        <v>-0.24320733419896781</v>
      </c>
      <c r="AD130">
        <v>0.246891229161666</v>
      </c>
      <c r="AE130">
        <v>0.84598304019399084</v>
      </c>
      <c r="AF130">
        <v>0.15110169090767439</v>
      </c>
      <c r="AG130">
        <v>4.2631774952800038E-2</v>
      </c>
      <c r="AH130">
        <v>0.28996717554512969</v>
      </c>
      <c r="AI130">
        <v>-0.13364754574762441</v>
      </c>
      <c r="AJ130">
        <v>-0.40467412889953552</v>
      </c>
      <c r="AK130">
        <v>1.0726133327527221</v>
      </c>
      <c r="AL130">
        <v>-7.4725576691860709E-2</v>
      </c>
      <c r="AM130">
        <v>0.41441458548728111</v>
      </c>
      <c r="AN130">
        <v>-2.622297473445083E-2</v>
      </c>
      <c r="AO130">
        <v>0.41870781532911389</v>
      </c>
      <c r="AP130">
        <v>-7.1409029619829242E-2</v>
      </c>
      <c r="AQ130">
        <v>-0.52486557418804092</v>
      </c>
    </row>
    <row r="131" spans="1:43" x14ac:dyDescent="0.3">
      <c r="A131">
        <v>946</v>
      </c>
      <c r="B131">
        <v>2023</v>
      </c>
      <c r="C131" t="s">
        <v>196</v>
      </c>
      <c r="D131">
        <v>17.333333333333329</v>
      </c>
      <c r="E131">
        <v>17.488125819150518</v>
      </c>
      <c r="F131">
        <v>-0.1547924858171896</v>
      </c>
      <c r="G131">
        <v>0.83299029328936769</v>
      </c>
      <c r="H131">
        <v>-0.19968471196755999</v>
      </c>
      <c r="I131">
        <v>-0.25262159183068511</v>
      </c>
      <c r="J131">
        <v>-5.7967722665403308E-2</v>
      </c>
      <c r="K131">
        <v>0.30213081591089108</v>
      </c>
      <c r="L131">
        <v>0.97734612211631788</v>
      </c>
      <c r="M131">
        <v>0.50294145783194522</v>
      </c>
      <c r="N131">
        <v>0.57536106783785401</v>
      </c>
      <c r="O131">
        <v>0.36410791588791408</v>
      </c>
      <c r="P131">
        <v>-0.57338098481066269</v>
      </c>
      <c r="Q131">
        <v>1.9052497423687671</v>
      </c>
      <c r="R131">
        <v>0.83299029328936769</v>
      </c>
      <c r="S131">
        <v>9.113751274705443</v>
      </c>
      <c r="T131">
        <v>2.210259888524568E-2</v>
      </c>
      <c r="U131">
        <v>9.0916486758201973</v>
      </c>
      <c r="V131">
        <v>-0.19968471196755999</v>
      </c>
      <c r="W131">
        <v>4.6286620780019438</v>
      </c>
      <c r="X131">
        <v>9.4936803620183419E-2</v>
      </c>
      <c r="Y131">
        <v>4.5337252743817604</v>
      </c>
      <c r="Z131">
        <v>-0.25262159183068511</v>
      </c>
      <c r="AA131">
        <v>5.7967722665403308E-2</v>
      </c>
      <c r="AB131">
        <v>-0.36105429762281449</v>
      </c>
      <c r="AC131">
        <v>-0.24320733419896781</v>
      </c>
      <c r="AD131">
        <v>1.0403246369857031</v>
      </c>
      <c r="AE131">
        <v>0.85820528870222879</v>
      </c>
      <c r="AF131">
        <v>0.90989100449285498</v>
      </c>
      <c r="AG131">
        <v>1.200767618773146</v>
      </c>
      <c r="AH131">
        <v>1.192680762782004</v>
      </c>
      <c r="AI131">
        <v>0.66220742096197027</v>
      </c>
      <c r="AJ131">
        <v>0.27084503524419817</v>
      </c>
      <c r="AK131">
        <v>0.60046063679530881</v>
      </c>
      <c r="AL131">
        <v>0.63751870145632883</v>
      </c>
      <c r="AM131">
        <v>-0.57536106783785401</v>
      </c>
      <c r="AN131">
        <v>0.36410791588791408</v>
      </c>
      <c r="AO131">
        <v>-0.32618729630524668</v>
      </c>
      <c r="AP131">
        <v>-0.8205746733160787</v>
      </c>
      <c r="AQ131">
        <v>1.9052497423687671</v>
      </c>
    </row>
    <row r="132" spans="1:43" x14ac:dyDescent="0.3">
      <c r="A132">
        <v>948</v>
      </c>
      <c r="B132">
        <v>2023</v>
      </c>
      <c r="C132" t="s">
        <v>197</v>
      </c>
      <c r="D132">
        <v>7.6666666666666661</v>
      </c>
      <c r="E132">
        <v>10.12593507699818</v>
      </c>
      <c r="F132">
        <v>-2.459268410331513</v>
      </c>
      <c r="G132">
        <v>-0.36060106265308828</v>
      </c>
      <c r="H132">
        <v>-0.91394201842805789</v>
      </c>
      <c r="I132">
        <v>0.16729932863212679</v>
      </c>
      <c r="J132">
        <v>-0.95559722714968787</v>
      </c>
      <c r="K132">
        <v>0.30213081591089108</v>
      </c>
      <c r="L132">
        <v>-0.25165194290492171</v>
      </c>
      <c r="M132">
        <v>0.30121418551017498</v>
      </c>
      <c r="N132">
        <v>0.31517892576773993</v>
      </c>
      <c r="O132">
        <v>-1.296123782239605</v>
      </c>
      <c r="P132">
        <v>0.42225813463813611</v>
      </c>
      <c r="Q132">
        <v>-0.52486557418804092</v>
      </c>
      <c r="R132">
        <v>-0.36060106265308828</v>
      </c>
      <c r="S132">
        <v>9.113751274705443</v>
      </c>
      <c r="T132">
        <v>2.210259888524568E-2</v>
      </c>
      <c r="U132">
        <v>9.0916486758201973</v>
      </c>
      <c r="V132">
        <v>-0.91394201842805789</v>
      </c>
      <c r="W132">
        <v>4.6286620780019438</v>
      </c>
      <c r="X132">
        <v>9.4936803620183419E-2</v>
      </c>
      <c r="Y132">
        <v>4.5337252743817604</v>
      </c>
      <c r="Z132">
        <v>0.16729932863212679</v>
      </c>
      <c r="AA132">
        <v>0.95559722714968787</v>
      </c>
      <c r="AB132">
        <v>-0.36105429762281449</v>
      </c>
      <c r="AC132">
        <v>-0.24320733419896781</v>
      </c>
      <c r="AD132">
        <v>0.12514507761795071</v>
      </c>
      <c r="AE132">
        <v>0.67948540009478309</v>
      </c>
      <c r="AF132">
        <v>-0.79468803971406099</v>
      </c>
      <c r="AG132">
        <v>-0.51823899970646359</v>
      </c>
      <c r="AH132">
        <v>-0.36717091417409359</v>
      </c>
      <c r="AI132">
        <v>-0.6344441815476457</v>
      </c>
      <c r="AJ132">
        <v>0.1508323747202206</v>
      </c>
      <c r="AK132">
        <v>0.43026126378112989</v>
      </c>
      <c r="AL132">
        <v>0.32254891802917462</v>
      </c>
      <c r="AM132">
        <v>-0.31517892576773993</v>
      </c>
      <c r="AN132">
        <v>-1.296123782239605</v>
      </c>
      <c r="AO132">
        <v>0.49412275268857853</v>
      </c>
      <c r="AP132">
        <v>0.35039351658769369</v>
      </c>
      <c r="AQ132">
        <v>-0.52486557418804092</v>
      </c>
    </row>
    <row r="133" spans="1:43" x14ac:dyDescent="0.3">
      <c r="A133">
        <v>960</v>
      </c>
      <c r="B133">
        <v>2023</v>
      </c>
      <c r="C133" t="s">
        <v>198</v>
      </c>
      <c r="D133">
        <v>14.66666666666667</v>
      </c>
      <c r="E133">
        <v>15.13510646608022</v>
      </c>
      <c r="F133">
        <v>-0.46843979941355052</v>
      </c>
      <c r="G133">
        <v>0.65047864455184412</v>
      </c>
      <c r="H133">
        <v>-0.17041076749886061</v>
      </c>
      <c r="I133">
        <v>-6.2570046106561639E-2</v>
      </c>
      <c r="J133">
        <v>0.20402531328890261</v>
      </c>
      <c r="K133">
        <v>0.30213081591089108</v>
      </c>
      <c r="L133">
        <v>0.39693460344919002</v>
      </c>
      <c r="M133">
        <v>0.72779163463778618</v>
      </c>
      <c r="N133">
        <v>-0.10494647224446189</v>
      </c>
      <c r="O133">
        <v>0.2293295791438304</v>
      </c>
      <c r="P133">
        <v>-1.139012118649803</v>
      </c>
      <c r="Q133">
        <v>1.9052497423687671</v>
      </c>
      <c r="R133">
        <v>0.65047864455184412</v>
      </c>
      <c r="S133">
        <v>9.113751274705443</v>
      </c>
      <c r="T133">
        <v>2.210259888524568E-2</v>
      </c>
      <c r="U133">
        <v>9.0916486758201973</v>
      </c>
      <c r="V133">
        <v>-0.17041076749886061</v>
      </c>
      <c r="W133">
        <v>4.6286620780019438</v>
      </c>
      <c r="X133">
        <v>9.4936803620183419E-2</v>
      </c>
      <c r="Y133">
        <v>4.5337252743817604</v>
      </c>
      <c r="Z133">
        <v>-6.2570046106561639E-2</v>
      </c>
      <c r="AA133">
        <v>-0.20402531328890261</v>
      </c>
      <c r="AB133">
        <v>-0.36105429762281449</v>
      </c>
      <c r="AC133">
        <v>-0.24320733419896781</v>
      </c>
      <c r="AD133">
        <v>0.4812871645103215</v>
      </c>
      <c r="AE133">
        <v>0.6855152021474773</v>
      </c>
      <c r="AF133">
        <v>0.53185628555726339</v>
      </c>
      <c r="AG133">
        <v>0.41241348009062562</v>
      </c>
      <c r="AH133">
        <v>0.21853435706528571</v>
      </c>
      <c r="AI133">
        <v>5.2001131324165978E-2</v>
      </c>
      <c r="AJ133">
        <v>0.32312033485852643</v>
      </c>
      <c r="AK133">
        <v>1.3668115703526069</v>
      </c>
      <c r="AL133">
        <v>0.49344299870222569</v>
      </c>
      <c r="AM133">
        <v>0.10494647224446189</v>
      </c>
      <c r="AN133">
        <v>0.2293295791438304</v>
      </c>
      <c r="AO133">
        <v>-1.0101272268800221</v>
      </c>
      <c r="AP133">
        <v>-1.2678970104195839</v>
      </c>
      <c r="AQ133">
        <v>1.9052497423687671</v>
      </c>
    </row>
    <row r="134" spans="1:43" x14ac:dyDescent="0.3">
      <c r="A134">
        <v>961</v>
      </c>
      <c r="B134">
        <v>2023</v>
      </c>
      <c r="C134" t="s">
        <v>199</v>
      </c>
      <c r="D134">
        <v>17.333333333333329</v>
      </c>
      <c r="E134">
        <v>15.872938017433119</v>
      </c>
      <c r="F134">
        <v>1.460395315900211</v>
      </c>
      <c r="G134">
        <v>0.95719461168259379</v>
      </c>
      <c r="H134">
        <v>-0.27366463848520611</v>
      </c>
      <c r="I134">
        <v>-0.22764812889611161</v>
      </c>
      <c r="J134">
        <v>0.2704966020498118</v>
      </c>
      <c r="K134">
        <v>0.30213081591089108</v>
      </c>
      <c r="L134">
        <v>0.83550330020022046</v>
      </c>
      <c r="M134">
        <v>0.5995941230110291</v>
      </c>
      <c r="N134">
        <v>-0.28447631763229742</v>
      </c>
      <c r="O134">
        <v>0.68794833279464251</v>
      </c>
      <c r="P134">
        <v>-2.4810533308159912</v>
      </c>
      <c r="Q134">
        <v>1.9052497423687671</v>
      </c>
      <c r="R134">
        <v>0.95719461168259379</v>
      </c>
      <c r="S134">
        <v>9.113751274705443</v>
      </c>
      <c r="T134">
        <v>2.210259888524568E-2</v>
      </c>
      <c r="U134">
        <v>9.0916486758201973</v>
      </c>
      <c r="V134">
        <v>-0.27366463848520611</v>
      </c>
      <c r="W134">
        <v>4.6286620780019438</v>
      </c>
      <c r="X134">
        <v>9.4936803620183419E-2</v>
      </c>
      <c r="Y134">
        <v>4.5337252743817604</v>
      </c>
      <c r="Z134">
        <v>-0.22764812889611161</v>
      </c>
      <c r="AA134">
        <v>-0.2704966020498118</v>
      </c>
      <c r="AB134">
        <v>-0.36105429762281449</v>
      </c>
      <c r="AC134">
        <v>-0.24320733419896781</v>
      </c>
      <c r="AD134">
        <v>1.049229220555433</v>
      </c>
      <c r="AE134">
        <v>0.94971787951425202</v>
      </c>
      <c r="AF134">
        <v>0.89776246480774291</v>
      </c>
      <c r="AG134">
        <v>0.51181436769830746</v>
      </c>
      <c r="AH134">
        <v>0.94727396444005252</v>
      </c>
      <c r="AI134">
        <v>0.65722190418553539</v>
      </c>
      <c r="AJ134">
        <v>-2.303436963462533E-2</v>
      </c>
      <c r="AK134">
        <v>1.191497141048133</v>
      </c>
      <c r="AL134">
        <v>0.63031959761958001</v>
      </c>
      <c r="AM134">
        <v>0.28447631763229742</v>
      </c>
      <c r="AN134">
        <v>0.68794833279464251</v>
      </c>
      <c r="AO134">
        <v>-1.180359164188556</v>
      </c>
      <c r="AP134">
        <v>-3.7817474974434262</v>
      </c>
      <c r="AQ134">
        <v>1.9052497423687671</v>
      </c>
    </row>
    <row r="135" spans="1:43" x14ac:dyDescent="0.3">
      <c r="A135">
        <v>962</v>
      </c>
      <c r="B135">
        <v>2023</v>
      </c>
      <c r="C135" t="s">
        <v>200</v>
      </c>
      <c r="D135">
        <v>11</v>
      </c>
      <c r="E135">
        <v>10.87198245053556</v>
      </c>
      <c r="F135">
        <v>0.12801754946444349</v>
      </c>
      <c r="G135">
        <v>-5.7674287906446527E-2</v>
      </c>
      <c r="H135">
        <v>-1.046057357953651</v>
      </c>
      <c r="I135">
        <v>-0.33819499629181138</v>
      </c>
      <c r="J135">
        <v>0.1045282493141209</v>
      </c>
      <c r="K135">
        <v>0.30213081591089108</v>
      </c>
      <c r="L135">
        <v>-0.13218701757705351</v>
      </c>
      <c r="M135">
        <v>3.1236057826823468E-2</v>
      </c>
      <c r="N135">
        <v>0.20065988790196179</v>
      </c>
      <c r="O135">
        <v>-0.19208709498930651</v>
      </c>
      <c r="P135">
        <v>0.45670196036465449</v>
      </c>
      <c r="Q135">
        <v>-0.52486557418804092</v>
      </c>
      <c r="R135">
        <v>-5.7674287906446527E-2</v>
      </c>
      <c r="S135">
        <v>9.113751274705443</v>
      </c>
      <c r="T135">
        <v>2.210259888524568E-2</v>
      </c>
      <c r="U135">
        <v>9.0916486758201973</v>
      </c>
      <c r="V135">
        <v>-1.046057357953651</v>
      </c>
      <c r="W135">
        <v>4.6286620780019438</v>
      </c>
      <c r="X135">
        <v>9.4936803620183419E-2</v>
      </c>
      <c r="Y135">
        <v>4.5337252743817604</v>
      </c>
      <c r="Z135">
        <v>-0.33819499629181138</v>
      </c>
      <c r="AA135">
        <v>-0.1045282493141209</v>
      </c>
      <c r="AB135">
        <v>-0.36105429762281449</v>
      </c>
      <c r="AC135">
        <v>-0.24320733419896781</v>
      </c>
      <c r="AD135">
        <v>2.741877822288603E-2</v>
      </c>
      <c r="AE135">
        <v>0.17437526832522279</v>
      </c>
      <c r="AF135">
        <v>-0.32395350402199252</v>
      </c>
      <c r="AG135">
        <v>0.16645982705244999</v>
      </c>
      <c r="AH135">
        <v>-0.34951015206072378</v>
      </c>
      <c r="AI135">
        <v>-0.48791232298016379</v>
      </c>
      <c r="AJ135">
        <v>-0.33613484584815168</v>
      </c>
      <c r="AK135">
        <v>0.12113036184990029</v>
      </c>
      <c r="AL135">
        <v>0.30871265747872179</v>
      </c>
      <c r="AM135">
        <v>-0.20065988790196179</v>
      </c>
      <c r="AN135">
        <v>-0.19208709498930651</v>
      </c>
      <c r="AO135">
        <v>0.70362879379076959</v>
      </c>
      <c r="AP135">
        <v>0.20977512693853939</v>
      </c>
      <c r="AQ135">
        <v>-0.52486557418804092</v>
      </c>
    </row>
    <row r="136" spans="1:43" x14ac:dyDescent="0.3">
      <c r="A136">
        <v>963</v>
      </c>
      <c r="B136">
        <v>2023</v>
      </c>
      <c r="C136" t="s">
        <v>201</v>
      </c>
      <c r="D136">
        <v>8</v>
      </c>
      <c r="E136">
        <v>10.806526927232159</v>
      </c>
      <c r="F136">
        <v>-2.8065269272321589</v>
      </c>
      <c r="G136">
        <v>-0.1182368195850519</v>
      </c>
      <c r="H136">
        <v>-0.75387660332412731</v>
      </c>
      <c r="I136">
        <v>-0.12797257665899381</v>
      </c>
      <c r="J136">
        <v>0.28030321583371171</v>
      </c>
      <c r="K136">
        <v>0.30213081591089108</v>
      </c>
      <c r="L136">
        <v>-0.67733793679187515</v>
      </c>
      <c r="M136">
        <v>0.65282862836722699</v>
      </c>
      <c r="N136">
        <v>0.8075107719636283</v>
      </c>
      <c r="O136">
        <v>-0.25475003462874141</v>
      </c>
      <c r="P136">
        <v>0.6212456402061981</v>
      </c>
      <c r="Q136">
        <v>-0.52486557418804092</v>
      </c>
      <c r="R136">
        <v>-0.1182368195850519</v>
      </c>
      <c r="S136">
        <v>9.113751274705443</v>
      </c>
      <c r="T136">
        <v>2.210259888524568E-2</v>
      </c>
      <c r="U136">
        <v>9.0916486758201973</v>
      </c>
      <c r="V136">
        <v>-0.75387660332412731</v>
      </c>
      <c r="W136">
        <v>4.6286620780019438</v>
      </c>
      <c r="X136">
        <v>9.4936803620183419E-2</v>
      </c>
      <c r="Y136">
        <v>4.5337252743817604</v>
      </c>
      <c r="Z136">
        <v>-0.12797257665899381</v>
      </c>
      <c r="AA136">
        <v>-0.28030321583371171</v>
      </c>
      <c r="AB136">
        <v>-0.36105429762281449</v>
      </c>
      <c r="AC136">
        <v>-0.24320733419896781</v>
      </c>
      <c r="AD136">
        <v>-0.51020465374953183</v>
      </c>
      <c r="AE136">
        <v>-0.45190135582292301</v>
      </c>
      <c r="AF136">
        <v>-1.350623690338266</v>
      </c>
      <c r="AG136">
        <v>-0.47934724683018731</v>
      </c>
      <c r="AH136">
        <v>-0.54697952157791452</v>
      </c>
      <c r="AI136">
        <v>-0.72497115243242805</v>
      </c>
      <c r="AJ136">
        <v>0.51746115389453529</v>
      </c>
      <c r="AK136">
        <v>0.87716868191869946</v>
      </c>
      <c r="AL136">
        <v>0.56385604928844613</v>
      </c>
      <c r="AM136">
        <v>-0.8075107719636283</v>
      </c>
      <c r="AN136">
        <v>-0.25475003462874141</v>
      </c>
      <c r="AO136">
        <v>0.77479116835185635</v>
      </c>
      <c r="AP136">
        <v>0.46770011206053969</v>
      </c>
      <c r="AQ136">
        <v>-0.52486557418804092</v>
      </c>
    </row>
    <row r="137" spans="1:43" x14ac:dyDescent="0.3">
      <c r="A137">
        <v>964</v>
      </c>
      <c r="B137">
        <v>2023</v>
      </c>
      <c r="C137" t="s">
        <v>202</v>
      </c>
      <c r="D137">
        <v>16.333333333333329</v>
      </c>
      <c r="E137">
        <v>16.552950329495221</v>
      </c>
      <c r="F137">
        <v>-0.21961699616188921</v>
      </c>
      <c r="G137">
        <v>0.65900126646576973</v>
      </c>
      <c r="H137">
        <v>1.01166455465675</v>
      </c>
      <c r="I137">
        <v>4.0860257550788898E-2</v>
      </c>
      <c r="J137">
        <v>-0.15788452497334851</v>
      </c>
      <c r="K137">
        <v>0.30213081591089108</v>
      </c>
      <c r="L137">
        <v>0.45391651310443781</v>
      </c>
      <c r="M137">
        <v>0.32472966156032301</v>
      </c>
      <c r="N137">
        <v>0.2369714799666322</v>
      </c>
      <c r="O137">
        <v>0.14993410877937929</v>
      </c>
      <c r="P137">
        <v>0.34545370073827719</v>
      </c>
      <c r="Q137">
        <v>-0.52486557418804092</v>
      </c>
      <c r="R137">
        <v>0.65900126646576973</v>
      </c>
      <c r="S137">
        <v>9.113751274705443</v>
      </c>
      <c r="T137">
        <v>2.210259888524568E-2</v>
      </c>
      <c r="U137">
        <v>9.0916486758201973</v>
      </c>
      <c r="V137">
        <v>1.01166455465675</v>
      </c>
      <c r="W137">
        <v>4.6286620780019438</v>
      </c>
      <c r="X137">
        <v>9.4936803620183419E-2</v>
      </c>
      <c r="Y137">
        <v>4.5337252743817604</v>
      </c>
      <c r="Z137">
        <v>4.0860257550788898E-2</v>
      </c>
      <c r="AA137">
        <v>0.15788452497334851</v>
      </c>
      <c r="AB137">
        <v>-0.36105429762281449</v>
      </c>
      <c r="AC137">
        <v>-0.24320733419896781</v>
      </c>
      <c r="AD137">
        <v>0.54451572898629319</v>
      </c>
      <c r="AE137">
        <v>0.63991856135749803</v>
      </c>
      <c r="AF137">
        <v>0.20563251046355879</v>
      </c>
      <c r="AG137">
        <v>0.56720592742502618</v>
      </c>
      <c r="AH137">
        <v>0.32398208704797932</v>
      </c>
      <c r="AI137">
        <v>0.44224426334627093</v>
      </c>
      <c r="AJ137">
        <v>-0.30774179001735902</v>
      </c>
      <c r="AK137">
        <v>1.00545759371562</v>
      </c>
      <c r="AL137">
        <v>0.27647318098270751</v>
      </c>
      <c r="AM137">
        <v>-0.2369714799666322</v>
      </c>
      <c r="AN137">
        <v>0.14993410877937929</v>
      </c>
      <c r="AO137">
        <v>0.47025046772925311</v>
      </c>
      <c r="AP137">
        <v>0.2206569337473013</v>
      </c>
      <c r="AQ137">
        <v>-0.52486557418804092</v>
      </c>
    </row>
    <row r="138" spans="1:43" x14ac:dyDescent="0.3">
      <c r="A138">
        <v>968</v>
      </c>
      <c r="B138">
        <v>2023</v>
      </c>
      <c r="C138" t="s">
        <v>203</v>
      </c>
      <c r="D138">
        <v>13</v>
      </c>
      <c r="E138">
        <v>14.04667742881071</v>
      </c>
      <c r="F138">
        <v>-1.0466774288107139</v>
      </c>
      <c r="G138">
        <v>0.51937182679612393</v>
      </c>
      <c r="H138">
        <v>0.57306195900023427</v>
      </c>
      <c r="I138">
        <v>9.5435132844874856E-2</v>
      </c>
      <c r="J138">
        <v>-0.1581707102005051</v>
      </c>
      <c r="K138">
        <v>0.30213081591089108</v>
      </c>
      <c r="L138">
        <v>0.11779894416895539</v>
      </c>
      <c r="M138">
        <v>-0.17922925906558429</v>
      </c>
      <c r="N138">
        <v>0.16412603666627559</v>
      </c>
      <c r="O138">
        <v>-0.6450938561094719</v>
      </c>
      <c r="P138">
        <v>0.32681455855000341</v>
      </c>
      <c r="Q138">
        <v>-0.52486557418804092</v>
      </c>
      <c r="R138">
        <v>0.51937182679612393</v>
      </c>
      <c r="S138">
        <v>9.113751274705443</v>
      </c>
      <c r="T138">
        <v>2.210259888524568E-2</v>
      </c>
      <c r="U138">
        <v>9.0916486758201973</v>
      </c>
      <c r="V138">
        <v>0.57306195900023427</v>
      </c>
      <c r="W138">
        <v>4.6286620780019438</v>
      </c>
      <c r="X138">
        <v>9.4936803620183419E-2</v>
      </c>
      <c r="Y138">
        <v>4.5337252743817604</v>
      </c>
      <c r="Z138">
        <v>9.5435132844874856E-2</v>
      </c>
      <c r="AA138">
        <v>0.1581707102005051</v>
      </c>
      <c r="AB138">
        <v>-0.36105429762281449</v>
      </c>
      <c r="AC138">
        <v>-0.24320733419896781</v>
      </c>
      <c r="AD138">
        <v>0.40706557606565857</v>
      </c>
      <c r="AE138">
        <v>0.41754898113535782</v>
      </c>
      <c r="AF138">
        <v>-0.37027316666535542</v>
      </c>
      <c r="AG138">
        <v>4.3304123910362091E-2</v>
      </c>
      <c r="AH138">
        <v>0.30107875628340891</v>
      </c>
      <c r="AI138">
        <v>-9.1930605715699845E-2</v>
      </c>
      <c r="AJ138">
        <v>-0.84650816892840408</v>
      </c>
      <c r="AK138">
        <v>0.1349080134705341</v>
      </c>
      <c r="AL138">
        <v>0.1739123782611173</v>
      </c>
      <c r="AM138">
        <v>-0.16412603666627559</v>
      </c>
      <c r="AN138">
        <v>-0.6450938561094719</v>
      </c>
      <c r="AO138">
        <v>0.39544703341929399</v>
      </c>
      <c r="AP138">
        <v>0.25818208368071283</v>
      </c>
      <c r="AQ138">
        <v>-0.52486557418804092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Q138"/>
  <sheetViews>
    <sheetView workbookViewId="0">
      <selection activeCell="I18" sqref="I18"/>
    </sheetView>
  </sheetViews>
  <sheetFormatPr defaultRowHeight="14.4" x14ac:dyDescent="0.3"/>
  <sheetData>
    <row r="1" spans="1:43" x14ac:dyDescent="0.3">
      <c r="A1" t="s">
        <v>210</v>
      </c>
      <c r="B1" t="s">
        <v>211</v>
      </c>
      <c r="C1" t="s">
        <v>0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  <c r="AE1" t="s">
        <v>239</v>
      </c>
      <c r="AF1" t="s">
        <v>240</v>
      </c>
      <c r="AG1" t="s">
        <v>241</v>
      </c>
      <c r="AH1" t="s">
        <v>242</v>
      </c>
      <c r="AI1" t="s">
        <v>243</v>
      </c>
      <c r="AJ1" t="s">
        <v>244</v>
      </c>
      <c r="AK1" t="s">
        <v>245</v>
      </c>
      <c r="AL1" t="s">
        <v>246</v>
      </c>
      <c r="AM1" t="s">
        <v>247</v>
      </c>
      <c r="AN1" t="s">
        <v>248</v>
      </c>
      <c r="AO1" t="s">
        <v>249</v>
      </c>
      <c r="AP1" t="s">
        <v>250</v>
      </c>
      <c r="AQ1" t="s">
        <v>251</v>
      </c>
    </row>
    <row r="2" spans="1:43" x14ac:dyDescent="0.3">
      <c r="A2">
        <v>111</v>
      </c>
      <c r="B2">
        <v>2023</v>
      </c>
      <c r="C2" t="s">
        <v>10</v>
      </c>
      <c r="D2">
        <v>21.333333333333329</v>
      </c>
      <c r="E2">
        <v>18.898517004372319</v>
      </c>
      <c r="F2">
        <v>2.4348163289610092</v>
      </c>
      <c r="G2">
        <v>1.661434358574585</v>
      </c>
      <c r="H2">
        <v>2.8554324339156079</v>
      </c>
      <c r="I2">
        <v>-0.52759164351240584</v>
      </c>
      <c r="J2">
        <v>0.28282164583268993</v>
      </c>
      <c r="K2">
        <v>0.30213081591089108</v>
      </c>
      <c r="L2">
        <v>0.83764433318187137</v>
      </c>
      <c r="M2">
        <v>-0.51474114329774789</v>
      </c>
      <c r="N2">
        <v>-1.716575503674816</v>
      </c>
      <c r="O2">
        <v>-0.1613375137960387</v>
      </c>
      <c r="P2">
        <v>-2.3964739375027189</v>
      </c>
      <c r="Q2">
        <v>1.9052497423687671</v>
      </c>
      <c r="R2">
        <v>1.661434358574585</v>
      </c>
      <c r="S2">
        <v>9.113751274705443</v>
      </c>
      <c r="T2">
        <v>2.210259888524568E-2</v>
      </c>
      <c r="U2">
        <v>9.0916486758201973</v>
      </c>
      <c r="V2">
        <v>2.8554324339156079</v>
      </c>
      <c r="W2">
        <v>4.6286620780019438</v>
      </c>
      <c r="X2">
        <v>9.4936803620183419E-2</v>
      </c>
      <c r="Y2">
        <v>4.5337252743817604</v>
      </c>
      <c r="Z2">
        <v>-0.52759164351240584</v>
      </c>
      <c r="AA2">
        <v>-0.28282164583268993</v>
      </c>
      <c r="AB2">
        <v>-0.36105429762281449</v>
      </c>
      <c r="AC2">
        <v>-0.24320733419896781</v>
      </c>
      <c r="AD2">
        <v>0.79071612623289511</v>
      </c>
      <c r="AE2">
        <v>-0.27336381135139298</v>
      </c>
      <c r="AF2">
        <v>1.194725533752923</v>
      </c>
      <c r="AG2">
        <v>1.3285641564588859</v>
      </c>
      <c r="AH2">
        <v>0.9096612076020526</v>
      </c>
      <c r="AI2">
        <v>1.075562786395863</v>
      </c>
      <c r="AJ2">
        <v>-1.3046813725951161</v>
      </c>
      <c r="AK2">
        <v>3.6896934875844792E-2</v>
      </c>
      <c r="AL2">
        <v>-0.27643899217397222</v>
      </c>
      <c r="AM2">
        <v>1.716575503674816</v>
      </c>
      <c r="AN2">
        <v>-0.1613375137960387</v>
      </c>
      <c r="AO2">
        <v>-2.712549427804499</v>
      </c>
      <c r="AP2">
        <v>-2.08039844720094</v>
      </c>
      <c r="AQ2">
        <v>1.9052497423687671</v>
      </c>
    </row>
    <row r="3" spans="1:43" x14ac:dyDescent="0.3">
      <c r="A3">
        <v>112</v>
      </c>
      <c r="B3">
        <v>2023</v>
      </c>
      <c r="C3" t="s">
        <v>15</v>
      </c>
      <c r="D3">
        <v>19.333333333333329</v>
      </c>
      <c r="E3">
        <v>19.088919432002712</v>
      </c>
      <c r="F3">
        <v>0.24441390133061699</v>
      </c>
      <c r="G3">
        <v>1.270494470742954</v>
      </c>
      <c r="H3">
        <v>1.754030639048116</v>
      </c>
      <c r="I3">
        <v>-0.92463477625193724</v>
      </c>
      <c r="J3">
        <v>0.24867020872533441</v>
      </c>
      <c r="K3">
        <v>0.30213081591089108</v>
      </c>
      <c r="L3">
        <v>1.1126804820554139</v>
      </c>
      <c r="M3">
        <v>9.7672064804651001E-2</v>
      </c>
      <c r="N3">
        <v>-1.175318857459122</v>
      </c>
      <c r="O3">
        <v>-0.2339960069520404</v>
      </c>
      <c r="P3">
        <v>-0.60163945312855271</v>
      </c>
      <c r="Q3">
        <v>1.9052497423687671</v>
      </c>
      <c r="R3">
        <v>1.270494470742954</v>
      </c>
      <c r="S3">
        <v>9.113751274705443</v>
      </c>
      <c r="T3">
        <v>2.210259888524568E-2</v>
      </c>
      <c r="U3">
        <v>9.0916486758201973</v>
      </c>
      <c r="V3">
        <v>1.754030639048116</v>
      </c>
      <c r="W3">
        <v>4.6286620780019438</v>
      </c>
      <c r="X3">
        <v>9.4936803620183419E-2</v>
      </c>
      <c r="Y3">
        <v>4.5337252743817604</v>
      </c>
      <c r="Z3">
        <v>-0.92463477625193724</v>
      </c>
      <c r="AA3">
        <v>-0.24867020872533441</v>
      </c>
      <c r="AB3">
        <v>-0.36105429762281449</v>
      </c>
      <c r="AC3">
        <v>-0.24320733419896781</v>
      </c>
      <c r="AD3">
        <v>1.2144677895851179</v>
      </c>
      <c r="AE3">
        <v>0.40228747386459401</v>
      </c>
      <c r="AF3">
        <v>0.94367180701234266</v>
      </c>
      <c r="AG3">
        <v>1.5115984285553941</v>
      </c>
      <c r="AH3">
        <v>1.2434715421269551</v>
      </c>
      <c r="AI3">
        <v>1.3605858511880811</v>
      </c>
      <c r="AJ3">
        <v>-0.63404892150257741</v>
      </c>
      <c r="AK3">
        <v>0.77305253613881897</v>
      </c>
      <c r="AL3">
        <v>0.15401257977771141</v>
      </c>
      <c r="AM3">
        <v>1.175318857459122</v>
      </c>
      <c r="AN3">
        <v>-0.2339960069520404</v>
      </c>
      <c r="AO3">
        <v>-0.69989992274855806</v>
      </c>
      <c r="AP3">
        <v>-0.50337898350854748</v>
      </c>
      <c r="AQ3">
        <v>1.9052497423687671</v>
      </c>
    </row>
    <row r="4" spans="1:43" x14ac:dyDescent="0.3">
      <c r="A4">
        <v>122</v>
      </c>
      <c r="B4">
        <v>2023</v>
      </c>
      <c r="C4" t="s">
        <v>18</v>
      </c>
      <c r="D4">
        <v>21</v>
      </c>
      <c r="E4">
        <v>18.95776630790375</v>
      </c>
      <c r="F4">
        <v>2.042233692096254</v>
      </c>
      <c r="G4">
        <v>1.369163982881741</v>
      </c>
      <c r="H4">
        <v>0.77017187901661344</v>
      </c>
      <c r="I4">
        <v>-0.83111526994799223</v>
      </c>
      <c r="J4">
        <v>0.24309913630335209</v>
      </c>
      <c r="K4">
        <v>0.30213081591089108</v>
      </c>
      <c r="L4">
        <v>1.305337522664936</v>
      </c>
      <c r="M4">
        <v>0.77258832101914188</v>
      </c>
      <c r="N4">
        <v>-0.56838462620832475</v>
      </c>
      <c r="O4">
        <v>0.30582853723439918</v>
      </c>
      <c r="P4">
        <v>-1.652336733430025</v>
      </c>
      <c r="Q4">
        <v>1.9052497423687671</v>
      </c>
      <c r="R4">
        <v>1.369163982881741</v>
      </c>
      <c r="S4">
        <v>9.113751274705443</v>
      </c>
      <c r="T4">
        <v>2.210259888524568E-2</v>
      </c>
      <c r="U4">
        <v>9.0916486758201973</v>
      </c>
      <c r="V4">
        <v>0.77017187901661344</v>
      </c>
      <c r="W4">
        <v>4.6286620780019438</v>
      </c>
      <c r="X4">
        <v>9.4936803620183419E-2</v>
      </c>
      <c r="Y4">
        <v>4.5337252743817604</v>
      </c>
      <c r="Z4">
        <v>-0.83111526994799223</v>
      </c>
      <c r="AA4">
        <v>-0.24309913630335209</v>
      </c>
      <c r="AB4">
        <v>-0.36105429762281449</v>
      </c>
      <c r="AC4">
        <v>-0.24320733419896781</v>
      </c>
      <c r="AD4">
        <v>1.411852444600161</v>
      </c>
      <c r="AE4">
        <v>0.80335896907620119</v>
      </c>
      <c r="AF4">
        <v>1.445668884699215</v>
      </c>
      <c r="AG4">
        <v>1.307070773069003</v>
      </c>
      <c r="AH4">
        <v>1.661045995323247</v>
      </c>
      <c r="AI4">
        <v>1.203028069221791</v>
      </c>
      <c r="AJ4">
        <v>-8.4995308156846621E-3</v>
      </c>
      <c r="AK4">
        <v>1.7049827918674481</v>
      </c>
      <c r="AL4">
        <v>0.62128170200566213</v>
      </c>
      <c r="AM4">
        <v>0.56838462620832475</v>
      </c>
      <c r="AN4">
        <v>0.30582853723439918</v>
      </c>
      <c r="AO4">
        <v>-1.686930800209677</v>
      </c>
      <c r="AP4">
        <v>-1.617742666650372</v>
      </c>
      <c r="AQ4">
        <v>1.9052497423687671</v>
      </c>
    </row>
    <row r="5" spans="1:43" x14ac:dyDescent="0.3">
      <c r="A5">
        <v>124</v>
      </c>
      <c r="B5">
        <v>2023</v>
      </c>
      <c r="C5" t="s">
        <v>20</v>
      </c>
      <c r="D5">
        <v>19.333333333333329</v>
      </c>
      <c r="E5">
        <v>17.73567707222491</v>
      </c>
      <c r="F5">
        <v>1.597656261108416</v>
      </c>
      <c r="G5">
        <v>1.3513205002504789</v>
      </c>
      <c r="H5">
        <v>0.89074215851027905</v>
      </c>
      <c r="I5">
        <v>-0.80286731449577353</v>
      </c>
      <c r="J5">
        <v>0.31567570991026889</v>
      </c>
      <c r="K5">
        <v>0.30213081591089108</v>
      </c>
      <c r="L5">
        <v>1.0734132482295831</v>
      </c>
      <c r="M5">
        <v>0.52358663657616344</v>
      </c>
      <c r="N5">
        <v>-1.255748894970385</v>
      </c>
      <c r="O5">
        <v>7.1159319616474398E-2</v>
      </c>
      <c r="P5">
        <v>-1.413471861262394</v>
      </c>
      <c r="Q5">
        <v>1.9052497423687671</v>
      </c>
      <c r="R5">
        <v>1.3513205002504789</v>
      </c>
      <c r="S5">
        <v>9.113751274705443</v>
      </c>
      <c r="T5">
        <v>2.210259888524568E-2</v>
      </c>
      <c r="U5">
        <v>9.0916486758201973</v>
      </c>
      <c r="V5">
        <v>0.89074215851027905</v>
      </c>
      <c r="W5">
        <v>4.6286620780019438</v>
      </c>
      <c r="X5">
        <v>9.4936803620183419E-2</v>
      </c>
      <c r="Y5">
        <v>4.5337252743817604</v>
      </c>
      <c r="Z5">
        <v>-0.80286731449577353</v>
      </c>
      <c r="AA5">
        <v>-0.31567570991026889</v>
      </c>
      <c r="AB5">
        <v>-0.36105429762281449</v>
      </c>
      <c r="AC5">
        <v>-0.24320733419896781</v>
      </c>
      <c r="AD5">
        <v>1.5017598270153849</v>
      </c>
      <c r="AE5">
        <v>0.19900690306579891</v>
      </c>
      <c r="AF5">
        <v>0.9740661146539491</v>
      </c>
      <c r="AG5">
        <v>1.167527389284243</v>
      </c>
      <c r="AH5">
        <v>1.245242656559451</v>
      </c>
      <c r="AI5">
        <v>1.3528765987986691</v>
      </c>
      <c r="AJ5">
        <v>-0.53263083064007211</v>
      </c>
      <c r="AK5">
        <v>1.6332070019874989</v>
      </c>
      <c r="AL5">
        <v>0.47018373838106359</v>
      </c>
      <c r="AM5">
        <v>1.255748894970385</v>
      </c>
      <c r="AN5">
        <v>7.1159319616474398E-2</v>
      </c>
      <c r="AO5">
        <v>-1.2217634975371721</v>
      </c>
      <c r="AP5">
        <v>-1.605180224987615</v>
      </c>
      <c r="AQ5">
        <v>1.9052497423687671</v>
      </c>
    </row>
    <row r="6" spans="1:43" x14ac:dyDescent="0.3">
      <c r="A6">
        <v>128</v>
      </c>
      <c r="B6">
        <v>2023</v>
      </c>
      <c r="C6" t="s">
        <v>23</v>
      </c>
      <c r="D6">
        <v>22</v>
      </c>
      <c r="E6">
        <v>23.110471113643829</v>
      </c>
      <c r="F6">
        <v>-1.110471113643825</v>
      </c>
      <c r="G6">
        <v>1.51637693590375</v>
      </c>
      <c r="H6">
        <v>0.64753098934320419</v>
      </c>
      <c r="I6">
        <v>-0.63700335350198867</v>
      </c>
      <c r="J6">
        <v>0.37777790420325358</v>
      </c>
      <c r="K6">
        <v>0.30213081591089108</v>
      </c>
      <c r="L6">
        <v>1.850360388174253</v>
      </c>
      <c r="M6">
        <v>1.251326786626443</v>
      </c>
      <c r="N6">
        <v>0.67396079257964125</v>
      </c>
      <c r="O6">
        <v>1.433218354692873</v>
      </c>
      <c r="P6">
        <v>0.54908218505661965</v>
      </c>
      <c r="Q6">
        <v>1.9052497423687671</v>
      </c>
      <c r="R6">
        <v>1.51637693590375</v>
      </c>
      <c r="S6">
        <v>9.113751274705443</v>
      </c>
      <c r="T6">
        <v>2.210259888524568E-2</v>
      </c>
      <c r="U6">
        <v>9.0916486758201973</v>
      </c>
      <c r="V6">
        <v>0.64753098934320419</v>
      </c>
      <c r="W6">
        <v>4.6286620780019438</v>
      </c>
      <c r="X6">
        <v>9.4936803620183419E-2</v>
      </c>
      <c r="Y6">
        <v>4.5337252743817604</v>
      </c>
      <c r="Z6">
        <v>-0.63700335350198867</v>
      </c>
      <c r="AA6">
        <v>-0.37777790420325358</v>
      </c>
      <c r="AB6">
        <v>-0.36105429762281449</v>
      </c>
      <c r="AC6">
        <v>-0.24320733419896781</v>
      </c>
      <c r="AD6">
        <v>1.9448239662325411</v>
      </c>
      <c r="AE6">
        <v>1.0427674779386451</v>
      </c>
      <c r="AF6">
        <v>1.8745482570913881</v>
      </c>
      <c r="AG6">
        <v>1.97462018077512</v>
      </c>
      <c r="AH6">
        <v>2.0454802348870249</v>
      </c>
      <c r="AI6">
        <v>2.2199222121208</v>
      </c>
      <c r="AJ6">
        <v>1.0395625882976569</v>
      </c>
      <c r="AK6">
        <v>1.767435979153795</v>
      </c>
      <c r="AL6">
        <v>0.94698179242787672</v>
      </c>
      <c r="AM6">
        <v>-0.67396079257964125</v>
      </c>
      <c r="AN6">
        <v>1.433218354692873</v>
      </c>
      <c r="AO6">
        <v>0.58504166417584857</v>
      </c>
      <c r="AP6">
        <v>0.51312270593739073</v>
      </c>
      <c r="AQ6">
        <v>1.9052497423687671</v>
      </c>
    </row>
    <row r="7" spans="1:43" x14ac:dyDescent="0.3">
      <c r="A7">
        <v>132</v>
      </c>
      <c r="B7">
        <v>2023</v>
      </c>
      <c r="C7" t="s">
        <v>26</v>
      </c>
      <c r="D7">
        <v>19.666666666666671</v>
      </c>
      <c r="E7">
        <v>18.36324978431578</v>
      </c>
      <c r="F7">
        <v>1.3034168823508949</v>
      </c>
      <c r="G7">
        <v>1.197255581743677</v>
      </c>
      <c r="H7">
        <v>1.7036777754906129</v>
      </c>
      <c r="I7">
        <v>-0.86918670295314626</v>
      </c>
      <c r="J7">
        <v>0.39506349192351298</v>
      </c>
      <c r="K7">
        <v>0.30213081591089108</v>
      </c>
      <c r="L7">
        <v>0.90804670755678585</v>
      </c>
      <c r="M7">
        <v>0.5776817971441327</v>
      </c>
      <c r="N7">
        <v>-1.43283388947705</v>
      </c>
      <c r="O7">
        <v>8.8848733860541054E-2</v>
      </c>
      <c r="P7">
        <v>-1.4323325472699091</v>
      </c>
      <c r="Q7">
        <v>1.9052497423687671</v>
      </c>
      <c r="R7">
        <v>1.197255581743677</v>
      </c>
      <c r="S7">
        <v>9.113751274705443</v>
      </c>
      <c r="T7">
        <v>2.210259888524568E-2</v>
      </c>
      <c r="U7">
        <v>9.0916486758201973</v>
      </c>
      <c r="V7">
        <v>1.7036777754906129</v>
      </c>
      <c r="W7">
        <v>4.6286620780019438</v>
      </c>
      <c r="X7">
        <v>9.4936803620183419E-2</v>
      </c>
      <c r="Y7">
        <v>4.5337252743817604</v>
      </c>
      <c r="Z7">
        <v>-0.86918670295314626</v>
      </c>
      <c r="AA7">
        <v>-0.39506349192351298</v>
      </c>
      <c r="AB7">
        <v>-0.36105429762281449</v>
      </c>
      <c r="AC7">
        <v>-0.24320733419896781</v>
      </c>
      <c r="AD7">
        <v>1.1297172386822769</v>
      </c>
      <c r="AE7">
        <v>-6.3544279907829918E-2</v>
      </c>
      <c r="AF7">
        <v>1.187039054470266</v>
      </c>
      <c r="AG7">
        <v>1.099673324824868</v>
      </c>
      <c r="AH7">
        <v>0.94623369655597156</v>
      </c>
      <c r="AI7">
        <v>1.1491612107151621</v>
      </c>
      <c r="AJ7">
        <v>-0.525839552502257</v>
      </c>
      <c r="AK7">
        <v>1.8141314930297161</v>
      </c>
      <c r="AL7">
        <v>0.44475345090493912</v>
      </c>
      <c r="AM7">
        <v>1.43283388947705</v>
      </c>
      <c r="AN7">
        <v>8.8848733860541054E-2</v>
      </c>
      <c r="AO7">
        <v>-1.4555681766392741</v>
      </c>
      <c r="AP7">
        <v>-1.409096917900545</v>
      </c>
      <c r="AQ7">
        <v>1.9052497423687671</v>
      </c>
    </row>
    <row r="8" spans="1:43" x14ac:dyDescent="0.3">
      <c r="A8">
        <v>134</v>
      </c>
      <c r="B8">
        <v>2023</v>
      </c>
      <c r="C8" t="s">
        <v>28</v>
      </c>
      <c r="D8">
        <v>22</v>
      </c>
      <c r="E8">
        <v>21.65121984176972</v>
      </c>
      <c r="F8">
        <v>0.34878015823028358</v>
      </c>
      <c r="G8">
        <v>1.3496460335697831</v>
      </c>
      <c r="H8">
        <v>1.9121006030774139</v>
      </c>
      <c r="I8">
        <v>-1.0209921760711751</v>
      </c>
      <c r="J8">
        <v>0.27776570681958962</v>
      </c>
      <c r="K8">
        <v>0.30213081591089108</v>
      </c>
      <c r="L8">
        <v>1.355090560626282</v>
      </c>
      <c r="M8">
        <v>0.75472233508233566</v>
      </c>
      <c r="N8">
        <v>-0.1203657022336678</v>
      </c>
      <c r="O8">
        <v>1.0582493238087769</v>
      </c>
      <c r="P8">
        <v>-1.5392033422781279</v>
      </c>
      <c r="Q8">
        <v>1.9052497423687671</v>
      </c>
      <c r="R8">
        <v>1.3496460335697831</v>
      </c>
      <c r="S8">
        <v>9.113751274705443</v>
      </c>
      <c r="T8">
        <v>2.210259888524568E-2</v>
      </c>
      <c r="U8">
        <v>9.0916486758201973</v>
      </c>
      <c r="V8">
        <v>1.9121006030774139</v>
      </c>
      <c r="W8">
        <v>4.6286620780019438</v>
      </c>
      <c r="X8">
        <v>9.4936803620183419E-2</v>
      </c>
      <c r="Y8">
        <v>4.5337252743817604</v>
      </c>
      <c r="Z8">
        <v>-1.0209921760711751</v>
      </c>
      <c r="AA8">
        <v>-0.27776570681958962</v>
      </c>
      <c r="AB8">
        <v>-0.36105429762281449</v>
      </c>
      <c r="AC8">
        <v>-0.24320733419896781</v>
      </c>
      <c r="AD8">
        <v>1.5850056655492919</v>
      </c>
      <c r="AE8">
        <v>0.56795999589067414</v>
      </c>
      <c r="AF8">
        <v>1.4255611459273669</v>
      </c>
      <c r="AG8">
        <v>1.378873404114878</v>
      </c>
      <c r="AH8">
        <v>1.5832603310904581</v>
      </c>
      <c r="AI8">
        <v>1.5898828211850209</v>
      </c>
      <c r="AJ8">
        <v>0.2882868418269271</v>
      </c>
      <c r="AK8">
        <v>1.3404112798220511</v>
      </c>
      <c r="AL8">
        <v>0.635468883598029</v>
      </c>
      <c r="AM8">
        <v>0.1203657022336678</v>
      </c>
      <c r="AN8">
        <v>1.0582493238087769</v>
      </c>
      <c r="AO8">
        <v>-1.570658074605263</v>
      </c>
      <c r="AP8">
        <v>-1.507748609950994</v>
      </c>
      <c r="AQ8">
        <v>1.9052497423687671</v>
      </c>
    </row>
    <row r="9" spans="1:43" x14ac:dyDescent="0.3">
      <c r="A9">
        <v>136</v>
      </c>
      <c r="B9">
        <v>2023</v>
      </c>
      <c r="C9" t="s">
        <v>30</v>
      </c>
      <c r="D9">
        <v>13.66666666666667</v>
      </c>
      <c r="E9">
        <v>16.7723616838861</v>
      </c>
      <c r="F9">
        <v>-3.1056950172194302</v>
      </c>
      <c r="G9">
        <v>1.0922305344243239</v>
      </c>
      <c r="H9">
        <v>1.5556688627810491</v>
      </c>
      <c r="I9">
        <v>-1.0692800257313819</v>
      </c>
      <c r="J9">
        <v>0.35066662368395057</v>
      </c>
      <c r="K9">
        <v>0.30213081591089108</v>
      </c>
      <c r="L9">
        <v>0.61277350460082347</v>
      </c>
      <c r="M9">
        <v>0.29316980891997491</v>
      </c>
      <c r="N9">
        <v>-2.1277827524500168</v>
      </c>
      <c r="O9">
        <v>0.42801221793044131</v>
      </c>
      <c r="P9">
        <v>-0.90843542194555016</v>
      </c>
      <c r="Q9">
        <v>1.9052497423687671</v>
      </c>
      <c r="R9">
        <v>1.0922305344243239</v>
      </c>
      <c r="S9">
        <v>9.113751274705443</v>
      </c>
      <c r="T9">
        <v>2.210259888524568E-2</v>
      </c>
      <c r="U9">
        <v>9.0916486758201973</v>
      </c>
      <c r="V9">
        <v>1.5556688627810491</v>
      </c>
      <c r="W9">
        <v>4.6286620780019438</v>
      </c>
      <c r="X9">
        <v>9.4936803620183419E-2</v>
      </c>
      <c r="Y9">
        <v>4.5337252743817604</v>
      </c>
      <c r="Z9">
        <v>-1.0692800257313819</v>
      </c>
      <c r="AA9">
        <v>-0.35066662368395057</v>
      </c>
      <c r="AB9">
        <v>-0.36105429762281449</v>
      </c>
      <c r="AC9">
        <v>-0.24320733419896781</v>
      </c>
      <c r="AD9">
        <v>1.0339906894334649</v>
      </c>
      <c r="AE9">
        <v>0.52911491150095114</v>
      </c>
      <c r="AF9">
        <v>0.61988725920446563</v>
      </c>
      <c r="AG9">
        <v>0.47879793978266139</v>
      </c>
      <c r="AH9">
        <v>0.57534206844407787</v>
      </c>
      <c r="AI9">
        <v>0.43950815923931952</v>
      </c>
      <c r="AJ9">
        <v>-0.57247633705751322</v>
      </c>
      <c r="AK9">
        <v>1.4281097449282421</v>
      </c>
      <c r="AL9">
        <v>2.3876018889195941E-2</v>
      </c>
      <c r="AM9">
        <v>2.1277827524500168</v>
      </c>
      <c r="AN9">
        <v>0.42801221793044131</v>
      </c>
      <c r="AO9">
        <v>-0.95993978683270809</v>
      </c>
      <c r="AP9">
        <v>-0.85693105705839234</v>
      </c>
      <c r="AQ9">
        <v>1.9052497423687671</v>
      </c>
    </row>
    <row r="10" spans="1:43" x14ac:dyDescent="0.3">
      <c r="A10">
        <v>137</v>
      </c>
      <c r="B10">
        <v>2023</v>
      </c>
      <c r="C10" t="s">
        <v>33</v>
      </c>
      <c r="D10">
        <v>22</v>
      </c>
      <c r="E10">
        <v>20.774039063205869</v>
      </c>
      <c r="F10">
        <v>1.2259609367941271</v>
      </c>
      <c r="G10">
        <v>2.0327942670787209</v>
      </c>
      <c r="H10">
        <v>-0.1439772881900038</v>
      </c>
      <c r="I10">
        <v>-0.5307351563293452</v>
      </c>
      <c r="J10">
        <v>0.35246005110746542</v>
      </c>
      <c r="K10">
        <v>0.30213081591089108</v>
      </c>
      <c r="L10">
        <v>1.730863239142882</v>
      </c>
      <c r="M10">
        <v>0.9102974724588857</v>
      </c>
      <c r="N10">
        <v>0.92703064117725686</v>
      </c>
      <c r="O10">
        <v>0.70045247283412526</v>
      </c>
      <c r="P10">
        <v>-1.497993261284279</v>
      </c>
      <c r="Q10">
        <v>1.9052497423687671</v>
      </c>
      <c r="R10">
        <v>2.0327942670787209</v>
      </c>
      <c r="S10">
        <v>9.113751274705443</v>
      </c>
      <c r="T10">
        <v>2.210259888524568E-2</v>
      </c>
      <c r="U10">
        <v>9.0916486758201973</v>
      </c>
      <c r="V10">
        <v>-0.1439772881900038</v>
      </c>
      <c r="W10">
        <v>4.6286620780019438</v>
      </c>
      <c r="X10">
        <v>9.4936803620183419E-2</v>
      </c>
      <c r="Y10">
        <v>4.5337252743817604</v>
      </c>
      <c r="Z10">
        <v>-0.5307351563293452</v>
      </c>
      <c r="AA10">
        <v>-0.35246005110746542</v>
      </c>
      <c r="AB10">
        <v>-0.36105429762281449</v>
      </c>
      <c r="AC10">
        <v>-0.24320733419896781</v>
      </c>
      <c r="AD10">
        <v>1.6681751227446751</v>
      </c>
      <c r="AE10">
        <v>1.181225216390549</v>
      </c>
      <c r="AF10">
        <v>2.0903329349250921</v>
      </c>
      <c r="AG10">
        <v>1.798829765095721</v>
      </c>
      <c r="AH10">
        <v>1.7375079051293141</v>
      </c>
      <c r="AI10">
        <v>1.90910849057194</v>
      </c>
      <c r="AJ10">
        <v>0.50984289354805601</v>
      </c>
      <c r="AK10">
        <v>1.3350487208080319</v>
      </c>
      <c r="AL10">
        <v>0.88600080302056916</v>
      </c>
      <c r="AM10">
        <v>-0.92703064117725686</v>
      </c>
      <c r="AN10">
        <v>0.70045247283412526</v>
      </c>
      <c r="AO10">
        <v>-2.3390407493989041</v>
      </c>
      <c r="AP10">
        <v>-0.65694577316965352</v>
      </c>
      <c r="AQ10">
        <v>1.9052497423687671</v>
      </c>
    </row>
    <row r="11" spans="1:43" x14ac:dyDescent="0.3">
      <c r="A11">
        <v>138</v>
      </c>
      <c r="B11">
        <v>2023</v>
      </c>
      <c r="C11" t="s">
        <v>36</v>
      </c>
      <c r="D11">
        <v>22</v>
      </c>
      <c r="E11">
        <v>21.407860907143089</v>
      </c>
      <c r="F11">
        <v>0.59213909285691102</v>
      </c>
      <c r="G11">
        <v>1.4651433313055731</v>
      </c>
      <c r="H11">
        <v>1.1862090619174781</v>
      </c>
      <c r="I11">
        <v>-0.64198058212880926</v>
      </c>
      <c r="J11">
        <v>0.26219723046227011</v>
      </c>
      <c r="K11">
        <v>0.30213081591089108</v>
      </c>
      <c r="L11">
        <v>1.5334097923167149</v>
      </c>
      <c r="M11">
        <v>0.71436764703151068</v>
      </c>
      <c r="N11">
        <v>0.33696032452726682</v>
      </c>
      <c r="O11">
        <v>1.2336564175374061</v>
      </c>
      <c r="P11">
        <v>-2.0231126717648782</v>
      </c>
      <c r="Q11">
        <v>1.9052497423687671</v>
      </c>
      <c r="R11">
        <v>1.4651433313055731</v>
      </c>
      <c r="S11">
        <v>9.113751274705443</v>
      </c>
      <c r="T11">
        <v>2.210259888524568E-2</v>
      </c>
      <c r="U11">
        <v>9.0916486758201973</v>
      </c>
      <c r="V11">
        <v>1.1862090619174781</v>
      </c>
      <c r="W11">
        <v>4.6286620780019438</v>
      </c>
      <c r="X11">
        <v>9.4936803620183419E-2</v>
      </c>
      <c r="Y11">
        <v>4.5337252743817604</v>
      </c>
      <c r="Z11">
        <v>-0.64198058212880926</v>
      </c>
      <c r="AA11">
        <v>-0.26219723046227011</v>
      </c>
      <c r="AB11">
        <v>-0.36105429762281449</v>
      </c>
      <c r="AC11">
        <v>-0.24320733419896781</v>
      </c>
      <c r="AD11">
        <v>1.703587693608597</v>
      </c>
      <c r="AE11">
        <v>0.69120628761631553</v>
      </c>
      <c r="AF11">
        <v>1.641467578503224</v>
      </c>
      <c r="AG11">
        <v>1.660884307818294</v>
      </c>
      <c r="AH11">
        <v>1.725462602226874</v>
      </c>
      <c r="AI11">
        <v>1.7778502841269861</v>
      </c>
      <c r="AJ11">
        <v>0.28931430457102458</v>
      </c>
      <c r="AK11">
        <v>1.1735119431241909</v>
      </c>
      <c r="AL11">
        <v>0.68027669339931629</v>
      </c>
      <c r="AM11">
        <v>-0.33696032452726682</v>
      </c>
      <c r="AN11">
        <v>1.2336564175374061</v>
      </c>
      <c r="AO11">
        <v>-1.8279032141552469</v>
      </c>
      <c r="AP11">
        <v>-2.218322129374509</v>
      </c>
      <c r="AQ11">
        <v>1.9052497423687671</v>
      </c>
    </row>
    <row r="12" spans="1:43" x14ac:dyDescent="0.3">
      <c r="A12">
        <v>142</v>
      </c>
      <c r="B12">
        <v>2023</v>
      </c>
      <c r="C12" t="s">
        <v>38</v>
      </c>
      <c r="D12">
        <v>22</v>
      </c>
      <c r="E12">
        <v>23.77567782882435</v>
      </c>
      <c r="F12">
        <v>-1.77567782882435</v>
      </c>
      <c r="G12">
        <v>1.704068107576018</v>
      </c>
      <c r="H12">
        <v>0.73985481639658812</v>
      </c>
      <c r="I12">
        <v>-0.71733756993488262</v>
      </c>
      <c r="J12">
        <v>0.27522819780546781</v>
      </c>
      <c r="K12">
        <v>0.30213081591089108</v>
      </c>
      <c r="L12">
        <v>1.7129825869944599</v>
      </c>
      <c r="M12">
        <v>2.448877680446643</v>
      </c>
      <c r="N12">
        <v>0.3867185964383798</v>
      </c>
      <c r="O12">
        <v>2.4058128666573988</v>
      </c>
      <c r="P12">
        <v>0.39492915786617921</v>
      </c>
      <c r="Q12">
        <v>1.9052497423687671</v>
      </c>
      <c r="R12">
        <v>1.704068107576018</v>
      </c>
      <c r="S12">
        <v>9.113751274705443</v>
      </c>
      <c r="T12">
        <v>2.210259888524568E-2</v>
      </c>
      <c r="U12">
        <v>9.0916486758201973</v>
      </c>
      <c r="V12">
        <v>0.73985481639658812</v>
      </c>
      <c r="W12">
        <v>4.6286620780019438</v>
      </c>
      <c r="X12">
        <v>9.4936803620183419E-2</v>
      </c>
      <c r="Y12">
        <v>4.5337252743817604</v>
      </c>
      <c r="Z12">
        <v>-0.71733756993488262</v>
      </c>
      <c r="AA12">
        <v>-0.27522819780546781</v>
      </c>
      <c r="AB12">
        <v>-0.36105429762281449</v>
      </c>
      <c r="AC12">
        <v>-0.24320733419896781</v>
      </c>
      <c r="AD12">
        <v>1.957733503605162</v>
      </c>
      <c r="AE12">
        <v>1.0856028445326471</v>
      </c>
      <c r="AF12">
        <v>1.6823054844951231</v>
      </c>
      <c r="AG12">
        <v>1.564911593046445</v>
      </c>
      <c r="AH12">
        <v>2.0148818884680382</v>
      </c>
      <c r="AI12">
        <v>1.9724602078193461</v>
      </c>
      <c r="AJ12">
        <v>3.4528470335803991</v>
      </c>
      <c r="AK12">
        <v>2.7287365580976668</v>
      </c>
      <c r="AL12">
        <v>1.165049449661862</v>
      </c>
      <c r="AM12">
        <v>-0.3867185964383798</v>
      </c>
      <c r="AN12">
        <v>2.4058128666573988</v>
      </c>
      <c r="AO12">
        <v>0.25557259201075982</v>
      </c>
      <c r="AP12">
        <v>0.53428572372159855</v>
      </c>
      <c r="AQ12">
        <v>1.9052497423687671</v>
      </c>
    </row>
    <row r="13" spans="1:43" x14ac:dyDescent="0.3">
      <c r="A13">
        <v>144</v>
      </c>
      <c r="B13">
        <v>2023</v>
      </c>
      <c r="C13" t="s">
        <v>40</v>
      </c>
      <c r="D13">
        <v>22</v>
      </c>
      <c r="E13">
        <v>21.81679771068238</v>
      </c>
      <c r="F13">
        <v>0.1832022893176202</v>
      </c>
      <c r="G13">
        <v>1.3507389350468391</v>
      </c>
      <c r="H13">
        <v>0.83452117279066684</v>
      </c>
      <c r="I13">
        <v>-0.64918446566762855</v>
      </c>
      <c r="J13">
        <v>0.23674582426047541</v>
      </c>
      <c r="K13">
        <v>0.30213081591089108</v>
      </c>
      <c r="L13">
        <v>1.5655746104228021</v>
      </c>
      <c r="M13">
        <v>0.96748482262671953</v>
      </c>
      <c r="N13">
        <v>0.72888659021686664</v>
      </c>
      <c r="O13">
        <v>0.8456272197041077</v>
      </c>
      <c r="P13">
        <v>-0.20557424845921871</v>
      </c>
      <c r="Q13">
        <v>1.9052497423687671</v>
      </c>
      <c r="R13">
        <v>1.3507389350468391</v>
      </c>
      <c r="S13">
        <v>9.113751274705443</v>
      </c>
      <c r="T13">
        <v>2.210259888524568E-2</v>
      </c>
      <c r="U13">
        <v>9.0916486758201973</v>
      </c>
      <c r="V13">
        <v>0.83452117279066684</v>
      </c>
      <c r="W13">
        <v>4.6286620780019438</v>
      </c>
      <c r="X13">
        <v>9.4936803620183419E-2</v>
      </c>
      <c r="Y13">
        <v>4.5337252743817604</v>
      </c>
      <c r="Z13">
        <v>-0.64918446566762855</v>
      </c>
      <c r="AA13">
        <v>-0.23674582426047541</v>
      </c>
      <c r="AB13">
        <v>-0.36105429762281449</v>
      </c>
      <c r="AC13">
        <v>-0.24320733419896781</v>
      </c>
      <c r="AD13">
        <v>1.736536420724113</v>
      </c>
      <c r="AE13">
        <v>0.89621124755827453</v>
      </c>
      <c r="AF13">
        <v>1.5753490640401491</v>
      </c>
      <c r="AG13">
        <v>1.6079226409091749</v>
      </c>
      <c r="AH13">
        <v>1.700936494151313</v>
      </c>
      <c r="AI13">
        <v>1.8764917951537881</v>
      </c>
      <c r="AJ13">
        <v>0.61025858173339298</v>
      </c>
      <c r="AK13">
        <v>1.5569761630805179</v>
      </c>
      <c r="AL13">
        <v>0.73521972306624728</v>
      </c>
      <c r="AM13">
        <v>-0.72888659021686664</v>
      </c>
      <c r="AN13">
        <v>0.8456272197041077</v>
      </c>
      <c r="AO13">
        <v>-0.17996417241667889</v>
      </c>
      <c r="AP13">
        <v>-0.23118432450175849</v>
      </c>
      <c r="AQ13">
        <v>1.9052497423687671</v>
      </c>
    </row>
    <row r="14" spans="1:43" x14ac:dyDescent="0.3">
      <c r="A14">
        <v>146</v>
      </c>
      <c r="B14">
        <v>2023</v>
      </c>
      <c r="C14" t="s">
        <v>42</v>
      </c>
      <c r="D14">
        <v>22</v>
      </c>
      <c r="E14">
        <v>23.237049230026049</v>
      </c>
      <c r="F14">
        <v>-1.237049230026052</v>
      </c>
      <c r="G14">
        <v>1.819097399398385</v>
      </c>
      <c r="H14">
        <v>1.0617376146506241</v>
      </c>
      <c r="I14">
        <v>-0.67520576620784856</v>
      </c>
      <c r="J14">
        <v>0.63696632493142502</v>
      </c>
      <c r="K14">
        <v>0.30213081591089108</v>
      </c>
      <c r="L14">
        <v>1.7179179651262979</v>
      </c>
      <c r="M14">
        <v>0.54713342685590505</v>
      </c>
      <c r="N14">
        <v>0.53807709189999042</v>
      </c>
      <c r="O14">
        <v>1.079507654961734</v>
      </c>
      <c r="P14">
        <v>1.427789498401042</v>
      </c>
      <c r="Q14">
        <v>1.9052497423687671</v>
      </c>
      <c r="R14">
        <v>1.819097399398385</v>
      </c>
      <c r="S14">
        <v>9.113751274705443</v>
      </c>
      <c r="T14">
        <v>2.210259888524568E-2</v>
      </c>
      <c r="U14">
        <v>9.0916486758201973</v>
      </c>
      <c r="V14">
        <v>1.0617376146506241</v>
      </c>
      <c r="W14">
        <v>4.6286620780019438</v>
      </c>
      <c r="X14">
        <v>9.4936803620183419E-2</v>
      </c>
      <c r="Y14">
        <v>4.5337252743817604</v>
      </c>
      <c r="Z14">
        <v>-0.67520576620784856</v>
      </c>
      <c r="AA14">
        <v>-0.63696632493142502</v>
      </c>
      <c r="AB14">
        <v>-0.36105429762281449</v>
      </c>
      <c r="AC14">
        <v>-0.24320733419896781</v>
      </c>
      <c r="AD14">
        <v>1.6215825062447231</v>
      </c>
      <c r="AE14">
        <v>1.1512824564119399</v>
      </c>
      <c r="AF14">
        <v>1.971239728677546</v>
      </c>
      <c r="AG14">
        <v>1.761880894279263</v>
      </c>
      <c r="AH14">
        <v>1.8058903854335211</v>
      </c>
      <c r="AI14">
        <v>1.9956318197107941</v>
      </c>
      <c r="AJ14">
        <v>0.66656855212332355</v>
      </c>
      <c r="AK14">
        <v>0.23341409751267159</v>
      </c>
      <c r="AL14">
        <v>0.7414176309317202</v>
      </c>
      <c r="AM14">
        <v>-0.53807709189999042</v>
      </c>
      <c r="AN14">
        <v>1.079507654961734</v>
      </c>
      <c r="AO14">
        <v>1.382455337637799</v>
      </c>
      <c r="AP14">
        <v>1.473123659164284</v>
      </c>
      <c r="AQ14">
        <v>1.9052497423687671</v>
      </c>
    </row>
    <row r="15" spans="1:43" x14ac:dyDescent="0.3">
      <c r="A15">
        <v>156</v>
      </c>
      <c r="B15">
        <v>2023</v>
      </c>
      <c r="C15" t="s">
        <v>43</v>
      </c>
      <c r="D15">
        <v>21.666666666666671</v>
      </c>
      <c r="E15">
        <v>19.884114301266319</v>
      </c>
      <c r="F15">
        <v>1.7825523654003561</v>
      </c>
      <c r="G15">
        <v>1.34383240059333</v>
      </c>
      <c r="H15">
        <v>1.52490951803153</v>
      </c>
      <c r="I15">
        <v>-0.67040317718196907</v>
      </c>
      <c r="J15">
        <v>0.37327525662932298</v>
      </c>
      <c r="K15">
        <v>0.30213081591089108</v>
      </c>
      <c r="L15">
        <v>1.3792743874782749</v>
      </c>
      <c r="M15">
        <v>0.6490719829235847</v>
      </c>
      <c r="N15">
        <v>-1.3797139476043261</v>
      </c>
      <c r="O15">
        <v>2.628924108803057E-2</v>
      </c>
      <c r="P15">
        <v>-0.49878331841113233</v>
      </c>
      <c r="Q15">
        <v>1.9052497423687671</v>
      </c>
      <c r="R15">
        <v>1.34383240059333</v>
      </c>
      <c r="S15">
        <v>9.113751274705443</v>
      </c>
      <c r="T15">
        <v>2.210259888524568E-2</v>
      </c>
      <c r="U15">
        <v>9.0916486758201973</v>
      </c>
      <c r="V15">
        <v>1.52490951803153</v>
      </c>
      <c r="W15">
        <v>4.6286620780019438</v>
      </c>
      <c r="X15">
        <v>9.4936803620183419E-2</v>
      </c>
      <c r="Y15">
        <v>4.5337252743817604</v>
      </c>
      <c r="Z15">
        <v>-0.67040317718196907</v>
      </c>
      <c r="AA15">
        <v>-0.37327525662932298</v>
      </c>
      <c r="AB15">
        <v>-0.36105429762281449</v>
      </c>
      <c r="AC15">
        <v>-0.24320733419896781</v>
      </c>
      <c r="AD15">
        <v>1.497487927867907</v>
      </c>
      <c r="AE15">
        <v>0.7132755806279174</v>
      </c>
      <c r="AF15">
        <v>1.634798377159677</v>
      </c>
      <c r="AG15">
        <v>1.4924845912958229</v>
      </c>
      <c r="AH15">
        <v>1.422213962939763</v>
      </c>
      <c r="AI15">
        <v>1.5153858849785591</v>
      </c>
      <c r="AJ15">
        <v>0.16844960177145391</v>
      </c>
      <c r="AK15">
        <v>1.0529781166706209</v>
      </c>
      <c r="AL15">
        <v>0.7257882303286789</v>
      </c>
      <c r="AM15">
        <v>1.3797139476043261</v>
      </c>
      <c r="AN15">
        <v>2.628924108803057E-2</v>
      </c>
      <c r="AO15">
        <v>-0.53900932807161983</v>
      </c>
      <c r="AP15">
        <v>-0.45855730875064482</v>
      </c>
      <c r="AQ15">
        <v>1.9052497423687671</v>
      </c>
    </row>
    <row r="16" spans="1:43" x14ac:dyDescent="0.3">
      <c r="A16">
        <v>158</v>
      </c>
      <c r="B16">
        <v>2023</v>
      </c>
      <c r="C16" t="s">
        <v>46</v>
      </c>
      <c r="D16">
        <v>17.666666666666671</v>
      </c>
      <c r="E16">
        <v>18.491494170381301</v>
      </c>
      <c r="F16">
        <v>-0.82482750371463354</v>
      </c>
      <c r="G16">
        <v>0.98130124475439762</v>
      </c>
      <c r="H16">
        <v>1.869341722101503</v>
      </c>
      <c r="I16">
        <v>-1.2358862050291659</v>
      </c>
      <c r="J16">
        <v>0.59796881797755075</v>
      </c>
      <c r="K16">
        <v>0.30213081591089108</v>
      </c>
      <c r="L16">
        <v>1.414623641462778</v>
      </c>
      <c r="M16">
        <v>0.27962469760428887</v>
      </c>
      <c r="N16">
        <v>-4.0756560151033927</v>
      </c>
      <c r="O16">
        <v>0.63166030632942172</v>
      </c>
      <c r="P16">
        <v>0.84113045130373076</v>
      </c>
      <c r="Q16">
        <v>1.9052497423687671</v>
      </c>
      <c r="R16">
        <v>0.98130124475439762</v>
      </c>
      <c r="S16">
        <v>9.113751274705443</v>
      </c>
      <c r="T16">
        <v>2.210259888524568E-2</v>
      </c>
      <c r="U16">
        <v>9.0916486758201973</v>
      </c>
      <c r="V16">
        <v>1.869341722101503</v>
      </c>
      <c r="W16">
        <v>4.6286620780019438</v>
      </c>
      <c r="X16">
        <v>9.4936803620183419E-2</v>
      </c>
      <c r="Y16">
        <v>4.5337252743817604</v>
      </c>
      <c r="Z16">
        <v>-1.2358862050291659</v>
      </c>
      <c r="AA16">
        <v>-0.59796881797755075</v>
      </c>
      <c r="AB16">
        <v>-0.36105429762281449</v>
      </c>
      <c r="AC16">
        <v>-0.24320733419896781</v>
      </c>
      <c r="AD16">
        <v>1.080216675508499</v>
      </c>
      <c r="AE16">
        <v>1.484191845115959</v>
      </c>
      <c r="AF16">
        <v>1.9114444955429291</v>
      </c>
      <c r="AG16">
        <v>1.2906347923875681</v>
      </c>
      <c r="AH16">
        <v>1.5001721033193569</v>
      </c>
      <c r="AI16">
        <v>1.221081936902354</v>
      </c>
      <c r="AJ16">
        <v>-0.49975202282895109</v>
      </c>
      <c r="AK16">
        <v>0.61935334470623793</v>
      </c>
      <c r="AL16">
        <v>0.71927277093558006</v>
      </c>
      <c r="AM16">
        <v>4.0756560151033927</v>
      </c>
      <c r="AN16">
        <v>0.63166030632942172</v>
      </c>
      <c r="AO16">
        <v>0.67419260485165833</v>
      </c>
      <c r="AP16">
        <v>1.0080682977558031</v>
      </c>
      <c r="AQ16">
        <v>1.9052497423687671</v>
      </c>
    </row>
    <row r="17" spans="1:43" x14ac:dyDescent="0.3">
      <c r="A17">
        <v>172</v>
      </c>
      <c r="B17">
        <v>2023</v>
      </c>
      <c r="C17" t="s">
        <v>48</v>
      </c>
      <c r="D17">
        <v>21</v>
      </c>
      <c r="E17">
        <v>20.023319940298329</v>
      </c>
      <c r="F17">
        <v>0.97668005970167115</v>
      </c>
      <c r="G17">
        <v>1.3249461062895489</v>
      </c>
      <c r="H17">
        <v>0.48280936871389052</v>
      </c>
      <c r="I17">
        <v>-0.95628820392250702</v>
      </c>
      <c r="J17">
        <v>0.37296999238702261</v>
      </c>
      <c r="K17">
        <v>0.30213081591089108</v>
      </c>
      <c r="L17">
        <v>1.733760792576964</v>
      </c>
      <c r="M17">
        <v>0.93623456953061268</v>
      </c>
      <c r="N17">
        <v>-0.54099118338065477</v>
      </c>
      <c r="O17">
        <v>7.4611858800075134E-2</v>
      </c>
      <c r="P17">
        <v>-0.77106942219565355</v>
      </c>
      <c r="Q17">
        <v>1.9052497423687671</v>
      </c>
      <c r="R17">
        <v>1.3249461062895489</v>
      </c>
      <c r="S17">
        <v>9.113751274705443</v>
      </c>
      <c r="T17">
        <v>2.210259888524568E-2</v>
      </c>
      <c r="U17">
        <v>9.0916486758201973</v>
      </c>
      <c r="V17">
        <v>0.48280936871389052</v>
      </c>
      <c r="W17">
        <v>4.6286620780019438</v>
      </c>
      <c r="X17">
        <v>9.4936803620183419E-2</v>
      </c>
      <c r="Y17">
        <v>4.5337252743817604</v>
      </c>
      <c r="Z17">
        <v>-0.95628820392250702</v>
      </c>
      <c r="AA17">
        <v>-0.37296999238702261</v>
      </c>
      <c r="AB17">
        <v>-0.36105429762281449</v>
      </c>
      <c r="AC17">
        <v>-0.24320733419896781</v>
      </c>
      <c r="AD17">
        <v>1.8612114972737159</v>
      </c>
      <c r="AE17">
        <v>0.8794547096527916</v>
      </c>
      <c r="AF17">
        <v>1.68306559821249</v>
      </c>
      <c r="AG17">
        <v>1.8329377492055801</v>
      </c>
      <c r="AH17">
        <v>2.051629009520596</v>
      </c>
      <c r="AI17">
        <v>2.094266191596609</v>
      </c>
      <c r="AJ17">
        <v>6.9562577668798642E-2</v>
      </c>
      <c r="AK17">
        <v>1.941347893023833</v>
      </c>
      <c r="AL17">
        <v>0.79779323789920675</v>
      </c>
      <c r="AM17">
        <v>0.54099118338065477</v>
      </c>
      <c r="AN17">
        <v>7.4611858800075134E-2</v>
      </c>
      <c r="AO17">
        <v>-0.80921210231730967</v>
      </c>
      <c r="AP17">
        <v>-0.73292674207399744</v>
      </c>
      <c r="AQ17">
        <v>1.9052497423687671</v>
      </c>
    </row>
    <row r="18" spans="1:43" x14ac:dyDescent="0.3">
      <c r="A18">
        <v>174</v>
      </c>
      <c r="B18">
        <v>2023</v>
      </c>
      <c r="C18" t="s">
        <v>50</v>
      </c>
      <c r="D18">
        <v>12</v>
      </c>
      <c r="E18">
        <v>12.821850906403141</v>
      </c>
      <c r="F18">
        <v>-0.82185090640313518</v>
      </c>
      <c r="G18">
        <v>0.70149152293211292</v>
      </c>
      <c r="H18">
        <v>0.38257974950656809</v>
      </c>
      <c r="I18">
        <v>-0.64442553654198431</v>
      </c>
      <c r="J18">
        <v>0.4515373767490844</v>
      </c>
      <c r="K18">
        <v>0.30213081591089108</v>
      </c>
      <c r="L18">
        <v>0.31372086452279779</v>
      </c>
      <c r="M18">
        <v>0.54043101539896776</v>
      </c>
      <c r="N18">
        <v>-2.9757570546672119</v>
      </c>
      <c r="O18">
        <v>-0.52817303476820698</v>
      </c>
      <c r="P18">
        <v>-1.157202495262313</v>
      </c>
      <c r="Q18">
        <v>1.9052497423687671</v>
      </c>
      <c r="R18">
        <v>0.70149152293211292</v>
      </c>
      <c r="S18">
        <v>9.113751274705443</v>
      </c>
      <c r="T18">
        <v>2.210259888524568E-2</v>
      </c>
      <c r="U18">
        <v>9.0916486758201973</v>
      </c>
      <c r="V18">
        <v>0.38257974950656809</v>
      </c>
      <c r="W18">
        <v>4.6286620780019438</v>
      </c>
      <c r="X18">
        <v>9.4936803620183419E-2</v>
      </c>
      <c r="Y18">
        <v>4.5337252743817604</v>
      </c>
      <c r="Z18">
        <v>-0.64442553654198431</v>
      </c>
      <c r="AA18">
        <v>-0.4515373767490844</v>
      </c>
      <c r="AB18">
        <v>-0.36105429762281449</v>
      </c>
      <c r="AC18">
        <v>-0.24320733419896781</v>
      </c>
      <c r="AD18">
        <v>0.75413928553746423</v>
      </c>
      <c r="AE18">
        <v>0.42269735820318599</v>
      </c>
      <c r="AF18">
        <v>-5.7726810353446317E-2</v>
      </c>
      <c r="AG18">
        <v>0.2693250370662667</v>
      </c>
      <c r="AH18">
        <v>0.30134646163088169</v>
      </c>
      <c r="AI18">
        <v>0.1925438550524346</v>
      </c>
      <c r="AJ18">
        <v>3.4541211095479051E-3</v>
      </c>
      <c r="AK18">
        <v>1.5469935532236521</v>
      </c>
      <c r="AL18">
        <v>7.0845371863703738E-2</v>
      </c>
      <c r="AM18">
        <v>2.9757570546672119</v>
      </c>
      <c r="AN18">
        <v>-0.52817303476820698</v>
      </c>
      <c r="AO18">
        <v>-1.090023085033206</v>
      </c>
      <c r="AP18">
        <v>-1.22438190549142</v>
      </c>
      <c r="AQ18">
        <v>1.9052497423687671</v>
      </c>
    </row>
    <row r="19" spans="1:43" x14ac:dyDescent="0.3">
      <c r="A19">
        <v>176</v>
      </c>
      <c r="B19">
        <v>2023</v>
      </c>
      <c r="C19" t="s">
        <v>52</v>
      </c>
      <c r="D19">
        <v>17</v>
      </c>
      <c r="E19">
        <v>16.96434321827876</v>
      </c>
      <c r="F19">
        <v>3.5656781721240087E-2</v>
      </c>
      <c r="G19">
        <v>1.6787835304617089</v>
      </c>
      <c r="H19">
        <v>-0.68206316209888163</v>
      </c>
      <c r="I19">
        <v>-0.38857852116331099</v>
      </c>
      <c r="J19">
        <v>5.8948482135644312E-2</v>
      </c>
      <c r="K19">
        <v>0.30213081591089108</v>
      </c>
      <c r="L19">
        <v>1.4566050139276681</v>
      </c>
      <c r="M19">
        <v>0.39214058729895362</v>
      </c>
      <c r="N19">
        <v>-9.7250748448047333E-2</v>
      </c>
      <c r="O19">
        <v>0.26865231943345508</v>
      </c>
      <c r="P19">
        <v>0.35271033049362582</v>
      </c>
      <c r="Q19">
        <v>-0.52486557418804092</v>
      </c>
      <c r="R19">
        <v>1.6787835304617089</v>
      </c>
      <c r="S19">
        <v>9.113751274705443</v>
      </c>
      <c r="T19">
        <v>2.210259888524568E-2</v>
      </c>
      <c r="U19">
        <v>9.0916486758201973</v>
      </c>
      <c r="V19">
        <v>-0.68206316209888163</v>
      </c>
      <c r="W19">
        <v>4.6286620780019438</v>
      </c>
      <c r="X19">
        <v>9.4936803620183419E-2</v>
      </c>
      <c r="Y19">
        <v>4.5337252743817604</v>
      </c>
      <c r="Z19">
        <v>-0.38857852116331099</v>
      </c>
      <c r="AA19">
        <v>-5.8948482135644312E-2</v>
      </c>
      <c r="AB19">
        <v>-0.36105429762281449</v>
      </c>
      <c r="AC19">
        <v>-0.24320733419896781</v>
      </c>
      <c r="AD19">
        <v>1.386535304365222</v>
      </c>
      <c r="AE19">
        <v>1.41006717880071</v>
      </c>
      <c r="AF19">
        <v>1.515326251948236</v>
      </c>
      <c r="AG19">
        <v>1.287249315677385</v>
      </c>
      <c r="AH19">
        <v>1.58833220778242</v>
      </c>
      <c r="AI19">
        <v>1.5521198249920349</v>
      </c>
      <c r="AJ19">
        <v>-2.7770722284245639E-2</v>
      </c>
      <c r="AK19">
        <v>1.0985186178358299</v>
      </c>
      <c r="AL19">
        <v>0.10567386634527599</v>
      </c>
      <c r="AM19">
        <v>9.7250748448047333E-2</v>
      </c>
      <c r="AN19">
        <v>0.26865231943345508</v>
      </c>
      <c r="AO19">
        <v>0.32129921998858529</v>
      </c>
      <c r="AP19">
        <v>0.38412144099866641</v>
      </c>
      <c r="AQ19">
        <v>-0.52486557418804092</v>
      </c>
    </row>
    <row r="20" spans="1:43" x14ac:dyDescent="0.3">
      <c r="A20">
        <v>178</v>
      </c>
      <c r="B20">
        <v>2023</v>
      </c>
      <c r="C20" t="s">
        <v>53</v>
      </c>
      <c r="D20">
        <v>19.333333333333329</v>
      </c>
      <c r="E20">
        <v>21.00233728758662</v>
      </c>
      <c r="F20">
        <v>-1.669003954253292</v>
      </c>
      <c r="G20">
        <v>1.85564443861767</v>
      </c>
      <c r="H20">
        <v>0.82409228352565944</v>
      </c>
      <c r="I20">
        <v>1.164316810404717</v>
      </c>
      <c r="J20">
        <v>0.37157722428152701</v>
      </c>
      <c r="K20">
        <v>0.30213081591089108</v>
      </c>
      <c r="L20">
        <v>1.4999374469830291</v>
      </c>
      <c r="M20">
        <v>0.27855492939186882</v>
      </c>
      <c r="N20">
        <v>0.44411702735315373</v>
      </c>
      <c r="O20">
        <v>0.69189224459613397</v>
      </c>
      <c r="P20">
        <v>-1.4558740800372949</v>
      </c>
      <c r="Q20">
        <v>1.9052497423687671</v>
      </c>
      <c r="R20">
        <v>1.85564443861767</v>
      </c>
      <c r="S20">
        <v>9.113751274705443</v>
      </c>
      <c r="T20">
        <v>2.210259888524568E-2</v>
      </c>
      <c r="U20">
        <v>9.0916486758201973</v>
      </c>
      <c r="V20">
        <v>0.82409228352565944</v>
      </c>
      <c r="W20">
        <v>4.6286620780019438</v>
      </c>
      <c r="X20">
        <v>9.4936803620183419E-2</v>
      </c>
      <c r="Y20">
        <v>4.5337252743817604</v>
      </c>
      <c r="Z20">
        <v>1.164316810404717</v>
      </c>
      <c r="AA20">
        <v>-0.37157722428152701</v>
      </c>
      <c r="AB20">
        <v>-0.36105429762281449</v>
      </c>
      <c r="AC20">
        <v>-0.24320733419896781</v>
      </c>
      <c r="AD20">
        <v>1.6235564182645921</v>
      </c>
      <c r="AE20">
        <v>1.0139522494514139</v>
      </c>
      <c r="AF20">
        <v>1.538798745603698</v>
      </c>
      <c r="AG20">
        <v>1.752467927784183</v>
      </c>
      <c r="AH20">
        <v>1.5967123925652711</v>
      </c>
      <c r="AI20">
        <v>1.4741369482290161</v>
      </c>
      <c r="AJ20">
        <v>0.72175081950143982</v>
      </c>
      <c r="AK20">
        <v>-0.47658871594347069</v>
      </c>
      <c r="AL20">
        <v>0.59050268461763733</v>
      </c>
      <c r="AM20">
        <v>-0.44411702735315373</v>
      </c>
      <c r="AN20">
        <v>0.69189224459613397</v>
      </c>
      <c r="AO20">
        <v>-1.486828741010783</v>
      </c>
      <c r="AP20">
        <v>-1.424919419063807</v>
      </c>
      <c r="AQ20">
        <v>1.9052497423687671</v>
      </c>
    </row>
    <row r="21" spans="1:43" x14ac:dyDescent="0.3">
      <c r="A21">
        <v>181</v>
      </c>
      <c r="B21">
        <v>2023</v>
      </c>
      <c r="C21" t="s">
        <v>54</v>
      </c>
      <c r="D21">
        <v>17</v>
      </c>
      <c r="E21">
        <v>15.35495016136294</v>
      </c>
      <c r="F21">
        <v>1.6450498386370549</v>
      </c>
      <c r="G21">
        <v>1.142206533974085</v>
      </c>
      <c r="H21">
        <v>-0.85791570828180741</v>
      </c>
      <c r="I21">
        <v>0.48038447321923722</v>
      </c>
      <c r="J21">
        <v>0.38796609829002893</v>
      </c>
      <c r="K21">
        <v>0.30213081591089108</v>
      </c>
      <c r="L21">
        <v>0.61684923116606727</v>
      </c>
      <c r="M21">
        <v>9.5158159063004247E-2</v>
      </c>
      <c r="N21">
        <v>0.31203951497714483</v>
      </c>
      <c r="O21">
        <v>0.21647630592847791</v>
      </c>
      <c r="P21">
        <v>-0.34184294464026649</v>
      </c>
      <c r="Q21">
        <v>1.9052497423687671</v>
      </c>
      <c r="R21">
        <v>1.142206533974085</v>
      </c>
      <c r="S21">
        <v>9.113751274705443</v>
      </c>
      <c r="T21">
        <v>2.210259888524568E-2</v>
      </c>
      <c r="U21">
        <v>9.0916486758201973</v>
      </c>
      <c r="V21">
        <v>-0.85791570828180741</v>
      </c>
      <c r="W21">
        <v>4.6286620780019438</v>
      </c>
      <c r="X21">
        <v>9.4936803620183419E-2</v>
      </c>
      <c r="Y21">
        <v>4.5337252743817604</v>
      </c>
      <c r="Z21">
        <v>0.48038447321923722</v>
      </c>
      <c r="AA21">
        <v>-0.38796609829002893</v>
      </c>
      <c r="AB21">
        <v>-0.36105429762281449</v>
      </c>
      <c r="AC21">
        <v>-0.24320733419896781</v>
      </c>
      <c r="AD21">
        <v>0.89748414354641548</v>
      </c>
      <c r="AE21">
        <v>1.088121439422139</v>
      </c>
      <c r="AF21">
        <v>0.51483339883248269</v>
      </c>
      <c r="AG21">
        <v>0.28558064398855282</v>
      </c>
      <c r="AH21">
        <v>0.73000250725934634</v>
      </c>
      <c r="AI21">
        <v>0.18507325394746729</v>
      </c>
      <c r="AJ21">
        <v>-0.32621105934418509</v>
      </c>
      <c r="AK21">
        <v>0.1653508484885815</v>
      </c>
      <c r="AL21">
        <v>0.44633468804461629</v>
      </c>
      <c r="AM21">
        <v>-0.31203951497714483</v>
      </c>
      <c r="AN21">
        <v>0.21647630592847791</v>
      </c>
      <c r="AO21">
        <v>-0.25120846373703559</v>
      </c>
      <c r="AP21">
        <v>-0.43247742554349738</v>
      </c>
      <c r="AQ21">
        <v>1.9052497423687671</v>
      </c>
    </row>
    <row r="22" spans="1:43" x14ac:dyDescent="0.3">
      <c r="A22">
        <v>182</v>
      </c>
      <c r="B22">
        <v>2023</v>
      </c>
      <c r="C22" t="s">
        <v>56</v>
      </c>
      <c r="D22">
        <v>14.66666666666667</v>
      </c>
      <c r="E22">
        <v>16.661875855076438</v>
      </c>
      <c r="F22">
        <v>-1.9952091884097689</v>
      </c>
      <c r="G22">
        <v>0.82184851953227289</v>
      </c>
      <c r="H22">
        <v>0.47325398593426288</v>
      </c>
      <c r="I22">
        <v>-0.56033656868885728</v>
      </c>
      <c r="J22">
        <v>0.4057477404040265</v>
      </c>
      <c r="K22">
        <v>0.30213081591089108</v>
      </c>
      <c r="L22">
        <v>0.86835878812333622</v>
      </c>
      <c r="M22">
        <v>0.62997960236857675</v>
      </c>
      <c r="N22">
        <v>-1.102501196555143</v>
      </c>
      <c r="O22">
        <v>0.23165713364962859</v>
      </c>
      <c r="P22">
        <v>-1.1039236613976899</v>
      </c>
      <c r="Q22">
        <v>1.9052497423687671</v>
      </c>
      <c r="R22">
        <v>0.82184851953227289</v>
      </c>
      <c r="S22">
        <v>9.113751274705443</v>
      </c>
      <c r="T22">
        <v>2.210259888524568E-2</v>
      </c>
      <c r="U22">
        <v>9.0916486758201973</v>
      </c>
      <c r="V22">
        <v>0.47325398593426288</v>
      </c>
      <c r="W22">
        <v>4.6286620780019438</v>
      </c>
      <c r="X22">
        <v>9.4936803620183419E-2</v>
      </c>
      <c r="Y22">
        <v>4.5337252743817604</v>
      </c>
      <c r="Z22">
        <v>-0.56033656868885728</v>
      </c>
      <c r="AA22">
        <v>-0.4057477404040265</v>
      </c>
      <c r="AB22">
        <v>-0.36105429762281449</v>
      </c>
      <c r="AC22">
        <v>-0.24320733419896781</v>
      </c>
      <c r="AD22">
        <v>1.278986015074794</v>
      </c>
      <c r="AE22">
        <v>0.90851782660024027</v>
      </c>
      <c r="AF22">
        <v>0.74790269847278257</v>
      </c>
      <c r="AG22">
        <v>0.57673395354832546</v>
      </c>
      <c r="AH22">
        <v>1.0408918398498841</v>
      </c>
      <c r="AI22">
        <v>0.65712039519399157</v>
      </c>
      <c r="AJ22">
        <v>0.36850411606732231</v>
      </c>
      <c r="AK22">
        <v>1.1647668468859449</v>
      </c>
      <c r="AL22">
        <v>0.35666784415246311</v>
      </c>
      <c r="AM22">
        <v>1.102501196555143</v>
      </c>
      <c r="AN22">
        <v>0.23165713364962859</v>
      </c>
      <c r="AO22">
        <v>-1.059748442598734</v>
      </c>
      <c r="AP22">
        <v>-1.1480988801966461</v>
      </c>
      <c r="AQ22">
        <v>1.9052497423687671</v>
      </c>
    </row>
    <row r="23" spans="1:43" x14ac:dyDescent="0.3">
      <c r="A23">
        <v>184</v>
      </c>
      <c r="B23">
        <v>2023</v>
      </c>
      <c r="C23" t="s">
        <v>57</v>
      </c>
      <c r="D23">
        <v>16</v>
      </c>
      <c r="E23">
        <v>17.50422376836989</v>
      </c>
      <c r="F23">
        <v>-1.504223768369886</v>
      </c>
      <c r="G23">
        <v>0.97078065189066365</v>
      </c>
      <c r="H23">
        <v>1.3715265731531721</v>
      </c>
      <c r="I23">
        <v>-0.7472009416958062</v>
      </c>
      <c r="J23">
        <v>0.39439572639348092</v>
      </c>
      <c r="K23">
        <v>0.30213081591089108</v>
      </c>
      <c r="L23">
        <v>0.6807565745449784</v>
      </c>
      <c r="M23">
        <v>0.30059358962691662</v>
      </c>
      <c r="N23">
        <v>-1.306451768358315</v>
      </c>
      <c r="O23">
        <v>0.40283583669272371</v>
      </c>
      <c r="P23">
        <v>-0.55239356478348434</v>
      </c>
      <c r="Q23">
        <v>1.9052497423687671</v>
      </c>
      <c r="R23">
        <v>0.97078065189066365</v>
      </c>
      <c r="S23">
        <v>9.113751274705443</v>
      </c>
      <c r="T23">
        <v>2.210259888524568E-2</v>
      </c>
      <c r="U23">
        <v>9.0916486758201973</v>
      </c>
      <c r="V23">
        <v>1.3715265731531721</v>
      </c>
      <c r="W23">
        <v>4.6286620780019438</v>
      </c>
      <c r="X23">
        <v>9.4936803620183419E-2</v>
      </c>
      <c r="Y23">
        <v>4.5337252743817604</v>
      </c>
      <c r="Z23">
        <v>-0.7472009416958062</v>
      </c>
      <c r="AA23">
        <v>-0.39439572639348092</v>
      </c>
      <c r="AB23">
        <v>-0.36105429762281449</v>
      </c>
      <c r="AC23">
        <v>-0.24320733419896781</v>
      </c>
      <c r="AD23">
        <v>1.1057193132798551</v>
      </c>
      <c r="AE23">
        <v>0.13767857600275149</v>
      </c>
      <c r="AF23">
        <v>0.87550849561796751</v>
      </c>
      <c r="AG23">
        <v>0.47763707276865092</v>
      </c>
      <c r="AH23">
        <v>0.87707399561522881</v>
      </c>
      <c r="AI23">
        <v>0.61092199398541736</v>
      </c>
      <c r="AJ23">
        <v>-0.48231021624622239</v>
      </c>
      <c r="AK23">
        <v>1.0348279169308641</v>
      </c>
      <c r="AL23">
        <v>0.34926306819610808</v>
      </c>
      <c r="AM23">
        <v>1.306451768358315</v>
      </c>
      <c r="AN23">
        <v>0.40283583669272371</v>
      </c>
      <c r="AO23">
        <v>-0.5680457594835584</v>
      </c>
      <c r="AP23">
        <v>-0.53674137008341027</v>
      </c>
      <c r="AQ23">
        <v>1.9052497423687671</v>
      </c>
    </row>
    <row r="24" spans="1:43" x14ac:dyDescent="0.3">
      <c r="A24">
        <v>186</v>
      </c>
      <c r="B24">
        <v>2023</v>
      </c>
      <c r="C24" t="s">
        <v>59</v>
      </c>
      <c r="D24">
        <v>7.6666666666666661</v>
      </c>
      <c r="E24">
        <v>10.862140307989369</v>
      </c>
      <c r="F24">
        <v>-3.195473641322701</v>
      </c>
      <c r="G24">
        <v>0.28400141410040669</v>
      </c>
      <c r="H24">
        <v>1.194185970777121</v>
      </c>
      <c r="I24">
        <v>0.3105038014038074</v>
      </c>
      <c r="J24">
        <v>-6.7361953934406573</v>
      </c>
      <c r="K24">
        <v>0.30213081591089108</v>
      </c>
      <c r="L24">
        <v>-0.84427835039826482</v>
      </c>
      <c r="M24">
        <v>-0.1202748827503049</v>
      </c>
      <c r="N24">
        <v>0.81615109723685908</v>
      </c>
      <c r="O24">
        <v>-0.15068248650282901</v>
      </c>
      <c r="P24">
        <v>-0.19756181455153829</v>
      </c>
      <c r="Q24">
        <v>-0.52486557418804092</v>
      </c>
      <c r="R24">
        <v>0.28400141410040669</v>
      </c>
      <c r="S24">
        <v>9.113751274705443</v>
      </c>
      <c r="T24">
        <v>2.210259888524568E-2</v>
      </c>
      <c r="U24">
        <v>9.0916486758201973</v>
      </c>
      <c r="V24">
        <v>1.194185970777121</v>
      </c>
      <c r="W24">
        <v>4.6286620780019438</v>
      </c>
      <c r="X24">
        <v>9.4936803620183419E-2</v>
      </c>
      <c r="Y24">
        <v>4.5337252743817604</v>
      </c>
      <c r="Z24">
        <v>0.3105038014038074</v>
      </c>
      <c r="AA24">
        <v>6.7361953934406573</v>
      </c>
      <c r="AB24">
        <v>-0.36105429762281449</v>
      </c>
      <c r="AC24">
        <v>-0.24320733419896781</v>
      </c>
      <c r="AD24">
        <v>-1.3330091598562701</v>
      </c>
      <c r="AE24">
        <v>-1.105283500551711</v>
      </c>
      <c r="AF24">
        <v>-0.48094856986725232</v>
      </c>
      <c r="AG24">
        <v>-0.56948116125756132</v>
      </c>
      <c r="AH24">
        <v>-0.98749555905063713</v>
      </c>
      <c r="AI24">
        <v>-0.5894521518061574</v>
      </c>
      <c r="AJ24">
        <v>-0.33177439420246901</v>
      </c>
      <c r="AK24">
        <v>-0.1733978793816158</v>
      </c>
      <c r="AL24">
        <v>0.14434762533317019</v>
      </c>
      <c r="AM24">
        <v>-0.81615109723685908</v>
      </c>
      <c r="AN24">
        <v>-0.15068248650282901</v>
      </c>
      <c r="AO24">
        <v>-0.15063366296273359</v>
      </c>
      <c r="AP24">
        <v>-0.24448996614034299</v>
      </c>
      <c r="AQ24">
        <v>-0.52486557418804092</v>
      </c>
    </row>
    <row r="25" spans="1:43" x14ac:dyDescent="0.3">
      <c r="A25">
        <v>193</v>
      </c>
      <c r="B25">
        <v>2023</v>
      </c>
      <c r="C25" t="s">
        <v>63</v>
      </c>
      <c r="D25">
        <v>22</v>
      </c>
      <c r="E25">
        <v>21.451719548955239</v>
      </c>
      <c r="F25">
        <v>0.54828045104476075</v>
      </c>
      <c r="G25">
        <v>1.475474717450564</v>
      </c>
      <c r="H25">
        <v>1.409533102137037</v>
      </c>
      <c r="I25">
        <v>-0.47231820981455602</v>
      </c>
      <c r="J25">
        <v>0.25845774349409051</v>
      </c>
      <c r="K25">
        <v>0.30213081591089108</v>
      </c>
      <c r="L25">
        <v>1.5355528434810419</v>
      </c>
      <c r="M25">
        <v>0.32484199776444028</v>
      </c>
      <c r="N25">
        <v>0.2352489713912615</v>
      </c>
      <c r="O25">
        <v>0.22208829845912481</v>
      </c>
      <c r="P25">
        <v>-0.72143335319068402</v>
      </c>
      <c r="Q25">
        <v>1.9052497423687671</v>
      </c>
      <c r="R25">
        <v>1.475474717450564</v>
      </c>
      <c r="S25">
        <v>9.113751274705443</v>
      </c>
      <c r="T25">
        <v>2.210259888524568E-2</v>
      </c>
      <c r="U25">
        <v>9.0916486758201973</v>
      </c>
      <c r="V25">
        <v>1.409533102137037</v>
      </c>
      <c r="W25">
        <v>4.6286620780019438</v>
      </c>
      <c r="X25">
        <v>9.4936803620183419E-2</v>
      </c>
      <c r="Y25">
        <v>4.5337252743817604</v>
      </c>
      <c r="Z25">
        <v>-0.47231820981455602</v>
      </c>
      <c r="AA25">
        <v>-0.25845774349409051</v>
      </c>
      <c r="AB25">
        <v>-0.36105429762281449</v>
      </c>
      <c r="AC25">
        <v>-0.24320733419896781</v>
      </c>
      <c r="AD25">
        <v>1.500709038029683</v>
      </c>
      <c r="AE25">
        <v>1.072662104235659</v>
      </c>
      <c r="AF25">
        <v>1.6763838800262929</v>
      </c>
      <c r="AG25">
        <v>1.770742333318484</v>
      </c>
      <c r="AH25">
        <v>1.4944555970287139</v>
      </c>
      <c r="AI25">
        <v>1.6983641082474179</v>
      </c>
      <c r="AJ25">
        <v>-0.16828251755631579</v>
      </c>
      <c r="AK25">
        <v>0.5682852827111935</v>
      </c>
      <c r="AL25">
        <v>0.57452322813844336</v>
      </c>
      <c r="AM25">
        <v>-0.2352489713912615</v>
      </c>
      <c r="AN25">
        <v>0.22208829845912481</v>
      </c>
      <c r="AO25">
        <v>-0.89383942075623468</v>
      </c>
      <c r="AP25">
        <v>-0.54902728562513348</v>
      </c>
      <c r="AQ25">
        <v>1.9052497423687671</v>
      </c>
    </row>
    <row r="26" spans="1:43" x14ac:dyDescent="0.3">
      <c r="A26">
        <v>196</v>
      </c>
      <c r="B26">
        <v>2023</v>
      </c>
      <c r="C26" t="s">
        <v>65</v>
      </c>
      <c r="D26">
        <v>21.333333333333329</v>
      </c>
      <c r="E26">
        <v>20.28128571630122</v>
      </c>
      <c r="F26">
        <v>1.0520476170321049</v>
      </c>
      <c r="G26">
        <v>1.261674597005592</v>
      </c>
      <c r="H26">
        <v>0.40403304522043021</v>
      </c>
      <c r="I26">
        <v>-0.41097604998400389</v>
      </c>
      <c r="J26">
        <v>0.32490995323985561</v>
      </c>
      <c r="K26">
        <v>0.30213081591089108</v>
      </c>
      <c r="L26">
        <v>1.7186520311466611</v>
      </c>
      <c r="M26">
        <v>0.42831625011584568</v>
      </c>
      <c r="N26">
        <v>0.30926127533945003</v>
      </c>
      <c r="O26">
        <v>-0.49119077984274589</v>
      </c>
      <c r="P26">
        <v>-0.15607082031044081</v>
      </c>
      <c r="Q26">
        <v>1.9052497423687671</v>
      </c>
      <c r="R26">
        <v>1.261674597005592</v>
      </c>
      <c r="S26">
        <v>9.113751274705443</v>
      </c>
      <c r="T26">
        <v>2.210259888524568E-2</v>
      </c>
      <c r="U26">
        <v>9.0916486758201973</v>
      </c>
      <c r="V26">
        <v>0.40403304522043021</v>
      </c>
      <c r="W26">
        <v>4.6286620780019438</v>
      </c>
      <c r="X26">
        <v>9.4936803620183419E-2</v>
      </c>
      <c r="Y26">
        <v>4.5337252743817604</v>
      </c>
      <c r="Z26">
        <v>-0.41097604998400389</v>
      </c>
      <c r="AA26">
        <v>-0.32490995323985561</v>
      </c>
      <c r="AB26">
        <v>-0.36105429762281449</v>
      </c>
      <c r="AC26">
        <v>-0.24320733419896781</v>
      </c>
      <c r="AD26">
        <v>1.720993909496354</v>
      </c>
      <c r="AE26">
        <v>1.505292447785449</v>
      </c>
      <c r="AF26">
        <v>1.614131932047669</v>
      </c>
      <c r="AG26">
        <v>1.844360264376308</v>
      </c>
      <c r="AH26">
        <v>1.714761535293589</v>
      </c>
      <c r="AI26">
        <v>1.912372097880594</v>
      </c>
      <c r="AJ26">
        <v>3.8387854408863727E-2</v>
      </c>
      <c r="AK26">
        <v>0.68246653925584855</v>
      </c>
      <c r="AL26">
        <v>0.56409435668282493</v>
      </c>
      <c r="AM26">
        <v>-0.30926127533945003</v>
      </c>
      <c r="AN26">
        <v>-0.49119077984274589</v>
      </c>
      <c r="AO26">
        <v>-0.31319197268785259</v>
      </c>
      <c r="AP26">
        <v>1.050332066971151E-3</v>
      </c>
      <c r="AQ26">
        <v>1.9052497423687671</v>
      </c>
    </row>
    <row r="27" spans="1:43" x14ac:dyDescent="0.3">
      <c r="A27">
        <v>199</v>
      </c>
      <c r="B27">
        <v>2023</v>
      </c>
      <c r="C27" t="s">
        <v>67</v>
      </c>
      <c r="D27">
        <v>10.33333333333333</v>
      </c>
      <c r="E27">
        <v>11.85482457614386</v>
      </c>
      <c r="F27">
        <v>-1.5214912428105269</v>
      </c>
      <c r="G27">
        <v>-0.31766699720435848</v>
      </c>
      <c r="H27">
        <v>0.61655287033608908</v>
      </c>
      <c r="I27">
        <v>-0.98274610346507962</v>
      </c>
      <c r="J27">
        <v>-2.6086688360157009E-2</v>
      </c>
      <c r="K27">
        <v>0.30213081591089108</v>
      </c>
      <c r="L27">
        <v>-0.29134366891941538</v>
      </c>
      <c r="M27">
        <v>-0.72063363664184887</v>
      </c>
      <c r="N27">
        <v>-0.42147131416702588</v>
      </c>
      <c r="O27">
        <v>3.8095114775773847E-2</v>
      </c>
      <c r="P27">
        <v>0.2062460186269669</v>
      </c>
      <c r="Q27">
        <v>-0.52486557418804092</v>
      </c>
      <c r="R27">
        <v>-0.31766699720435848</v>
      </c>
      <c r="S27">
        <v>9.113751274705443</v>
      </c>
      <c r="T27">
        <v>2.210259888524568E-2</v>
      </c>
      <c r="U27">
        <v>9.0916486758201973</v>
      </c>
      <c r="V27">
        <v>0.61655287033608908</v>
      </c>
      <c r="W27">
        <v>4.6286620780019438</v>
      </c>
      <c r="X27">
        <v>9.4936803620183419E-2</v>
      </c>
      <c r="Y27">
        <v>4.5337252743817604</v>
      </c>
      <c r="Z27">
        <v>-0.98274610346507962</v>
      </c>
      <c r="AA27">
        <v>2.6086688360157009E-2</v>
      </c>
      <c r="AB27">
        <v>-0.36105429762281449</v>
      </c>
      <c r="AC27">
        <v>-0.24320733419896781</v>
      </c>
      <c r="AD27">
        <v>0.46178753001093781</v>
      </c>
      <c r="AE27">
        <v>-0.81074507947369878</v>
      </c>
      <c r="AF27">
        <v>-0.56126687337078252</v>
      </c>
      <c r="AG27">
        <v>-0.39744621974300881</v>
      </c>
      <c r="AH27">
        <v>-8.333355644209231E-2</v>
      </c>
      <c r="AI27">
        <v>-0.35705781449784768</v>
      </c>
      <c r="AJ27">
        <v>-0.89775600579863457</v>
      </c>
      <c r="AK27">
        <v>-0.205738235281547</v>
      </c>
      <c r="AL27">
        <v>-1.0584066688453651</v>
      </c>
      <c r="AM27">
        <v>0.42147131416702588</v>
      </c>
      <c r="AN27">
        <v>3.8095114775773847E-2</v>
      </c>
      <c r="AO27">
        <v>0.1678618072523452</v>
      </c>
      <c r="AP27">
        <v>0.24463023000158851</v>
      </c>
      <c r="AQ27">
        <v>-0.52486557418804092</v>
      </c>
    </row>
    <row r="28" spans="1:43" x14ac:dyDescent="0.3">
      <c r="A28">
        <v>213</v>
      </c>
      <c r="B28">
        <v>2023</v>
      </c>
      <c r="C28" t="s">
        <v>69</v>
      </c>
      <c r="D28">
        <v>3.3333333333333321</v>
      </c>
      <c r="E28">
        <v>5.8198279779317614</v>
      </c>
      <c r="F28">
        <v>-2.4864946445984279</v>
      </c>
      <c r="G28">
        <v>0.3057763232575666</v>
      </c>
      <c r="H28">
        <v>0.89401404363514625</v>
      </c>
      <c r="I28">
        <v>-0.94834210207968805</v>
      </c>
      <c r="J28">
        <v>-6.8123118875173612</v>
      </c>
      <c r="K28">
        <v>-3.1881896902688212</v>
      </c>
      <c r="L28">
        <v>-0.29255747317619352</v>
      </c>
      <c r="M28">
        <v>-2.1681705907280621E-2</v>
      </c>
      <c r="N28">
        <v>-2.6824305137193991</v>
      </c>
      <c r="O28">
        <v>0.18286900503642439</v>
      </c>
      <c r="P28">
        <v>-0.21250538126373511</v>
      </c>
      <c r="Q28">
        <v>-0.52486557418804092</v>
      </c>
      <c r="R28">
        <v>0.3057763232575666</v>
      </c>
      <c r="S28">
        <v>9.113751274705443</v>
      </c>
      <c r="T28">
        <v>2.210259888524568E-2</v>
      </c>
      <c r="U28">
        <v>9.0916486758201973</v>
      </c>
      <c r="V28">
        <v>0.89401404363514625</v>
      </c>
      <c r="W28">
        <v>4.6286620780019438</v>
      </c>
      <c r="X28">
        <v>9.4936803620183419E-2</v>
      </c>
      <c r="Y28">
        <v>4.5337252743817604</v>
      </c>
      <c r="Z28">
        <v>-0.94834210207968805</v>
      </c>
      <c r="AA28">
        <v>6.8123118875173612</v>
      </c>
      <c r="AB28">
        <v>2.7696665199223802</v>
      </c>
      <c r="AC28">
        <v>3.6067128606152621</v>
      </c>
      <c r="AD28">
        <v>0.38975992778232338</v>
      </c>
      <c r="AE28">
        <v>-6.5944947277412555E-2</v>
      </c>
      <c r="AF28">
        <v>-0.28118203694279592</v>
      </c>
      <c r="AG28">
        <v>-0.9113067784757154</v>
      </c>
      <c r="AH28">
        <v>-0.38225520039625183</v>
      </c>
      <c r="AI28">
        <v>-0.50441580374730877</v>
      </c>
      <c r="AJ28">
        <v>-0.29305659079684282</v>
      </c>
      <c r="AK28">
        <v>0.23951916469786261</v>
      </c>
      <c r="AL28">
        <v>-1.15076916228616E-2</v>
      </c>
      <c r="AM28">
        <v>2.6824305137193991</v>
      </c>
      <c r="AN28">
        <v>0.18286900503642439</v>
      </c>
      <c r="AO28">
        <v>-0.63117205609463556</v>
      </c>
      <c r="AP28">
        <v>0.20616129356716531</v>
      </c>
      <c r="AQ28">
        <v>-0.52486557418804092</v>
      </c>
    </row>
    <row r="29" spans="1:43" x14ac:dyDescent="0.3">
      <c r="A29">
        <v>218</v>
      </c>
      <c r="B29">
        <v>2023</v>
      </c>
      <c r="C29" t="s">
        <v>73</v>
      </c>
      <c r="D29">
        <v>6.6666666666666679</v>
      </c>
      <c r="E29">
        <v>6.9820189411591116</v>
      </c>
      <c r="F29">
        <v>-0.31535227449244457</v>
      </c>
      <c r="G29">
        <v>-0.69255507796711224</v>
      </c>
      <c r="H29">
        <v>-0.49348686612796921</v>
      </c>
      <c r="I29">
        <v>-0.63918634851375211</v>
      </c>
      <c r="J29">
        <v>0.38178449738344622</v>
      </c>
      <c r="K29">
        <v>0.30213081591089108</v>
      </c>
      <c r="L29">
        <v>-1.00562552166237</v>
      </c>
      <c r="M29">
        <v>-0.43818853192607748</v>
      </c>
      <c r="N29">
        <v>-0.90924684735709516</v>
      </c>
      <c r="O29">
        <v>-9.1885873514692323E-2</v>
      </c>
      <c r="P29">
        <v>-1.9860381797117419</v>
      </c>
      <c r="Q29">
        <v>-0.52486557418804092</v>
      </c>
      <c r="R29">
        <v>-0.69255507796711224</v>
      </c>
      <c r="S29">
        <v>9.113751274705443</v>
      </c>
      <c r="T29">
        <v>2.210259888524568E-2</v>
      </c>
      <c r="U29">
        <v>9.0916486758201973</v>
      </c>
      <c r="V29">
        <v>-0.49348686612796921</v>
      </c>
      <c r="W29">
        <v>4.6286620780019438</v>
      </c>
      <c r="X29">
        <v>9.4936803620183419E-2</v>
      </c>
      <c r="Y29">
        <v>4.5337252743817604</v>
      </c>
      <c r="Z29">
        <v>-0.63918634851375211</v>
      </c>
      <c r="AA29">
        <v>-0.38178449738344622</v>
      </c>
      <c r="AB29">
        <v>-0.36105429762281449</v>
      </c>
      <c r="AC29">
        <v>-0.24320733419896781</v>
      </c>
      <c r="AD29">
        <v>-0.62029161659811449</v>
      </c>
      <c r="AE29">
        <v>-0.38971254650437892</v>
      </c>
      <c r="AF29">
        <v>-0.81697003820891079</v>
      </c>
      <c r="AG29">
        <v>-1.6662819597509271</v>
      </c>
      <c r="AH29">
        <v>-1.4225515477014561</v>
      </c>
      <c r="AI29">
        <v>-1.1179454212104321</v>
      </c>
      <c r="AJ29">
        <v>-1.131641610448934</v>
      </c>
      <c r="AK29">
        <v>-0.13643747263883729</v>
      </c>
      <c r="AL29">
        <v>-4.6486512690461342E-2</v>
      </c>
      <c r="AM29">
        <v>0.90924684735709516</v>
      </c>
      <c r="AN29">
        <v>-9.1885873514692323E-2</v>
      </c>
      <c r="AO29">
        <v>-2.0706256667423881</v>
      </c>
      <c r="AP29">
        <v>-1.9014506926810959</v>
      </c>
      <c r="AQ29">
        <v>-0.52486557418804092</v>
      </c>
    </row>
    <row r="30" spans="1:43" x14ac:dyDescent="0.3">
      <c r="A30">
        <v>223</v>
      </c>
      <c r="B30">
        <v>2023</v>
      </c>
      <c r="C30" t="s">
        <v>75</v>
      </c>
      <c r="D30">
        <v>10.33333333333333</v>
      </c>
      <c r="E30">
        <v>13.006377785440479</v>
      </c>
      <c r="F30">
        <v>-2.673044452107145</v>
      </c>
      <c r="G30">
        <v>8.0817785647122706E-2</v>
      </c>
      <c r="H30">
        <v>1.5291661695046961</v>
      </c>
      <c r="I30">
        <v>-0.61691979939376518</v>
      </c>
      <c r="J30">
        <v>4.5732889758882201E-3</v>
      </c>
      <c r="K30">
        <v>0.30213081591089108</v>
      </c>
      <c r="L30">
        <v>-0.50865033751889455</v>
      </c>
      <c r="M30">
        <v>-0.27868621357574441</v>
      </c>
      <c r="N30">
        <v>-0.72099332950689821</v>
      </c>
      <c r="O30">
        <v>-0.1084115105058598</v>
      </c>
      <c r="P30">
        <v>0.58648845636333147</v>
      </c>
      <c r="Q30">
        <v>-0.52486557418804092</v>
      </c>
      <c r="R30">
        <v>8.0817785647122706E-2</v>
      </c>
      <c r="S30">
        <v>9.113751274705443</v>
      </c>
      <c r="T30">
        <v>2.210259888524568E-2</v>
      </c>
      <c r="U30">
        <v>9.0916486758201973</v>
      </c>
      <c r="V30">
        <v>1.5291661695046961</v>
      </c>
      <c r="W30">
        <v>4.6286620780019438</v>
      </c>
      <c r="X30">
        <v>9.4936803620183419E-2</v>
      </c>
      <c r="Y30">
        <v>4.5337252743817604</v>
      </c>
      <c r="Z30">
        <v>-0.61691979939376518</v>
      </c>
      <c r="AA30">
        <v>-4.5732889758882201E-3</v>
      </c>
      <c r="AB30">
        <v>-0.36105429762281449</v>
      </c>
      <c r="AC30">
        <v>-0.24320733419896781</v>
      </c>
      <c r="AD30">
        <v>0.1201152530371554</v>
      </c>
      <c r="AE30">
        <v>-0.66858706424912961</v>
      </c>
      <c r="AF30">
        <v>-0.654519626912205</v>
      </c>
      <c r="AG30">
        <v>-0.59851324278623896</v>
      </c>
      <c r="AH30">
        <v>-0.64661693643451423</v>
      </c>
      <c r="AI30">
        <v>-0.60378040776843533</v>
      </c>
      <c r="AJ30">
        <v>-0.80681302291253842</v>
      </c>
      <c r="AK30">
        <v>0.67586646662320971</v>
      </c>
      <c r="AL30">
        <v>-0.70511208443790441</v>
      </c>
      <c r="AM30">
        <v>0.72099332950689821</v>
      </c>
      <c r="AN30">
        <v>-0.1084115105058598</v>
      </c>
      <c r="AO30">
        <v>0.27598585348977639</v>
      </c>
      <c r="AP30">
        <v>0.89699105923688649</v>
      </c>
      <c r="AQ30">
        <v>-0.52486557418804092</v>
      </c>
    </row>
    <row r="31" spans="1:43" x14ac:dyDescent="0.3">
      <c r="A31">
        <v>228</v>
      </c>
      <c r="B31">
        <v>2023</v>
      </c>
      <c r="C31" t="s">
        <v>76</v>
      </c>
      <c r="D31">
        <v>16.666666666666671</v>
      </c>
      <c r="E31">
        <v>16.06272430857998</v>
      </c>
      <c r="F31">
        <v>0.60394235808668739</v>
      </c>
      <c r="G31">
        <v>0.45022476165154479</v>
      </c>
      <c r="H31">
        <v>0.54991399331619661</v>
      </c>
      <c r="I31">
        <v>-0.48917093130536982</v>
      </c>
      <c r="J31">
        <v>4.0365521385608408E-2</v>
      </c>
      <c r="K31">
        <v>0.30213081591089108</v>
      </c>
      <c r="L31">
        <v>0.6620221839942253</v>
      </c>
      <c r="M31">
        <v>0.1255526077657361</v>
      </c>
      <c r="N31">
        <v>0.51771259535568792</v>
      </c>
      <c r="O31">
        <v>-0.38358017652467402</v>
      </c>
      <c r="P31">
        <v>0.28860644917944928</v>
      </c>
      <c r="Q31">
        <v>-0.52486557418804092</v>
      </c>
      <c r="R31">
        <v>0.45022476165154479</v>
      </c>
      <c r="S31">
        <v>9.113751274705443</v>
      </c>
      <c r="T31">
        <v>2.210259888524568E-2</v>
      </c>
      <c r="U31">
        <v>9.0916486758201973</v>
      </c>
      <c r="V31">
        <v>0.54991399331619661</v>
      </c>
      <c r="W31">
        <v>4.6286620780019438</v>
      </c>
      <c r="X31">
        <v>9.4936803620183419E-2</v>
      </c>
      <c r="Y31">
        <v>4.5337252743817604</v>
      </c>
      <c r="Z31">
        <v>-0.48917093130536982</v>
      </c>
      <c r="AA31">
        <v>-4.0365521385608408E-2</v>
      </c>
      <c r="AB31">
        <v>-0.36105429762281449</v>
      </c>
      <c r="AC31">
        <v>-0.24320733419896781</v>
      </c>
      <c r="AD31">
        <v>0.9703322995831789</v>
      </c>
      <c r="AE31">
        <v>6.4538243476133572E-2</v>
      </c>
      <c r="AF31">
        <v>0.78329350212181281</v>
      </c>
      <c r="AG31">
        <v>0.65424842030058772</v>
      </c>
      <c r="AH31">
        <v>0.59067627587089133</v>
      </c>
      <c r="AI31">
        <v>0.90904436261274768</v>
      </c>
      <c r="AJ31">
        <v>9.7078531157069131E-2</v>
      </c>
      <c r="AK31">
        <v>-0.35324985862102898</v>
      </c>
      <c r="AL31">
        <v>0.63282915076116819</v>
      </c>
      <c r="AM31">
        <v>-0.51771259535568792</v>
      </c>
      <c r="AN31">
        <v>-0.38358017652467402</v>
      </c>
      <c r="AO31">
        <v>0.23325577396413019</v>
      </c>
      <c r="AP31">
        <v>0.34395712439476828</v>
      </c>
      <c r="AQ31">
        <v>-0.52486557418804092</v>
      </c>
    </row>
    <row r="32" spans="1:43" x14ac:dyDescent="0.3">
      <c r="A32">
        <v>233</v>
      </c>
      <c r="B32">
        <v>2023</v>
      </c>
      <c r="C32" t="s">
        <v>78</v>
      </c>
      <c r="D32">
        <v>12.66666666666667</v>
      </c>
      <c r="E32">
        <v>12.08569279201058</v>
      </c>
      <c r="F32">
        <v>0.58097387465608819</v>
      </c>
      <c r="G32">
        <v>-0.21533367058999059</v>
      </c>
      <c r="H32">
        <v>0.59554747336928782</v>
      </c>
      <c r="I32">
        <v>-0.1010344182138331</v>
      </c>
      <c r="J32">
        <v>-5.5487450696712522E-2</v>
      </c>
      <c r="K32">
        <v>0.30213081591089108</v>
      </c>
      <c r="L32">
        <v>-0.48023923163654669</v>
      </c>
      <c r="M32">
        <v>-0.2009634994460264</v>
      </c>
      <c r="N32">
        <v>7.2027392676694335E-2</v>
      </c>
      <c r="O32">
        <v>-0.39148093098602238</v>
      </c>
      <c r="P32">
        <v>0.4953196664943959</v>
      </c>
      <c r="Q32">
        <v>-0.52486557418804092</v>
      </c>
      <c r="R32">
        <v>-0.21533367058999059</v>
      </c>
      <c r="S32">
        <v>9.113751274705443</v>
      </c>
      <c r="T32">
        <v>2.210259888524568E-2</v>
      </c>
      <c r="U32">
        <v>9.0916486758201973</v>
      </c>
      <c r="V32">
        <v>0.59554747336928782</v>
      </c>
      <c r="W32">
        <v>4.6286620780019438</v>
      </c>
      <c r="X32">
        <v>9.4936803620183419E-2</v>
      </c>
      <c r="Y32">
        <v>4.5337252743817604</v>
      </c>
      <c r="Z32">
        <v>-0.1010344182138331</v>
      </c>
      <c r="AA32">
        <v>5.5487450696712522E-2</v>
      </c>
      <c r="AB32">
        <v>-0.36105429762281449</v>
      </c>
      <c r="AC32">
        <v>-0.24320733419896781</v>
      </c>
      <c r="AD32">
        <v>-0.1184673136540515</v>
      </c>
      <c r="AE32">
        <v>-1.0028453993798661</v>
      </c>
      <c r="AF32">
        <v>-0.39906566103231528</v>
      </c>
      <c r="AG32">
        <v>-0.16774254995077381</v>
      </c>
      <c r="AH32">
        <v>-0.73486759087464992</v>
      </c>
      <c r="AI32">
        <v>-0.45844687492762409</v>
      </c>
      <c r="AJ32">
        <v>-0.41086396543105042</v>
      </c>
      <c r="AK32">
        <v>0.23052656573589181</v>
      </c>
      <c r="AL32">
        <v>-0.42255309864292062</v>
      </c>
      <c r="AM32">
        <v>-7.2027392676694335E-2</v>
      </c>
      <c r="AN32">
        <v>-0.39148093098602238</v>
      </c>
      <c r="AO32">
        <v>0.28874541181162372</v>
      </c>
      <c r="AP32">
        <v>0.70189392117716809</v>
      </c>
      <c r="AQ32">
        <v>-0.52486557418804092</v>
      </c>
    </row>
    <row r="33" spans="1:43" x14ac:dyDescent="0.3">
      <c r="A33">
        <v>238</v>
      </c>
      <c r="B33">
        <v>2023</v>
      </c>
      <c r="C33" t="s">
        <v>80</v>
      </c>
      <c r="D33">
        <v>9</v>
      </c>
      <c r="E33">
        <v>13.844137560597741</v>
      </c>
      <c r="F33">
        <v>-4.8441375605977406</v>
      </c>
      <c r="G33">
        <v>0.43078004295518307</v>
      </c>
      <c r="H33">
        <v>-0.1577080322532321</v>
      </c>
      <c r="I33">
        <v>-9.0948981259486111E-2</v>
      </c>
      <c r="J33">
        <v>0.37745356094580951</v>
      </c>
      <c r="K33">
        <v>0.30213081591089108</v>
      </c>
      <c r="L33">
        <v>0.65229290792802297</v>
      </c>
      <c r="M33">
        <v>-1.330261641004199</v>
      </c>
      <c r="N33">
        <v>-8.5276535609582982E-2</v>
      </c>
      <c r="O33">
        <v>-8.6726461026839521E-2</v>
      </c>
      <c r="P33">
        <v>0.3278999357887642</v>
      </c>
      <c r="Q33">
        <v>-0.52486557418804092</v>
      </c>
      <c r="R33">
        <v>0.43078004295518307</v>
      </c>
      <c r="S33">
        <v>9.113751274705443</v>
      </c>
      <c r="T33">
        <v>2.210259888524568E-2</v>
      </c>
      <c r="U33">
        <v>9.0916486758201973</v>
      </c>
      <c r="V33">
        <v>-0.1577080322532321</v>
      </c>
      <c r="W33">
        <v>4.6286620780019438</v>
      </c>
      <c r="X33">
        <v>9.4936803620183419E-2</v>
      </c>
      <c r="Y33">
        <v>4.5337252743817604</v>
      </c>
      <c r="Z33">
        <v>-9.0948981259486111E-2</v>
      </c>
      <c r="AA33">
        <v>-0.37745356094580951</v>
      </c>
      <c r="AB33">
        <v>-0.36105429762281449</v>
      </c>
      <c r="AC33">
        <v>-0.24320733419896781</v>
      </c>
      <c r="AD33">
        <v>1.0469002268060861</v>
      </c>
      <c r="AE33">
        <v>1.3841183110524999</v>
      </c>
      <c r="AF33">
        <v>2.9033115536334239E-2</v>
      </c>
      <c r="AG33">
        <v>0.33864059147156761</v>
      </c>
      <c r="AH33">
        <v>0.56733378535277412</v>
      </c>
      <c r="AI33">
        <v>0.54773141734887554</v>
      </c>
      <c r="AJ33">
        <v>-0.43757799677758591</v>
      </c>
      <c r="AK33">
        <v>-1.1667913115016959</v>
      </c>
      <c r="AL33">
        <v>-2.3864156147333162</v>
      </c>
      <c r="AM33">
        <v>8.5276535609582982E-2</v>
      </c>
      <c r="AN33">
        <v>-8.6726461026839521E-2</v>
      </c>
      <c r="AO33">
        <v>0.26157668501070569</v>
      </c>
      <c r="AP33">
        <v>0.3942231865668227</v>
      </c>
      <c r="AQ33">
        <v>-0.52486557418804092</v>
      </c>
    </row>
    <row r="34" spans="1:43" x14ac:dyDescent="0.3">
      <c r="A34">
        <v>243</v>
      </c>
      <c r="B34">
        <v>2023</v>
      </c>
      <c r="C34" t="s">
        <v>81</v>
      </c>
      <c r="D34">
        <v>10.33333333333333</v>
      </c>
      <c r="E34">
        <v>11.85922094314614</v>
      </c>
      <c r="F34">
        <v>-1.525887609812814</v>
      </c>
      <c r="G34">
        <v>0.14626946545380701</v>
      </c>
      <c r="H34">
        <v>1.6535664784724541E-2</v>
      </c>
      <c r="I34">
        <v>0.59538465043893385</v>
      </c>
      <c r="J34">
        <v>-2.2951564758705531E-3</v>
      </c>
      <c r="K34">
        <v>0.30213081591089108</v>
      </c>
      <c r="L34">
        <v>-0.16774064767703761</v>
      </c>
      <c r="M34">
        <v>-0.85521304720585756</v>
      </c>
      <c r="N34">
        <v>-6.8384838612398927E-2</v>
      </c>
      <c r="O34">
        <v>-0.18496219202989081</v>
      </c>
      <c r="P34">
        <v>0.25365392226202021</v>
      </c>
      <c r="Q34">
        <v>-0.52486557418804092</v>
      </c>
      <c r="R34">
        <v>0.14626946545380701</v>
      </c>
      <c r="S34">
        <v>9.113751274705443</v>
      </c>
      <c r="T34">
        <v>2.210259888524568E-2</v>
      </c>
      <c r="U34">
        <v>9.0916486758201973</v>
      </c>
      <c r="V34">
        <v>1.6535664784724541E-2</v>
      </c>
      <c r="W34">
        <v>4.6286620780019438</v>
      </c>
      <c r="X34">
        <v>9.4936803620183419E-2</v>
      </c>
      <c r="Y34">
        <v>4.5337252743817604</v>
      </c>
      <c r="Z34">
        <v>0.59538465043893385</v>
      </c>
      <c r="AA34">
        <v>2.2951564758705531E-3</v>
      </c>
      <c r="AB34">
        <v>-0.36105429762281449</v>
      </c>
      <c r="AC34">
        <v>-0.24320733419896781</v>
      </c>
      <c r="AD34">
        <v>1.0475297395113461E-2</v>
      </c>
      <c r="AE34">
        <v>0.51928120035096148</v>
      </c>
      <c r="AF34">
        <v>-0.29902536508955307</v>
      </c>
      <c r="AG34">
        <v>-0.26957278692678432</v>
      </c>
      <c r="AH34">
        <v>-0.38590522685299627</v>
      </c>
      <c r="AI34">
        <v>-0.58169700493896681</v>
      </c>
      <c r="AJ34">
        <v>-0.21998143563127201</v>
      </c>
      <c r="AK34">
        <v>-1.1186932821913389</v>
      </c>
      <c r="AL34">
        <v>-1.226964423794962</v>
      </c>
      <c r="AM34">
        <v>6.8384838612398927E-2</v>
      </c>
      <c r="AN34">
        <v>-0.18496219202989081</v>
      </c>
      <c r="AO34">
        <v>0.1694540797574616</v>
      </c>
      <c r="AP34">
        <v>0.33785376476657869</v>
      </c>
      <c r="AQ34">
        <v>-0.52486557418804092</v>
      </c>
    </row>
    <row r="35" spans="1:43" x14ac:dyDescent="0.3">
      <c r="A35">
        <v>248</v>
      </c>
      <c r="B35">
        <v>2023</v>
      </c>
      <c r="C35" t="s">
        <v>83</v>
      </c>
      <c r="D35">
        <v>6</v>
      </c>
      <c r="E35">
        <v>7.8531612494506389</v>
      </c>
      <c r="F35">
        <v>-1.8531612494506391</v>
      </c>
      <c r="G35">
        <v>-0.23984881251681431</v>
      </c>
      <c r="H35">
        <v>1.8058723465392178E-2</v>
      </c>
      <c r="I35">
        <v>-0.92843318757240545</v>
      </c>
      <c r="J35">
        <v>0.63315052190267029</v>
      </c>
      <c r="K35">
        <v>-3.1881896902688212</v>
      </c>
      <c r="L35">
        <v>-0.70641765223271868</v>
      </c>
      <c r="M35">
        <v>0.41769394150668882</v>
      </c>
      <c r="N35">
        <v>0.10328258860076039</v>
      </c>
      <c r="O35">
        <v>0.39715918987024912</v>
      </c>
      <c r="P35">
        <v>-0.8530553897096127</v>
      </c>
      <c r="Q35">
        <v>-0.52486557418804092</v>
      </c>
      <c r="R35">
        <v>-0.23984881251681431</v>
      </c>
      <c r="S35">
        <v>9.113751274705443</v>
      </c>
      <c r="T35">
        <v>2.210259888524568E-2</v>
      </c>
      <c r="U35">
        <v>9.0916486758201973</v>
      </c>
      <c r="V35">
        <v>1.8058723465392178E-2</v>
      </c>
      <c r="W35">
        <v>4.6286620780019438</v>
      </c>
      <c r="X35">
        <v>9.4936803620183419E-2</v>
      </c>
      <c r="Y35">
        <v>4.5337252743817604</v>
      </c>
      <c r="Z35">
        <v>-0.92843318757240545</v>
      </c>
      <c r="AA35">
        <v>-0.63315052190267029</v>
      </c>
      <c r="AB35">
        <v>2.7696665199223802</v>
      </c>
      <c r="AC35">
        <v>3.6067128606152621</v>
      </c>
      <c r="AD35">
        <v>-0.28710748865836311</v>
      </c>
      <c r="AE35">
        <v>-0.46736902170670791</v>
      </c>
      <c r="AF35">
        <v>-0.53607843437731162</v>
      </c>
      <c r="AG35">
        <v>-1.018799132750142</v>
      </c>
      <c r="AH35">
        <v>-1.0515445761663871</v>
      </c>
      <c r="AI35">
        <v>-0.87760725973739995</v>
      </c>
      <c r="AJ35">
        <v>0.17629340272029631</v>
      </c>
      <c r="AK35">
        <v>0.54180249127272961</v>
      </c>
      <c r="AL35">
        <v>0.53498593052704047</v>
      </c>
      <c r="AM35">
        <v>-0.10328258860076039</v>
      </c>
      <c r="AN35">
        <v>0.39715918987024912</v>
      </c>
      <c r="AO35">
        <v>-0.92464943929850008</v>
      </c>
      <c r="AP35">
        <v>-0.78146134012072532</v>
      </c>
      <c r="AQ35">
        <v>-0.52486557418804092</v>
      </c>
    </row>
    <row r="36" spans="1:43" x14ac:dyDescent="0.3">
      <c r="A36">
        <v>253</v>
      </c>
      <c r="B36">
        <v>2023</v>
      </c>
      <c r="C36" t="s">
        <v>84</v>
      </c>
      <c r="D36">
        <v>5.3333333333333321</v>
      </c>
      <c r="E36">
        <v>4.9403427893254328</v>
      </c>
      <c r="F36">
        <v>0.39299054400789929</v>
      </c>
      <c r="G36">
        <v>-0.41942892941087168</v>
      </c>
      <c r="H36">
        <v>-0.64738817933299886</v>
      </c>
      <c r="I36">
        <v>-0.48742453529595903</v>
      </c>
      <c r="J36">
        <v>0.4242925431237749</v>
      </c>
      <c r="K36">
        <v>-3.920499583278287</v>
      </c>
      <c r="L36">
        <v>-0.59835747551515428</v>
      </c>
      <c r="M36">
        <v>-0.5857885486086033</v>
      </c>
      <c r="N36">
        <v>-0.75119279436864006</v>
      </c>
      <c r="O36">
        <v>-0.2492156272482878</v>
      </c>
      <c r="P36">
        <v>-0.2277679348066137</v>
      </c>
      <c r="Q36">
        <v>-0.52486557418804092</v>
      </c>
      <c r="R36">
        <v>-0.41942892941087168</v>
      </c>
      <c r="S36">
        <v>9.113751274705443</v>
      </c>
      <c r="T36">
        <v>2.210259888524568E-2</v>
      </c>
      <c r="U36">
        <v>9.0916486758201973</v>
      </c>
      <c r="V36">
        <v>-0.64738817933299886</v>
      </c>
      <c r="W36">
        <v>4.6286620780019438</v>
      </c>
      <c r="X36">
        <v>9.4936803620183419E-2</v>
      </c>
      <c r="Y36">
        <v>4.5337252743817604</v>
      </c>
      <c r="Z36">
        <v>-0.48742453529595903</v>
      </c>
      <c r="AA36">
        <v>-0.4242925431237749</v>
      </c>
      <c r="AB36">
        <v>2.7696665199223802</v>
      </c>
      <c r="AC36">
        <v>5.0713326466341941</v>
      </c>
      <c r="AD36">
        <v>-0.84112534254018267</v>
      </c>
      <c r="AE36">
        <v>5.7988452753006597E-2</v>
      </c>
      <c r="AF36">
        <v>-0.45898378680387281</v>
      </c>
      <c r="AG36">
        <v>-0.69449173876831749</v>
      </c>
      <c r="AH36">
        <v>-0.88815145444323718</v>
      </c>
      <c r="AI36">
        <v>-0.76538098328832216</v>
      </c>
      <c r="AJ36">
        <v>-0.46541973113593621</v>
      </c>
      <c r="AK36">
        <v>-0.29426170946681779</v>
      </c>
      <c r="AL36">
        <v>-0.99768420522305601</v>
      </c>
      <c r="AM36">
        <v>0.75119279436864006</v>
      </c>
      <c r="AN36">
        <v>-0.2492156272482878</v>
      </c>
      <c r="AO36">
        <v>-0.12745682366925859</v>
      </c>
      <c r="AP36">
        <v>-0.32807904594396892</v>
      </c>
      <c r="AQ36">
        <v>-0.52486557418804092</v>
      </c>
    </row>
    <row r="37" spans="1:43" x14ac:dyDescent="0.3">
      <c r="A37">
        <v>258</v>
      </c>
      <c r="B37">
        <v>2023</v>
      </c>
      <c r="C37" t="s">
        <v>86</v>
      </c>
      <c r="D37">
        <v>11.33333333333333</v>
      </c>
      <c r="E37">
        <v>10.62800447839474</v>
      </c>
      <c r="F37">
        <v>0.70532885493858721</v>
      </c>
      <c r="G37">
        <v>-0.36573540279152422</v>
      </c>
      <c r="H37">
        <v>-5.9823021617103837E-2</v>
      </c>
      <c r="I37">
        <v>0.1597025059911901</v>
      </c>
      <c r="J37">
        <v>3.4393789645606972E-2</v>
      </c>
      <c r="K37">
        <v>0.30213081591089108</v>
      </c>
      <c r="L37">
        <v>-0.92804607507136783</v>
      </c>
      <c r="M37">
        <v>-0.61325043651027766</v>
      </c>
      <c r="N37">
        <v>0.85685230792908729</v>
      </c>
      <c r="O37">
        <v>0.44209392269052061</v>
      </c>
      <c r="P37">
        <v>0.5002213434058902</v>
      </c>
      <c r="Q37">
        <v>-0.52486557418804092</v>
      </c>
      <c r="R37">
        <v>-0.36573540279152422</v>
      </c>
      <c r="S37">
        <v>9.113751274705443</v>
      </c>
      <c r="T37">
        <v>2.210259888524568E-2</v>
      </c>
      <c r="U37">
        <v>9.0916486758201973</v>
      </c>
      <c r="V37">
        <v>-5.9823021617103837E-2</v>
      </c>
      <c r="W37">
        <v>4.6286620780019438</v>
      </c>
      <c r="X37">
        <v>9.4936803620183419E-2</v>
      </c>
      <c r="Y37">
        <v>4.5337252743817604</v>
      </c>
      <c r="Z37">
        <v>0.1597025059911901</v>
      </c>
      <c r="AA37">
        <v>-3.4393789645606972E-2</v>
      </c>
      <c r="AB37">
        <v>-0.36105429762281449</v>
      </c>
      <c r="AC37">
        <v>-0.24320733419896781</v>
      </c>
      <c r="AD37">
        <v>-0.6859501063557637</v>
      </c>
      <c r="AE37">
        <v>-0.28419027968429278</v>
      </c>
      <c r="AF37">
        <v>-1.332999634402626</v>
      </c>
      <c r="AG37">
        <v>-0.79774299721864961</v>
      </c>
      <c r="AH37">
        <v>-1.2155758596327131</v>
      </c>
      <c r="AI37">
        <v>-1.2518175731341621</v>
      </c>
      <c r="AJ37">
        <v>9.4697824798794336E-2</v>
      </c>
      <c r="AK37">
        <v>-1.3963088373017181</v>
      </c>
      <c r="AL37">
        <v>-0.53814029702790966</v>
      </c>
      <c r="AM37">
        <v>-0.85685230792908729</v>
      </c>
      <c r="AN37">
        <v>0.44209392269052061</v>
      </c>
      <c r="AO37">
        <v>0.44520333484890989</v>
      </c>
      <c r="AP37">
        <v>0.55523935196287033</v>
      </c>
      <c r="AQ37">
        <v>-0.52486557418804092</v>
      </c>
    </row>
    <row r="38" spans="1:43" x14ac:dyDescent="0.3">
      <c r="A38">
        <v>268</v>
      </c>
      <c r="B38">
        <v>2023</v>
      </c>
      <c r="C38" t="s">
        <v>87</v>
      </c>
      <c r="D38">
        <v>9.5</v>
      </c>
      <c r="E38">
        <v>8.7018003690797716</v>
      </c>
      <c r="F38">
        <v>0.79819963092022839</v>
      </c>
      <c r="G38">
        <v>-0.79418798865277562</v>
      </c>
      <c r="H38">
        <v>-0.63970546645413151</v>
      </c>
      <c r="I38">
        <v>-3.9124679680222443E-2</v>
      </c>
      <c r="J38">
        <v>-4.6081496230832117E-2</v>
      </c>
      <c r="K38">
        <v>0.30213081591089108</v>
      </c>
      <c r="L38">
        <v>-1.021610136923216</v>
      </c>
      <c r="M38">
        <v>8.017113295328776E-2</v>
      </c>
      <c r="N38">
        <v>0.28331251712338101</v>
      </c>
      <c r="O38">
        <v>-0.28533151466325718</v>
      </c>
      <c r="P38">
        <v>0.42793852707253938</v>
      </c>
      <c r="Q38">
        <v>-0.52486557418804092</v>
      </c>
      <c r="R38">
        <v>-0.79418798865277562</v>
      </c>
      <c r="S38">
        <v>9.113751274705443</v>
      </c>
      <c r="T38">
        <v>2.210259888524568E-2</v>
      </c>
      <c r="U38">
        <v>9.0916486758201973</v>
      </c>
      <c r="V38">
        <v>-0.63970546645413151</v>
      </c>
      <c r="W38">
        <v>4.6286620780019438</v>
      </c>
      <c r="X38">
        <v>9.4936803620183419E-2</v>
      </c>
      <c r="Y38">
        <v>4.5337252743817604</v>
      </c>
      <c r="Z38">
        <v>-3.9124679680222443E-2</v>
      </c>
      <c r="AA38">
        <v>4.6081496230832117E-2</v>
      </c>
      <c r="AB38">
        <v>-0.36105429762281449</v>
      </c>
      <c r="AC38">
        <v>-0.24320733419896781</v>
      </c>
      <c r="AD38">
        <v>-0.81596205614427175</v>
      </c>
      <c r="AE38">
        <v>-0.46304782044145909</v>
      </c>
      <c r="AF38">
        <v>-1.099753961070423</v>
      </c>
      <c r="AG38">
        <v>-1.1138364477069169</v>
      </c>
      <c r="AH38">
        <v>-1.372586285948189</v>
      </c>
      <c r="AI38">
        <v>-1.2644742502280379</v>
      </c>
      <c r="AJ38">
        <v>0.29838604879939801</v>
      </c>
      <c r="AK38">
        <v>-0.34235973877717479</v>
      </c>
      <c r="AL38">
        <v>0.28448708883764012</v>
      </c>
      <c r="AM38">
        <v>-0.28331251712338101</v>
      </c>
      <c r="AN38">
        <v>-0.28533151466325718</v>
      </c>
      <c r="AO38">
        <v>0.52238464115890082</v>
      </c>
      <c r="AP38">
        <v>0.33349241298617788</v>
      </c>
      <c r="AQ38">
        <v>-0.52486557418804092</v>
      </c>
    </row>
    <row r="39" spans="1:43" x14ac:dyDescent="0.3">
      <c r="A39">
        <v>273</v>
      </c>
      <c r="B39">
        <v>2023</v>
      </c>
      <c r="C39" t="s">
        <v>89</v>
      </c>
      <c r="D39">
        <v>13.66666666666667</v>
      </c>
      <c r="E39">
        <v>12.64767689150468</v>
      </c>
      <c r="F39">
        <v>1.018989775161987</v>
      </c>
      <c r="G39">
        <v>0.2950241760049484</v>
      </c>
      <c r="H39">
        <v>1.426046985368276</v>
      </c>
      <c r="I39">
        <v>-0.82120447259458618</v>
      </c>
      <c r="J39">
        <v>7.3314980538906283E-2</v>
      </c>
      <c r="K39">
        <v>0.30213081591089108</v>
      </c>
      <c r="L39">
        <v>-0.75577650610983838</v>
      </c>
      <c r="M39">
        <v>-0.75713032336480435</v>
      </c>
      <c r="N39">
        <v>0.15034596806330969</v>
      </c>
      <c r="O39">
        <v>9.2779714803666979E-2</v>
      </c>
      <c r="P39">
        <v>2.1004149173481219E-2</v>
      </c>
      <c r="Q39">
        <v>-0.52486557418804092</v>
      </c>
      <c r="R39">
        <v>0.2950241760049484</v>
      </c>
      <c r="S39">
        <v>9.113751274705443</v>
      </c>
      <c r="T39">
        <v>2.210259888524568E-2</v>
      </c>
      <c r="U39">
        <v>9.0916486758201973</v>
      </c>
      <c r="V39">
        <v>1.426046985368276</v>
      </c>
      <c r="W39">
        <v>4.6286620780019438</v>
      </c>
      <c r="X39">
        <v>9.4936803620183419E-2</v>
      </c>
      <c r="Y39">
        <v>4.5337252743817604</v>
      </c>
      <c r="Z39">
        <v>-0.82120447259458618</v>
      </c>
      <c r="AA39">
        <v>-7.3314980538906283E-2</v>
      </c>
      <c r="AB39">
        <v>-0.36105429762281449</v>
      </c>
      <c r="AC39">
        <v>-0.24320733419896781</v>
      </c>
      <c r="AD39">
        <v>-0.4263321190349062</v>
      </c>
      <c r="AE39">
        <v>-0.76112286377471161</v>
      </c>
      <c r="AF39">
        <v>-0.43632033634159589</v>
      </c>
      <c r="AG39">
        <v>-0.52921156328548813</v>
      </c>
      <c r="AH39">
        <v>-1.2876805907801381</v>
      </c>
      <c r="AI39">
        <v>-1.0939915634421911</v>
      </c>
      <c r="AJ39">
        <v>-0.2227631030604138</v>
      </c>
      <c r="AK39">
        <v>-0.42675816756704621</v>
      </c>
      <c r="AL39">
        <v>-1.621869699466953</v>
      </c>
      <c r="AM39">
        <v>-0.15034596806330969</v>
      </c>
      <c r="AN39">
        <v>9.2779714803666979E-2</v>
      </c>
      <c r="AO39">
        <v>5.2078799279630862E-2</v>
      </c>
      <c r="AP39">
        <v>-1.007050093266842E-2</v>
      </c>
      <c r="AQ39">
        <v>-0.52486557418804092</v>
      </c>
    </row>
    <row r="40" spans="1:43" x14ac:dyDescent="0.3">
      <c r="A40">
        <v>278</v>
      </c>
      <c r="B40">
        <v>2023</v>
      </c>
      <c r="C40" t="s">
        <v>90</v>
      </c>
      <c r="D40">
        <v>7.3333333333333339</v>
      </c>
      <c r="E40">
        <v>5.9239264582408326</v>
      </c>
      <c r="F40">
        <v>1.4094068750925011</v>
      </c>
      <c r="G40">
        <v>-0.97052760814075012</v>
      </c>
      <c r="H40">
        <v>-0.98254119710324428</v>
      </c>
      <c r="I40">
        <v>-0.40490732385130163</v>
      </c>
      <c r="J40">
        <v>-0.18304974594798651</v>
      </c>
      <c r="K40">
        <v>-1.5414173561086699</v>
      </c>
      <c r="L40">
        <v>-1.3557762214971401</v>
      </c>
      <c r="M40">
        <v>0.2338364455590928</v>
      </c>
      <c r="N40">
        <v>0.43769929379007871</v>
      </c>
      <c r="O40">
        <v>0.19331713859578539</v>
      </c>
      <c r="P40">
        <v>0.57370084425157231</v>
      </c>
      <c r="Q40">
        <v>-0.52486557418804092</v>
      </c>
      <c r="R40">
        <v>-0.97052760814075012</v>
      </c>
      <c r="S40">
        <v>9.113751274705443</v>
      </c>
      <c r="T40">
        <v>2.210259888524568E-2</v>
      </c>
      <c r="U40">
        <v>9.0916486758201973</v>
      </c>
      <c r="V40">
        <v>-0.98254119710324428</v>
      </c>
      <c r="W40">
        <v>4.6286620780019438</v>
      </c>
      <c r="X40">
        <v>9.4936803620183419E-2</v>
      </c>
      <c r="Y40">
        <v>4.5337252743817604</v>
      </c>
      <c r="Z40">
        <v>-0.40490732385130163</v>
      </c>
      <c r="AA40">
        <v>0.18304974594798651</v>
      </c>
      <c r="AB40">
        <v>2.7696665199223802</v>
      </c>
      <c r="AC40">
        <v>0.31316819229495929</v>
      </c>
      <c r="AD40">
        <v>-1.8270076490875069</v>
      </c>
      <c r="AE40">
        <v>-0.1194563644493277</v>
      </c>
      <c r="AF40">
        <v>-1.417078680175466</v>
      </c>
      <c r="AG40">
        <v>-1.4964878153211869</v>
      </c>
      <c r="AH40">
        <v>-1.8464041326414229</v>
      </c>
      <c r="AI40">
        <v>-1.4282226873079329</v>
      </c>
      <c r="AJ40">
        <v>0.54086725640641564</v>
      </c>
      <c r="AK40">
        <v>-8.776193697312458E-2</v>
      </c>
      <c r="AL40">
        <v>0.24840401724398739</v>
      </c>
      <c r="AM40">
        <v>-0.43769929379007871</v>
      </c>
      <c r="AN40">
        <v>0.19331713859578539</v>
      </c>
      <c r="AO40">
        <v>0.74035417271240189</v>
      </c>
      <c r="AP40">
        <v>0.40704751579074272</v>
      </c>
      <c r="AQ40">
        <v>-0.52486557418804092</v>
      </c>
    </row>
    <row r="41" spans="1:43" x14ac:dyDescent="0.3">
      <c r="A41">
        <v>283</v>
      </c>
      <c r="B41">
        <v>2023</v>
      </c>
      <c r="C41" t="s">
        <v>92</v>
      </c>
      <c r="D41">
        <v>13.66666666666667</v>
      </c>
      <c r="E41">
        <v>12.07472483784643</v>
      </c>
      <c r="F41">
        <v>1.591941828820236</v>
      </c>
      <c r="G41">
        <v>0.53611792509404899</v>
      </c>
      <c r="H41">
        <v>-0.1742390710304359</v>
      </c>
      <c r="I41">
        <v>0.2539642305991347</v>
      </c>
      <c r="J41">
        <v>0.62702615804151873</v>
      </c>
      <c r="K41">
        <v>0.30213081591089108</v>
      </c>
      <c r="L41">
        <v>-0.16141604718591371</v>
      </c>
      <c r="M41">
        <v>-0.64840054261903657</v>
      </c>
      <c r="N41">
        <v>0.189463582162052</v>
      </c>
      <c r="O41">
        <v>-0.27002137835845091</v>
      </c>
      <c r="P41">
        <v>-0.21418197505991829</v>
      </c>
      <c r="Q41">
        <v>-0.52486557418804092</v>
      </c>
      <c r="R41">
        <v>0.53611792509404899</v>
      </c>
      <c r="S41">
        <v>9.113751274705443</v>
      </c>
      <c r="T41">
        <v>2.210259888524568E-2</v>
      </c>
      <c r="U41">
        <v>9.0916486758201973</v>
      </c>
      <c r="V41">
        <v>-0.1742390710304359</v>
      </c>
      <c r="W41">
        <v>4.6286620780019438</v>
      </c>
      <c r="X41">
        <v>9.4936803620183419E-2</v>
      </c>
      <c r="Y41">
        <v>4.5337252743817604</v>
      </c>
      <c r="Z41">
        <v>0.2539642305991347</v>
      </c>
      <c r="AA41">
        <v>-0.62702615804151873</v>
      </c>
      <c r="AB41">
        <v>-0.36105429762281449</v>
      </c>
      <c r="AC41">
        <v>-0.24320733419896781</v>
      </c>
      <c r="AD41">
        <v>0.3358019679246505</v>
      </c>
      <c r="AE41">
        <v>0.40353654290200092</v>
      </c>
      <c r="AF41">
        <v>-0.3156500079199927</v>
      </c>
      <c r="AG41">
        <v>-0.2990049282033182</v>
      </c>
      <c r="AH41">
        <v>-0.37165869712696709</v>
      </c>
      <c r="AI41">
        <v>-0.72152116069185557</v>
      </c>
      <c r="AJ41">
        <v>-0.28110293887161081</v>
      </c>
      <c r="AK41">
        <v>-0.98363929594596322</v>
      </c>
      <c r="AL41">
        <v>-0.68045939303953573</v>
      </c>
      <c r="AM41">
        <v>-0.189463582162052</v>
      </c>
      <c r="AN41">
        <v>-0.27002137835845091</v>
      </c>
      <c r="AO41">
        <v>-0.16821776158850019</v>
      </c>
      <c r="AP41">
        <v>-0.26014618853133642</v>
      </c>
      <c r="AQ41">
        <v>-0.52486557418804092</v>
      </c>
    </row>
    <row r="42" spans="1:43" x14ac:dyDescent="0.3">
      <c r="A42">
        <v>288</v>
      </c>
      <c r="B42">
        <v>2023</v>
      </c>
      <c r="C42" t="s">
        <v>93</v>
      </c>
      <c r="D42">
        <v>11.66666666666667</v>
      </c>
      <c r="E42">
        <v>10.462568519829199</v>
      </c>
      <c r="F42">
        <v>1.204098146837467</v>
      </c>
      <c r="G42">
        <v>-0.29242555243466278</v>
      </c>
      <c r="H42">
        <v>-0.5211394163037234</v>
      </c>
      <c r="I42">
        <v>-0.30457687311065468</v>
      </c>
      <c r="J42">
        <v>6.2859680240118038E-2</v>
      </c>
      <c r="K42">
        <v>0.30213081591089108</v>
      </c>
      <c r="L42">
        <v>-0.59654359447244731</v>
      </c>
      <c r="M42">
        <v>-0.43675261487878958</v>
      </c>
      <c r="N42">
        <v>0.47201055331560898</v>
      </c>
      <c r="O42">
        <v>0.2161918270444359</v>
      </c>
      <c r="P42">
        <v>0.46587604724124959</v>
      </c>
      <c r="Q42">
        <v>-0.52486557418804092</v>
      </c>
      <c r="R42">
        <v>-0.29242555243466278</v>
      </c>
      <c r="S42">
        <v>9.113751274705443</v>
      </c>
      <c r="T42">
        <v>2.210259888524568E-2</v>
      </c>
      <c r="U42">
        <v>9.0916486758201973</v>
      </c>
      <c r="V42">
        <v>-0.5211394163037234</v>
      </c>
      <c r="W42">
        <v>4.6286620780019438</v>
      </c>
      <c r="X42">
        <v>9.4936803620183419E-2</v>
      </c>
      <c r="Y42">
        <v>4.5337252743817604</v>
      </c>
      <c r="Z42">
        <v>-0.30457687311065468</v>
      </c>
      <c r="AA42">
        <v>-6.2859680240118038E-2</v>
      </c>
      <c r="AB42">
        <v>-0.36105429762281449</v>
      </c>
      <c r="AC42">
        <v>-0.24320733419896781</v>
      </c>
      <c r="AD42">
        <v>-0.32236402335929881</v>
      </c>
      <c r="AE42">
        <v>-3.8086375711894847E-2</v>
      </c>
      <c r="AF42">
        <v>-0.73556504518429433</v>
      </c>
      <c r="AG42">
        <v>-0.55356202077061101</v>
      </c>
      <c r="AH42">
        <v>-0.75129055397816502</v>
      </c>
      <c r="AI42">
        <v>-1.1783935478304199</v>
      </c>
      <c r="AJ42">
        <v>-0.17444729402090081</v>
      </c>
      <c r="AK42">
        <v>-0.96845912889089336</v>
      </c>
      <c r="AL42">
        <v>-0.16735142172457459</v>
      </c>
      <c r="AM42">
        <v>-0.47201055331560898</v>
      </c>
      <c r="AN42">
        <v>0.2161918270444359</v>
      </c>
      <c r="AO42">
        <v>0.50769853170741974</v>
      </c>
      <c r="AP42">
        <v>0.42405356277507938</v>
      </c>
      <c r="AQ42">
        <v>-0.52486557418804092</v>
      </c>
    </row>
    <row r="43" spans="1:43" x14ac:dyDescent="0.3">
      <c r="A43">
        <v>293</v>
      </c>
      <c r="B43">
        <v>2023</v>
      </c>
      <c r="C43" t="s">
        <v>94</v>
      </c>
      <c r="D43">
        <v>14.33333333333333</v>
      </c>
      <c r="E43">
        <v>12.6659195866632</v>
      </c>
      <c r="F43">
        <v>1.667413746670132</v>
      </c>
      <c r="G43">
        <v>-0.10986736314475</v>
      </c>
      <c r="H43">
        <v>0.43978060303931199</v>
      </c>
      <c r="I43">
        <v>-0.34330320461933772</v>
      </c>
      <c r="J43">
        <v>0.24968139652795421</v>
      </c>
      <c r="K43">
        <v>0.30213081591089108</v>
      </c>
      <c r="L43">
        <v>-0.51966761124617367</v>
      </c>
      <c r="M43">
        <v>-0.24312232577040169</v>
      </c>
      <c r="N43">
        <v>0.71174485165229007</v>
      </c>
      <c r="O43">
        <v>-5.068090448417939E-3</v>
      </c>
      <c r="P43">
        <v>0.7719421888972966</v>
      </c>
      <c r="Q43">
        <v>-0.52486557418804092</v>
      </c>
      <c r="R43">
        <v>-0.10986736314475</v>
      </c>
      <c r="S43">
        <v>9.113751274705443</v>
      </c>
      <c r="T43">
        <v>2.210259888524568E-2</v>
      </c>
      <c r="U43">
        <v>9.0916486758201973</v>
      </c>
      <c r="V43">
        <v>0.43978060303931199</v>
      </c>
      <c r="W43">
        <v>4.6286620780019438</v>
      </c>
      <c r="X43">
        <v>9.4936803620183419E-2</v>
      </c>
      <c r="Y43">
        <v>4.5337252743817604</v>
      </c>
      <c r="Z43">
        <v>-0.34330320461933772</v>
      </c>
      <c r="AA43">
        <v>-0.24968139652795421</v>
      </c>
      <c r="AB43">
        <v>-0.36105429762281449</v>
      </c>
      <c r="AC43">
        <v>-0.24320733419896781</v>
      </c>
      <c r="AD43">
        <v>9.6787491505006852E-3</v>
      </c>
      <c r="AE43">
        <v>-0.91211461291412077</v>
      </c>
      <c r="AF43">
        <v>-0.57535856240652272</v>
      </c>
      <c r="AG43">
        <v>-0.17615883580235081</v>
      </c>
      <c r="AH43">
        <v>-0.64203661676094448</v>
      </c>
      <c r="AI43">
        <v>-0.82201578874360381</v>
      </c>
      <c r="AJ43">
        <v>7.3221347440463075E-2</v>
      </c>
      <c r="AK43">
        <v>-0.83068261268455412</v>
      </c>
      <c r="AL43">
        <v>2.809428793288582E-2</v>
      </c>
      <c r="AM43">
        <v>-0.71174485165229007</v>
      </c>
      <c r="AN43">
        <v>-5.068090448417939E-3</v>
      </c>
      <c r="AO43">
        <v>0.60731080506088397</v>
      </c>
      <c r="AP43">
        <v>0.93657357273370934</v>
      </c>
      <c r="AQ43">
        <v>-0.52486557418804092</v>
      </c>
    </row>
    <row r="44" spans="1:43" x14ac:dyDescent="0.3">
      <c r="A44">
        <v>298</v>
      </c>
      <c r="B44">
        <v>2023</v>
      </c>
      <c r="C44" t="s">
        <v>96</v>
      </c>
      <c r="D44">
        <v>14.33333333333333</v>
      </c>
      <c r="E44">
        <v>13.85456381268073</v>
      </c>
      <c r="F44">
        <v>0.47876952065259643</v>
      </c>
      <c r="G44">
        <v>0.6654668814545952</v>
      </c>
      <c r="H44">
        <v>-0.21176964510811011</v>
      </c>
      <c r="I44">
        <v>-0.66110361843185683</v>
      </c>
      <c r="J44">
        <v>-0.43426313834606017</v>
      </c>
      <c r="K44">
        <v>-1.3874815230281119</v>
      </c>
      <c r="L44">
        <v>1.008123537685317</v>
      </c>
      <c r="M44">
        <v>-7.2600389618572972E-2</v>
      </c>
      <c r="N44">
        <v>-0.1653731843643228</v>
      </c>
      <c r="O44">
        <v>-7.3407676910327402E-2</v>
      </c>
      <c r="P44">
        <v>0.65892917400512063</v>
      </c>
      <c r="Q44">
        <v>-0.52486557418804092</v>
      </c>
      <c r="R44">
        <v>0.6654668814545952</v>
      </c>
      <c r="S44">
        <v>9.113751274705443</v>
      </c>
      <c r="T44">
        <v>2.210259888524568E-2</v>
      </c>
      <c r="U44">
        <v>9.0916486758201973</v>
      </c>
      <c r="V44">
        <v>-0.21176964510811011</v>
      </c>
      <c r="W44">
        <v>4.6286620780019438</v>
      </c>
      <c r="X44">
        <v>9.4936803620183419E-2</v>
      </c>
      <c r="Y44">
        <v>4.5337252743817604</v>
      </c>
      <c r="Z44">
        <v>-0.66110361843185683</v>
      </c>
      <c r="AA44">
        <v>0.43426313834606017</v>
      </c>
      <c r="AB44">
        <v>2.7696665199223802</v>
      </c>
      <c r="AC44">
        <v>5.2965261338439604E-3</v>
      </c>
      <c r="AD44">
        <v>1.177680354627755</v>
      </c>
      <c r="AE44">
        <v>1.380278446603207</v>
      </c>
      <c r="AF44">
        <v>0.62061323607823848</v>
      </c>
      <c r="AG44">
        <v>0.52721788793577129</v>
      </c>
      <c r="AH44">
        <v>0.90607046982077211</v>
      </c>
      <c r="AI44">
        <v>1.4368808310461549</v>
      </c>
      <c r="AJ44">
        <v>-4.3307963780354737E-2</v>
      </c>
      <c r="AK44">
        <v>-0.166302801301529</v>
      </c>
      <c r="AL44">
        <v>-8.1904037738351494E-3</v>
      </c>
      <c r="AM44">
        <v>0.1653731843643228</v>
      </c>
      <c r="AN44">
        <v>-7.3407676910327402E-2</v>
      </c>
      <c r="AO44">
        <v>0.46124757680407158</v>
      </c>
      <c r="AP44">
        <v>0.85661077120616957</v>
      </c>
      <c r="AQ44">
        <v>-0.52486557418804092</v>
      </c>
    </row>
    <row r="45" spans="1:43" x14ac:dyDescent="0.3">
      <c r="A45">
        <v>299</v>
      </c>
      <c r="B45">
        <v>2023</v>
      </c>
      <c r="C45" t="s">
        <v>97</v>
      </c>
      <c r="D45">
        <v>1.3333333333333319</v>
      </c>
      <c r="E45">
        <v>-0.76448354707253174</v>
      </c>
      <c r="F45">
        <v>2.0978168804058641</v>
      </c>
      <c r="G45">
        <v>-0.67638662759274615</v>
      </c>
      <c r="H45">
        <v>-6.9806121073018521E-2</v>
      </c>
      <c r="I45">
        <v>-4</v>
      </c>
      <c r="J45">
        <v>-6.8123118875173612</v>
      </c>
      <c r="K45">
        <v>-2.450093175317039</v>
      </c>
      <c r="L45">
        <v>-2.0267007442564942</v>
      </c>
      <c r="M45">
        <v>-1.161225194104005</v>
      </c>
      <c r="N45">
        <v>-2.2350228024650352</v>
      </c>
      <c r="O45">
        <v>0.54676552662865208</v>
      </c>
      <c r="P45">
        <v>0.2471341708370372</v>
      </c>
      <c r="Q45">
        <v>-0.52486557418804092</v>
      </c>
      <c r="R45">
        <v>-0.67638662759274615</v>
      </c>
      <c r="S45">
        <v>9.113751274705443</v>
      </c>
      <c r="T45">
        <v>2.210259888524568E-2</v>
      </c>
      <c r="U45">
        <v>9.0916486758201973</v>
      </c>
      <c r="V45">
        <v>-6.9806121073018521E-2</v>
      </c>
      <c r="W45">
        <v>4.6286620780019438</v>
      </c>
      <c r="X45">
        <v>9.4936803620183419E-2</v>
      </c>
      <c r="Y45">
        <v>4.5337252743817604</v>
      </c>
      <c r="Z45">
        <v>-4</v>
      </c>
      <c r="AA45">
        <v>6.8123118875173612</v>
      </c>
      <c r="AB45">
        <v>2.7696665199223802</v>
      </c>
      <c r="AC45">
        <v>2.1305198307116981</v>
      </c>
      <c r="AD45">
        <v>-2.0697213550309108</v>
      </c>
      <c r="AE45">
        <v>-1.3689574016485591</v>
      </c>
      <c r="AF45">
        <v>-1.98107623109315</v>
      </c>
      <c r="AG45">
        <v>-2.5085476342758701</v>
      </c>
      <c r="AH45">
        <v>-2.4983380961393831</v>
      </c>
      <c r="AI45">
        <v>-1.7335637473510941</v>
      </c>
      <c r="AJ45">
        <v>-2.1736141332984791</v>
      </c>
      <c r="AK45">
        <v>-1.446386888401866</v>
      </c>
      <c r="AL45">
        <v>0.13632543938832961</v>
      </c>
      <c r="AM45">
        <v>2.2350228024650352</v>
      </c>
      <c r="AN45">
        <v>0.54676552662865208</v>
      </c>
      <c r="AO45">
        <v>-0.41347006998694352</v>
      </c>
      <c r="AP45">
        <v>0.90773841166101799</v>
      </c>
      <c r="AQ45">
        <v>-0.52486557418804092</v>
      </c>
    </row>
    <row r="46" spans="1:43" x14ac:dyDescent="0.3">
      <c r="A46">
        <v>316</v>
      </c>
      <c r="B46">
        <v>2023</v>
      </c>
      <c r="C46" t="s">
        <v>99</v>
      </c>
      <c r="D46">
        <v>7.3333333333333339</v>
      </c>
      <c r="E46">
        <v>8.7987983203141678</v>
      </c>
      <c r="F46">
        <v>-1.4654649869808341</v>
      </c>
      <c r="G46">
        <v>0.69425303317161624</v>
      </c>
      <c r="H46">
        <v>-1.4912723234398899</v>
      </c>
      <c r="I46">
        <v>-0.93576805081193071</v>
      </c>
      <c r="J46">
        <v>0.88560405028508937</v>
      </c>
      <c r="K46">
        <v>-2.6576951119746899</v>
      </c>
      <c r="L46">
        <v>0.78029593422233001</v>
      </c>
      <c r="M46">
        <v>-0.34348957053517259</v>
      </c>
      <c r="N46">
        <v>-1.4843424523599109</v>
      </c>
      <c r="O46">
        <v>-0.71208863330136463</v>
      </c>
      <c r="P46">
        <v>0.52699952710628484</v>
      </c>
      <c r="Q46">
        <v>-0.52486557418804092</v>
      </c>
      <c r="R46">
        <v>0.69425303317161624</v>
      </c>
      <c r="S46">
        <v>9.113751274705443</v>
      </c>
      <c r="T46">
        <v>2.210259888524568E-2</v>
      </c>
      <c r="U46">
        <v>9.0916486758201973</v>
      </c>
      <c r="V46">
        <v>-1.4912723234398899</v>
      </c>
      <c r="W46">
        <v>4.6286620780019438</v>
      </c>
      <c r="X46">
        <v>9.4936803620183419E-2</v>
      </c>
      <c r="Y46">
        <v>4.5337252743817604</v>
      </c>
      <c r="Z46">
        <v>-0.93576805081193071</v>
      </c>
      <c r="AA46">
        <v>-0.88560405028508937</v>
      </c>
      <c r="AB46">
        <v>2.7696665199223802</v>
      </c>
      <c r="AC46">
        <v>2.545723704027</v>
      </c>
      <c r="AD46">
        <v>0.92280237494333317</v>
      </c>
      <c r="AE46">
        <v>1.495432263110581</v>
      </c>
      <c r="AF46">
        <v>0.33755508057318562</v>
      </c>
      <c r="AG46">
        <v>0.1706675282640065</v>
      </c>
      <c r="AH46">
        <v>0.66563333129609115</v>
      </c>
      <c r="AI46">
        <v>1.0896850271467831</v>
      </c>
      <c r="AJ46">
        <v>0.37231324624056189</v>
      </c>
      <c r="AK46">
        <v>-0.2284259849562438</v>
      </c>
      <c r="AL46">
        <v>-1.1743559728898361</v>
      </c>
      <c r="AM46">
        <v>1.4843424523599109</v>
      </c>
      <c r="AN46">
        <v>-0.71208863330136463</v>
      </c>
      <c r="AO46">
        <v>0.54194696481441973</v>
      </c>
      <c r="AP46">
        <v>0.51205208939814995</v>
      </c>
      <c r="AQ46">
        <v>-0.52486557418804092</v>
      </c>
    </row>
    <row r="47" spans="1:43" x14ac:dyDescent="0.3">
      <c r="A47">
        <v>339</v>
      </c>
      <c r="B47">
        <v>2023</v>
      </c>
      <c r="C47" t="s">
        <v>100</v>
      </c>
      <c r="D47">
        <v>6</v>
      </c>
      <c r="E47">
        <v>5.2679233644783059</v>
      </c>
      <c r="F47">
        <v>0.73207663552169411</v>
      </c>
      <c r="G47">
        <v>-0.15920994115066661</v>
      </c>
      <c r="H47">
        <v>-1.903313043942032</v>
      </c>
      <c r="I47">
        <v>0.1164355448580391</v>
      </c>
      <c r="J47">
        <v>0.52607908891580979</v>
      </c>
      <c r="K47">
        <v>-3.5248968317784541</v>
      </c>
      <c r="L47">
        <v>-0.2082707347418232</v>
      </c>
      <c r="M47">
        <v>-0.18312824707916281</v>
      </c>
      <c r="N47">
        <v>-0.26241709490900111</v>
      </c>
      <c r="O47">
        <v>-0.61634855796286359</v>
      </c>
      <c r="P47">
        <v>0.13336895585515879</v>
      </c>
      <c r="Q47">
        <v>-0.52486557418804092</v>
      </c>
      <c r="R47">
        <v>-0.15920994115066661</v>
      </c>
      <c r="S47">
        <v>9.113751274705443</v>
      </c>
      <c r="T47">
        <v>2.210259888524568E-2</v>
      </c>
      <c r="U47">
        <v>9.0916486758201973</v>
      </c>
      <c r="V47">
        <v>-1.903313043942032</v>
      </c>
      <c r="W47">
        <v>4.6286620780019438</v>
      </c>
      <c r="X47">
        <v>9.4936803620183419E-2</v>
      </c>
      <c r="Y47">
        <v>4.5337252743817604</v>
      </c>
      <c r="Z47">
        <v>0.1164355448580391</v>
      </c>
      <c r="AA47">
        <v>-0.52607908891580979</v>
      </c>
      <c r="AB47">
        <v>2.7696665199223802</v>
      </c>
      <c r="AC47">
        <v>4.2801271436345276</v>
      </c>
      <c r="AD47">
        <v>-1.9504377975757381E-2</v>
      </c>
      <c r="AE47">
        <v>0.90928796550577051</v>
      </c>
      <c r="AF47">
        <v>-0.42421768739261878</v>
      </c>
      <c r="AG47">
        <v>-0.89569751085704674</v>
      </c>
      <c r="AH47">
        <v>-0.55790059639800715</v>
      </c>
      <c r="AI47">
        <v>-0.26159220133327937</v>
      </c>
      <c r="AJ47">
        <v>0.14491819892492741</v>
      </c>
      <c r="AK47">
        <v>-0.49803895199954767</v>
      </c>
      <c r="AL47">
        <v>-0.19626398816286819</v>
      </c>
      <c r="AM47">
        <v>0.26241709490900111</v>
      </c>
      <c r="AN47">
        <v>-0.61634855796286359</v>
      </c>
      <c r="AO47">
        <v>0.22470396886696711</v>
      </c>
      <c r="AP47">
        <v>4.2033942843350533E-2</v>
      </c>
      <c r="AQ47">
        <v>-0.52486557418804092</v>
      </c>
    </row>
    <row r="48" spans="1:43" x14ac:dyDescent="0.3">
      <c r="A48">
        <v>343</v>
      </c>
      <c r="B48">
        <v>2023</v>
      </c>
      <c r="C48" t="s">
        <v>101</v>
      </c>
      <c r="D48">
        <v>8.6666666666666661</v>
      </c>
      <c r="E48">
        <v>9.0924703054835483</v>
      </c>
      <c r="F48">
        <v>-0.42580363881688221</v>
      </c>
      <c r="G48">
        <v>-0.13900941683569989</v>
      </c>
      <c r="H48">
        <v>-0.88925391709386814</v>
      </c>
      <c r="I48">
        <v>-0.9049441612458311</v>
      </c>
      <c r="J48">
        <v>-0.1725372086037669</v>
      </c>
      <c r="K48">
        <v>-1.8860644374931359</v>
      </c>
      <c r="L48">
        <v>1.8364471012776329E-2</v>
      </c>
      <c r="M48">
        <v>-0.17339570069633239</v>
      </c>
      <c r="N48">
        <v>-0.23602381835090069</v>
      </c>
      <c r="O48">
        <v>2.0612594265555961E-2</v>
      </c>
      <c r="P48">
        <v>0.58296472790913301</v>
      </c>
      <c r="Q48">
        <v>-0.52486557418804092</v>
      </c>
      <c r="R48">
        <v>-0.13900941683569989</v>
      </c>
      <c r="S48">
        <v>9.113751274705443</v>
      </c>
      <c r="T48">
        <v>2.210259888524568E-2</v>
      </c>
      <c r="U48">
        <v>9.0916486758201973</v>
      </c>
      <c r="V48">
        <v>-0.88925391709386814</v>
      </c>
      <c r="W48">
        <v>4.6286620780019438</v>
      </c>
      <c r="X48">
        <v>9.4936803620183419E-2</v>
      </c>
      <c r="Y48">
        <v>4.5337252743817604</v>
      </c>
      <c r="Z48">
        <v>-0.9049441612458311</v>
      </c>
      <c r="AA48">
        <v>0.1725372086037669</v>
      </c>
      <c r="AB48">
        <v>2.7696665199223802</v>
      </c>
      <c r="AC48">
        <v>1.0024623550638909</v>
      </c>
      <c r="AD48">
        <v>0.38653445297263112</v>
      </c>
      <c r="AE48">
        <v>0.53218102701859349</v>
      </c>
      <c r="AF48">
        <v>-0.163382617067476</v>
      </c>
      <c r="AG48">
        <v>-0.1538873015156253</v>
      </c>
      <c r="AH48">
        <v>-0.2087927056274875</v>
      </c>
      <c r="AI48">
        <v>-0.28246602970397777</v>
      </c>
      <c r="AJ48">
        <v>0.71275425547385407</v>
      </c>
      <c r="AK48">
        <v>-0.13973750895515699</v>
      </c>
      <c r="AL48">
        <v>-1.093203848607694</v>
      </c>
      <c r="AM48">
        <v>0.23602381835090069</v>
      </c>
      <c r="AN48">
        <v>2.0612594265555961E-2</v>
      </c>
      <c r="AO48">
        <v>0.6018097350529823</v>
      </c>
      <c r="AP48">
        <v>0.56411972076528372</v>
      </c>
      <c r="AQ48">
        <v>-0.52486557418804092</v>
      </c>
    </row>
    <row r="49" spans="1:43" x14ac:dyDescent="0.3">
      <c r="A49">
        <v>366</v>
      </c>
      <c r="B49">
        <v>2023</v>
      </c>
      <c r="C49" t="s">
        <v>102</v>
      </c>
      <c r="D49">
        <v>2</v>
      </c>
      <c r="E49">
        <v>3.0118472310639248</v>
      </c>
      <c r="F49">
        <v>-1.011847231063925</v>
      </c>
      <c r="G49">
        <v>-0.41383991950913179</v>
      </c>
      <c r="H49">
        <v>-1.840092051344165</v>
      </c>
      <c r="I49">
        <v>-1.292644075335015</v>
      </c>
      <c r="J49">
        <v>-4.3918041706039812</v>
      </c>
      <c r="K49">
        <v>-3.1881896902688212</v>
      </c>
      <c r="L49">
        <v>-0.41056942813784292</v>
      </c>
      <c r="M49">
        <v>-0.37679390550446568</v>
      </c>
      <c r="N49">
        <v>-1.1164201771399931</v>
      </c>
      <c r="O49">
        <v>0.27761340428077841</v>
      </c>
      <c r="P49">
        <v>0.64143456816214695</v>
      </c>
      <c r="Q49">
        <v>-0.52486557418804092</v>
      </c>
      <c r="R49">
        <v>-0.41383991950913179</v>
      </c>
      <c r="S49">
        <v>9.113751274705443</v>
      </c>
      <c r="T49">
        <v>2.210259888524568E-2</v>
      </c>
      <c r="U49">
        <v>9.0916486758201973</v>
      </c>
      <c r="V49">
        <v>-1.840092051344165</v>
      </c>
      <c r="W49">
        <v>4.6286620780019438</v>
      </c>
      <c r="X49">
        <v>9.4936803620183419E-2</v>
      </c>
      <c r="Y49">
        <v>4.5337252743817604</v>
      </c>
      <c r="Z49">
        <v>-1.292644075335015</v>
      </c>
      <c r="AA49">
        <v>4.3918041706039812</v>
      </c>
      <c r="AB49">
        <v>2.7696665199223802</v>
      </c>
      <c r="AC49">
        <v>3.6067128606152621</v>
      </c>
      <c r="AD49">
        <v>-3.3582549827803808E-2</v>
      </c>
      <c r="AE49">
        <v>0.32060341285474958</v>
      </c>
      <c r="AF49">
        <v>-0.77274803312202689</v>
      </c>
      <c r="AG49">
        <v>-1.1704795892899511</v>
      </c>
      <c r="AH49">
        <v>-0.32812571767358012</v>
      </c>
      <c r="AI49">
        <v>-0.47908409176844502</v>
      </c>
      <c r="AJ49">
        <v>-0.60174649523082824</v>
      </c>
      <c r="AK49">
        <v>-0.16968533852575651</v>
      </c>
      <c r="AL49">
        <v>-0.35894988275681239</v>
      </c>
      <c r="AM49">
        <v>1.1164201771399931</v>
      </c>
      <c r="AN49">
        <v>0.27761340428077841</v>
      </c>
      <c r="AO49">
        <v>0.75956446024927082</v>
      </c>
      <c r="AP49">
        <v>0.52330467607502296</v>
      </c>
      <c r="AQ49">
        <v>-0.52486557418804092</v>
      </c>
    </row>
    <row r="50" spans="1:43" x14ac:dyDescent="0.3">
      <c r="A50">
        <v>369</v>
      </c>
      <c r="B50">
        <v>2023</v>
      </c>
      <c r="C50" t="s">
        <v>104</v>
      </c>
      <c r="D50">
        <v>12</v>
      </c>
      <c r="E50">
        <v>11.74931286179387</v>
      </c>
      <c r="F50">
        <v>0.25068713820612842</v>
      </c>
      <c r="G50">
        <v>0.48571197667314892</v>
      </c>
      <c r="H50">
        <v>-0.80485893316625357</v>
      </c>
      <c r="I50">
        <v>-1.333378762254521</v>
      </c>
      <c r="J50">
        <v>0.38716477965399049</v>
      </c>
      <c r="K50">
        <v>0.30213081591089108</v>
      </c>
      <c r="L50">
        <v>-0.1523903445680613</v>
      </c>
      <c r="M50">
        <v>-0.15132856210031689</v>
      </c>
      <c r="N50">
        <v>-5.9633383753660292E-2</v>
      </c>
      <c r="O50">
        <v>1.046934822738925</v>
      </c>
      <c r="P50">
        <v>0.52442621332429606</v>
      </c>
      <c r="Q50">
        <v>-0.52486557418804092</v>
      </c>
      <c r="R50">
        <v>0.48571197667314892</v>
      </c>
      <c r="S50">
        <v>9.113751274705443</v>
      </c>
      <c r="T50">
        <v>2.210259888524568E-2</v>
      </c>
      <c r="U50">
        <v>9.0916486758201973</v>
      </c>
      <c r="V50">
        <v>-0.80485893316625357</v>
      </c>
      <c r="W50">
        <v>4.6286620780019438</v>
      </c>
      <c r="X50">
        <v>9.4936803620183419E-2</v>
      </c>
      <c r="Y50">
        <v>4.5337252743817604</v>
      </c>
      <c r="Z50">
        <v>-1.333378762254521</v>
      </c>
      <c r="AA50">
        <v>-0.38716477965399049</v>
      </c>
      <c r="AB50">
        <v>-0.36105429762281449</v>
      </c>
      <c r="AC50">
        <v>-0.24320733419896781</v>
      </c>
      <c r="AD50">
        <v>0.34495899925176049</v>
      </c>
      <c r="AE50">
        <v>0.36785263805107171</v>
      </c>
      <c r="AF50">
        <v>-0.1790855651208686</v>
      </c>
      <c r="AG50">
        <v>-0.51656343154618323</v>
      </c>
      <c r="AH50">
        <v>-0.46572287569032278</v>
      </c>
      <c r="AI50">
        <v>-0.46578183235382542</v>
      </c>
      <c r="AJ50">
        <v>-0.3174149758520331</v>
      </c>
      <c r="AK50">
        <v>0.15041818415723601</v>
      </c>
      <c r="AL50">
        <v>-0.28698889460615368</v>
      </c>
      <c r="AM50">
        <v>5.9633383753660292E-2</v>
      </c>
      <c r="AN50">
        <v>1.046934822738925</v>
      </c>
      <c r="AO50">
        <v>0.48502896582631733</v>
      </c>
      <c r="AP50">
        <v>0.56382346082227486</v>
      </c>
      <c r="AQ50">
        <v>-0.52486557418804092</v>
      </c>
    </row>
    <row r="51" spans="1:43" x14ac:dyDescent="0.3">
      <c r="A51">
        <v>419</v>
      </c>
      <c r="B51">
        <v>2023</v>
      </c>
      <c r="C51" t="s">
        <v>105</v>
      </c>
      <c r="D51">
        <v>8.6666666666666661</v>
      </c>
      <c r="E51">
        <v>9.8604277838178227</v>
      </c>
      <c r="F51">
        <v>-1.1937611171511571</v>
      </c>
      <c r="G51">
        <v>0.87279748302931315</v>
      </c>
      <c r="H51">
        <v>-0.48519541192477372</v>
      </c>
      <c r="I51">
        <v>-0.44188725935057388</v>
      </c>
      <c r="J51">
        <v>0.63776764356746352</v>
      </c>
      <c r="K51">
        <v>0.30213081591089108</v>
      </c>
      <c r="L51">
        <v>-0.15604792021964861</v>
      </c>
      <c r="M51">
        <v>-1.52856257099629</v>
      </c>
      <c r="N51">
        <v>-1.8050346537390169</v>
      </c>
      <c r="O51">
        <v>0.62156130594593051</v>
      </c>
      <c r="P51">
        <v>-0.16982780393636979</v>
      </c>
      <c r="Q51">
        <v>-0.52486557418804092</v>
      </c>
      <c r="R51">
        <v>0.87279748302931315</v>
      </c>
      <c r="S51">
        <v>9.113751274705443</v>
      </c>
      <c r="T51">
        <v>2.210259888524568E-2</v>
      </c>
      <c r="U51">
        <v>9.0916486758201973</v>
      </c>
      <c r="V51">
        <v>-0.48519541192477372</v>
      </c>
      <c r="W51">
        <v>4.6286620780019438</v>
      </c>
      <c r="X51">
        <v>9.4936803620183419E-2</v>
      </c>
      <c r="Y51">
        <v>4.5337252743817604</v>
      </c>
      <c r="Z51">
        <v>-0.44188725935057388</v>
      </c>
      <c r="AA51">
        <v>-0.63776764356746352</v>
      </c>
      <c r="AB51">
        <v>-0.36105429762281449</v>
      </c>
      <c r="AC51">
        <v>-0.24320733419896781</v>
      </c>
      <c r="AD51">
        <v>-1.61051347433561</v>
      </c>
      <c r="AE51">
        <v>-0.64352144955819901</v>
      </c>
      <c r="AF51">
        <v>0.48239998373350812</v>
      </c>
      <c r="AG51">
        <v>0.72607417618737968</v>
      </c>
      <c r="AH51">
        <v>9.8003289044380631E-3</v>
      </c>
      <c r="AI51">
        <v>9.9472913750591738E-2</v>
      </c>
      <c r="AJ51">
        <v>-1.53555976921391</v>
      </c>
      <c r="AK51">
        <v>-0.82202001735421537</v>
      </c>
      <c r="AL51">
        <v>-2.2281079264207451</v>
      </c>
      <c r="AM51">
        <v>1.8050346537390169</v>
      </c>
      <c r="AN51">
        <v>0.62156130594593051</v>
      </c>
      <c r="AO51">
        <v>-5.8609909396173603E-2</v>
      </c>
      <c r="AP51">
        <v>-0.28104569847656602</v>
      </c>
      <c r="AQ51">
        <v>-0.52486557418804092</v>
      </c>
    </row>
    <row r="52" spans="1:43" x14ac:dyDescent="0.3">
      <c r="A52">
        <v>423</v>
      </c>
      <c r="B52">
        <v>2023</v>
      </c>
      <c r="C52" t="s">
        <v>107</v>
      </c>
      <c r="D52">
        <v>13.33333333333333</v>
      </c>
      <c r="E52">
        <v>12.508730267755</v>
      </c>
      <c r="F52">
        <v>0.8246030655783283</v>
      </c>
      <c r="G52">
        <v>1.042537050211779</v>
      </c>
      <c r="H52">
        <v>-0.64672565185035946</v>
      </c>
      <c r="I52">
        <v>3.7149166030791582E-2</v>
      </c>
      <c r="J52">
        <v>0.43009256372748228</v>
      </c>
      <c r="K52">
        <v>-1.8860644374931359</v>
      </c>
      <c r="L52">
        <v>0.59652394263199471</v>
      </c>
      <c r="M52">
        <v>0.76023726905597844</v>
      </c>
      <c r="N52">
        <v>-0.43288987907795151</v>
      </c>
      <c r="O52">
        <v>-0.77295418362798829</v>
      </c>
      <c r="P52">
        <v>-1.380501415047094</v>
      </c>
      <c r="Q52">
        <v>1.9052497423687671</v>
      </c>
      <c r="R52">
        <v>1.042537050211779</v>
      </c>
      <c r="S52">
        <v>9.113751274705443</v>
      </c>
      <c r="T52">
        <v>2.210259888524568E-2</v>
      </c>
      <c r="U52">
        <v>9.0916486758201973</v>
      </c>
      <c r="V52">
        <v>-0.64672565185035946</v>
      </c>
      <c r="W52">
        <v>4.6286620780019438</v>
      </c>
      <c r="X52">
        <v>9.4936803620183419E-2</v>
      </c>
      <c r="Y52">
        <v>4.5337252743817604</v>
      </c>
      <c r="Z52">
        <v>3.7149166030791582E-2</v>
      </c>
      <c r="AA52">
        <v>-0.43009256372748228</v>
      </c>
      <c r="AB52">
        <v>2.7696665199223802</v>
      </c>
      <c r="AC52">
        <v>1.0024623550638909</v>
      </c>
      <c r="AD52">
        <v>0.82907156095396817</v>
      </c>
      <c r="AE52">
        <v>0.43267186037184302</v>
      </c>
      <c r="AF52">
        <v>0.70879097887197029</v>
      </c>
      <c r="AG52">
        <v>0.56726433119299979</v>
      </c>
      <c r="AH52">
        <v>0.69236821202666388</v>
      </c>
      <c r="AI52">
        <v>0.34897671237452349</v>
      </c>
      <c r="AJ52">
        <v>0.60940653945779999</v>
      </c>
      <c r="AK52">
        <v>1.1756569667297989</v>
      </c>
      <c r="AL52">
        <v>0.49564830098033608</v>
      </c>
      <c r="AM52">
        <v>0.43288987907795151</v>
      </c>
      <c r="AN52">
        <v>-0.77295418362798829</v>
      </c>
      <c r="AO52">
        <v>-1.416358752776689</v>
      </c>
      <c r="AP52">
        <v>-1.3446440773174979</v>
      </c>
      <c r="AQ52">
        <v>1.9052497423687671</v>
      </c>
    </row>
    <row r="53" spans="1:43" x14ac:dyDescent="0.3">
      <c r="A53">
        <v>433</v>
      </c>
      <c r="B53">
        <v>2023</v>
      </c>
      <c r="C53" t="s">
        <v>109</v>
      </c>
      <c r="D53">
        <v>6.6666666666666679</v>
      </c>
      <c r="E53">
        <v>9.0734171279413474</v>
      </c>
      <c r="F53">
        <v>-2.40675046127468</v>
      </c>
      <c r="G53">
        <v>-0.30318014469099303</v>
      </c>
      <c r="H53">
        <v>0.43789323066541952</v>
      </c>
      <c r="I53">
        <v>-0.6304107085664632</v>
      </c>
      <c r="J53">
        <v>0.36186600557334597</v>
      </c>
      <c r="K53">
        <v>0.30213081591089108</v>
      </c>
      <c r="L53">
        <v>-1.836940170994326</v>
      </c>
      <c r="M53">
        <v>0.37255262043736792</v>
      </c>
      <c r="N53">
        <v>0.4437280738038763</v>
      </c>
      <c r="O53">
        <v>9.8799818221529719E-3</v>
      </c>
      <c r="P53">
        <v>1.009086208113406</v>
      </c>
      <c r="Q53">
        <v>-0.52486557418804092</v>
      </c>
      <c r="R53">
        <v>-0.30318014469099303</v>
      </c>
      <c r="S53">
        <v>9.113751274705443</v>
      </c>
      <c r="T53">
        <v>2.210259888524568E-2</v>
      </c>
      <c r="U53">
        <v>9.0916486758201973</v>
      </c>
      <c r="V53">
        <v>0.43789323066541952</v>
      </c>
      <c r="W53">
        <v>4.6286620780019438</v>
      </c>
      <c r="X53">
        <v>9.4936803620183419E-2</v>
      </c>
      <c r="Y53">
        <v>4.5337252743817604</v>
      </c>
      <c r="Z53">
        <v>-0.6304107085664632</v>
      </c>
      <c r="AA53">
        <v>-0.36186600557334597</v>
      </c>
      <c r="AB53">
        <v>-0.36105429762281449</v>
      </c>
      <c r="AC53">
        <v>-0.24320733419896781</v>
      </c>
      <c r="AD53">
        <v>-1.2893659541853431</v>
      </c>
      <c r="AE53">
        <v>-2.7180241625704151</v>
      </c>
      <c r="AF53">
        <v>-1.8757845507107931</v>
      </c>
      <c r="AG53">
        <v>-1.806832430357602</v>
      </c>
      <c r="AH53">
        <v>-1.7431987182974431</v>
      </c>
      <c r="AI53">
        <v>-1.5884352098443579</v>
      </c>
      <c r="AJ53">
        <v>-0.37329892510416718</v>
      </c>
      <c r="AK53">
        <v>0.87617867102380365</v>
      </c>
      <c r="AL53">
        <v>0.61477811539246729</v>
      </c>
      <c r="AM53">
        <v>-0.4437280738038763</v>
      </c>
      <c r="AN53">
        <v>9.8799818221529719E-3</v>
      </c>
      <c r="AO53">
        <v>0.87737154603407319</v>
      </c>
      <c r="AP53">
        <v>1.1408008701927379</v>
      </c>
      <c r="AQ53">
        <v>-0.52486557418804092</v>
      </c>
    </row>
    <row r="54" spans="1:43" x14ac:dyDescent="0.3">
      <c r="A54">
        <v>436</v>
      </c>
      <c r="B54">
        <v>2023</v>
      </c>
      <c r="C54" t="s">
        <v>110</v>
      </c>
      <c r="D54">
        <v>18.333333333333329</v>
      </c>
      <c r="E54">
        <v>16.600029404921941</v>
      </c>
      <c r="F54">
        <v>1.733303928411392</v>
      </c>
      <c r="G54">
        <v>1.3119534870175309</v>
      </c>
      <c r="H54">
        <v>0.77176128300182367</v>
      </c>
      <c r="I54">
        <v>0.30207744065840098</v>
      </c>
      <c r="J54">
        <v>0.47572956795138982</v>
      </c>
      <c r="K54">
        <v>0.30213081591089108</v>
      </c>
      <c r="L54">
        <v>0.40551721002007213</v>
      </c>
      <c r="M54">
        <v>5.5545144850024687E-2</v>
      </c>
      <c r="N54">
        <v>-9.1110838848742007E-2</v>
      </c>
      <c r="O54">
        <v>0.70398259716791933</v>
      </c>
      <c r="P54">
        <v>1.0841796455824</v>
      </c>
      <c r="Q54">
        <v>-0.52486557418804092</v>
      </c>
      <c r="R54">
        <v>1.3119534870175309</v>
      </c>
      <c r="S54">
        <v>9.113751274705443</v>
      </c>
      <c r="T54">
        <v>2.210259888524568E-2</v>
      </c>
      <c r="U54">
        <v>9.0916486758201973</v>
      </c>
      <c r="V54">
        <v>0.77176128300182367</v>
      </c>
      <c r="W54">
        <v>4.6286620780019438</v>
      </c>
      <c r="X54">
        <v>9.4936803620183419E-2</v>
      </c>
      <c r="Y54">
        <v>4.5337252743817604</v>
      </c>
      <c r="Z54">
        <v>0.30207744065840098</v>
      </c>
      <c r="AA54">
        <v>-0.47572956795138982</v>
      </c>
      <c r="AB54">
        <v>-0.36105429762281449</v>
      </c>
      <c r="AC54">
        <v>-0.24320733419896781</v>
      </c>
      <c r="AD54">
        <v>0.30688181083531257</v>
      </c>
      <c r="AE54">
        <v>-1.295217804786075</v>
      </c>
      <c r="AF54">
        <v>1.192894661041481</v>
      </c>
      <c r="AG54">
        <v>0.89313727690487477</v>
      </c>
      <c r="AH54">
        <v>0.59009201292359192</v>
      </c>
      <c r="AI54">
        <v>0.74531530320124761</v>
      </c>
      <c r="AJ54">
        <v>-0.23481699525336311</v>
      </c>
      <c r="AK54">
        <v>0.40196345236869052</v>
      </c>
      <c r="AL54">
        <v>-5.1102256525327537E-4</v>
      </c>
      <c r="AM54">
        <v>9.1110838848742007E-2</v>
      </c>
      <c r="AN54">
        <v>0.70398259716791933</v>
      </c>
      <c r="AO54">
        <v>0.91271920395010653</v>
      </c>
      <c r="AP54">
        <v>1.2556400872146929</v>
      </c>
      <c r="AQ54">
        <v>-0.52486557418804092</v>
      </c>
    </row>
    <row r="55" spans="1:43" x14ac:dyDescent="0.3">
      <c r="A55">
        <v>439</v>
      </c>
      <c r="B55">
        <v>2023</v>
      </c>
      <c r="C55" t="s">
        <v>112</v>
      </c>
      <c r="D55">
        <v>9.3333333333333339</v>
      </c>
      <c r="E55">
        <v>9.9900808840893234</v>
      </c>
      <c r="F55">
        <v>-0.65674755075598945</v>
      </c>
      <c r="G55">
        <v>-0.55121196178253584</v>
      </c>
      <c r="H55">
        <v>-0.43186826881674528</v>
      </c>
      <c r="I55">
        <v>-0.48187972796607992</v>
      </c>
      <c r="J55">
        <v>0.43848733039074289</v>
      </c>
      <c r="K55">
        <v>0.30213081591089108</v>
      </c>
      <c r="L55">
        <v>-0.21216037509772889</v>
      </c>
      <c r="M55">
        <v>-0.72207822282807854</v>
      </c>
      <c r="N55">
        <v>-0.86037761213004427</v>
      </c>
      <c r="O55">
        <v>-0.5067466024564975</v>
      </c>
      <c r="P55">
        <v>0.56997676291599997</v>
      </c>
      <c r="Q55">
        <v>-0.52486557418804092</v>
      </c>
      <c r="R55">
        <v>-0.55121196178253584</v>
      </c>
      <c r="S55">
        <v>9.113751274705443</v>
      </c>
      <c r="T55">
        <v>2.210259888524568E-2</v>
      </c>
      <c r="U55">
        <v>9.0916486758201973</v>
      </c>
      <c r="V55">
        <v>-0.43186826881674528</v>
      </c>
      <c r="W55">
        <v>4.6286620780019438</v>
      </c>
      <c r="X55">
        <v>9.4936803620183419E-2</v>
      </c>
      <c r="Y55">
        <v>4.5337252743817604</v>
      </c>
      <c r="Z55">
        <v>-0.48187972796607992</v>
      </c>
      <c r="AA55">
        <v>-0.43848733039074289</v>
      </c>
      <c r="AB55">
        <v>-0.36105429762281449</v>
      </c>
      <c r="AC55">
        <v>-0.24320733419896781</v>
      </c>
      <c r="AD55">
        <v>-0.97303264068607775</v>
      </c>
      <c r="AE55">
        <v>-0.40285665160610878</v>
      </c>
      <c r="AF55">
        <v>9.3657574144763694E-2</v>
      </c>
      <c r="AG55">
        <v>3.7534350381313537E-2</v>
      </c>
      <c r="AH55">
        <v>6.8951838067043509E-3</v>
      </c>
      <c r="AI55">
        <v>-3.5160066626968092E-2</v>
      </c>
      <c r="AJ55">
        <v>-0.85342474740086549</v>
      </c>
      <c r="AK55">
        <v>-0.27924654422756418</v>
      </c>
      <c r="AL55">
        <v>-1.0335633768558059</v>
      </c>
      <c r="AM55">
        <v>0.86037761213004427</v>
      </c>
      <c r="AN55">
        <v>-0.5067466024564975</v>
      </c>
      <c r="AO55">
        <v>0.68537748130423781</v>
      </c>
      <c r="AP55">
        <v>0.45457604452776212</v>
      </c>
      <c r="AQ55">
        <v>-0.52486557418804092</v>
      </c>
    </row>
    <row r="56" spans="1:43" x14ac:dyDescent="0.3">
      <c r="A56">
        <v>443</v>
      </c>
      <c r="B56">
        <v>2023</v>
      </c>
      <c r="C56" t="s">
        <v>113</v>
      </c>
      <c r="D56">
        <v>18.333333333333329</v>
      </c>
      <c r="E56">
        <v>18.344715439571029</v>
      </c>
      <c r="F56">
        <v>-1.1382106237697091E-2</v>
      </c>
      <c r="G56">
        <v>0.9787425957034932</v>
      </c>
      <c r="H56">
        <v>0.18055862791879809</v>
      </c>
      <c r="I56">
        <v>-0.75126131241768623</v>
      </c>
      <c r="J56">
        <v>0.42805110910709848</v>
      </c>
      <c r="K56">
        <v>0.30213081591089108</v>
      </c>
      <c r="L56">
        <v>-4.5539889814163292E-2</v>
      </c>
      <c r="M56">
        <v>3.253374680161834</v>
      </c>
      <c r="N56">
        <v>1.5256857183077239</v>
      </c>
      <c r="O56">
        <v>3.0290543781599748</v>
      </c>
      <c r="P56">
        <v>0.77055393919959836</v>
      </c>
      <c r="Q56">
        <v>-0.52486557418804092</v>
      </c>
      <c r="R56">
        <v>0.9787425957034932</v>
      </c>
      <c r="S56">
        <v>9.113751274705443</v>
      </c>
      <c r="T56">
        <v>2.210259888524568E-2</v>
      </c>
      <c r="U56">
        <v>9.0916486758201973</v>
      </c>
      <c r="V56">
        <v>0.18055862791879809</v>
      </c>
      <c r="W56">
        <v>4.6286620780019438</v>
      </c>
      <c r="X56">
        <v>9.4936803620183419E-2</v>
      </c>
      <c r="Y56">
        <v>4.5337252743817604</v>
      </c>
      <c r="Z56">
        <v>-0.75126131241768623</v>
      </c>
      <c r="AA56">
        <v>-0.42805110910709848</v>
      </c>
      <c r="AB56">
        <v>-0.36105429762281449</v>
      </c>
      <c r="AC56">
        <v>-0.24320733419896781</v>
      </c>
      <c r="AD56">
        <v>-0.73595915101171938</v>
      </c>
      <c r="AE56">
        <v>0.30885518451929322</v>
      </c>
      <c r="AF56">
        <v>6.1533113883955237E-4</v>
      </c>
      <c r="AG56">
        <v>4.7224814967392108E-2</v>
      </c>
      <c r="AH56">
        <v>8.0015368268439149E-2</v>
      </c>
      <c r="AI56">
        <v>2.6009113232775591E-2</v>
      </c>
      <c r="AJ56">
        <v>2.0653463079109331</v>
      </c>
      <c r="AK56">
        <v>3.8895243323630551</v>
      </c>
      <c r="AL56">
        <v>3.805253400211515</v>
      </c>
      <c r="AM56">
        <v>-1.5256857183077239</v>
      </c>
      <c r="AN56">
        <v>3.0290543781599748</v>
      </c>
      <c r="AO56">
        <v>0.62727313576062615</v>
      </c>
      <c r="AP56">
        <v>0.91383474263857067</v>
      </c>
      <c r="AQ56">
        <v>-0.52486557418804092</v>
      </c>
    </row>
    <row r="57" spans="1:43" x14ac:dyDescent="0.3">
      <c r="A57">
        <v>446</v>
      </c>
      <c r="B57">
        <v>2023</v>
      </c>
      <c r="C57" t="s">
        <v>114</v>
      </c>
      <c r="D57">
        <v>1.3333333333333319</v>
      </c>
      <c r="E57">
        <v>-3.2670960553095441</v>
      </c>
      <c r="F57">
        <v>4.6004293886428762</v>
      </c>
      <c r="G57">
        <v>-0.56884846272011869</v>
      </c>
      <c r="H57">
        <v>-0.83555501924950693</v>
      </c>
      <c r="I57">
        <v>-4</v>
      </c>
      <c r="J57">
        <v>-6.8123118875173612</v>
      </c>
      <c r="K57">
        <v>-3.1881896902688212</v>
      </c>
      <c r="L57">
        <v>-1.385451758215938</v>
      </c>
      <c r="M57">
        <v>-0.6312347202347478</v>
      </c>
      <c r="N57">
        <v>-3.743023495409374</v>
      </c>
      <c r="O57">
        <v>-2.8608740221959339</v>
      </c>
      <c r="P57">
        <v>0.62182594159595705</v>
      </c>
      <c r="Q57">
        <v>-0.52486557418804092</v>
      </c>
      <c r="R57">
        <v>-0.56884846272011869</v>
      </c>
      <c r="S57">
        <v>9.113751274705443</v>
      </c>
      <c r="T57">
        <v>2.210259888524568E-2</v>
      </c>
      <c r="U57">
        <v>9.0916486758201973</v>
      </c>
      <c r="V57">
        <v>-0.83555501924950693</v>
      </c>
      <c r="W57">
        <v>4.6286620780019438</v>
      </c>
      <c r="X57">
        <v>9.4936803620183419E-2</v>
      </c>
      <c r="Y57">
        <v>4.5337252743817604</v>
      </c>
      <c r="Z57">
        <v>-4</v>
      </c>
      <c r="AA57">
        <v>6.8123118875173612</v>
      </c>
      <c r="AB57">
        <v>2.7696665199223802</v>
      </c>
      <c r="AC57">
        <v>3.6067128606152621</v>
      </c>
      <c r="AD57">
        <v>-0.9780017923380866</v>
      </c>
      <c r="AE57">
        <v>-1.576912956272331</v>
      </c>
      <c r="AF57">
        <v>-1.677727135755626</v>
      </c>
      <c r="AG57">
        <v>-1.3807965486997991</v>
      </c>
      <c r="AH57">
        <v>-1.275607260503842</v>
      </c>
      <c r="AI57">
        <v>-1.4236648557259399</v>
      </c>
      <c r="AJ57">
        <v>-0.84808695314494409</v>
      </c>
      <c r="AK57">
        <v>-1.3385582017661259</v>
      </c>
      <c r="AL57">
        <v>0.29294099420682712</v>
      </c>
      <c r="AM57">
        <v>3.743023495409374</v>
      </c>
      <c r="AN57">
        <v>-2.8608740221959339</v>
      </c>
      <c r="AO57">
        <v>0.94221332842985284</v>
      </c>
      <c r="AP57">
        <v>0.30143855476206127</v>
      </c>
      <c r="AQ57">
        <v>-0.52486557418804092</v>
      </c>
    </row>
    <row r="58" spans="1:43" x14ac:dyDescent="0.3">
      <c r="A58">
        <v>449</v>
      </c>
      <c r="B58">
        <v>2023</v>
      </c>
      <c r="C58" t="s">
        <v>115</v>
      </c>
      <c r="D58">
        <v>11</v>
      </c>
      <c r="E58">
        <v>14.195063296658949</v>
      </c>
      <c r="F58">
        <v>-3.1950632966589541</v>
      </c>
      <c r="G58">
        <v>0.60107453907240571</v>
      </c>
      <c r="H58">
        <v>-5.2166927735445207E-2</v>
      </c>
      <c r="I58">
        <v>-0.63482035849022522</v>
      </c>
      <c r="J58">
        <v>0.65917429855877807</v>
      </c>
      <c r="K58">
        <v>0.30213081591089108</v>
      </c>
      <c r="L58">
        <v>6.1802917166508708E-2</v>
      </c>
      <c r="M58">
        <v>0.54911887660897551</v>
      </c>
      <c r="N58">
        <v>0.57124927317406593</v>
      </c>
      <c r="O58">
        <v>9.2883161670591324E-2</v>
      </c>
      <c r="P58">
        <v>0.2769545871783371</v>
      </c>
      <c r="Q58">
        <v>-0.52486557418804092</v>
      </c>
      <c r="R58">
        <v>0.60107453907240571</v>
      </c>
      <c r="S58">
        <v>9.113751274705443</v>
      </c>
      <c r="T58">
        <v>2.210259888524568E-2</v>
      </c>
      <c r="U58">
        <v>9.0916486758201973</v>
      </c>
      <c r="V58">
        <v>-5.2166927735445207E-2</v>
      </c>
      <c r="W58">
        <v>4.6286620780019438</v>
      </c>
      <c r="X58">
        <v>9.4936803620183419E-2</v>
      </c>
      <c r="Y58">
        <v>4.5337252743817604</v>
      </c>
      <c r="Z58">
        <v>-0.63482035849022522</v>
      </c>
      <c r="AA58">
        <v>-0.65917429855877807</v>
      </c>
      <c r="AB58">
        <v>-0.36105429762281449</v>
      </c>
      <c r="AC58">
        <v>-0.24320733419896781</v>
      </c>
      <c r="AD58">
        <v>-0.99076729632949034</v>
      </c>
      <c r="AE58">
        <v>0.62347979092716743</v>
      </c>
      <c r="AF58">
        <v>0.18594994448639901</v>
      </c>
      <c r="AG58">
        <v>0.21798904647358039</v>
      </c>
      <c r="AH58">
        <v>0.2452151776293634</v>
      </c>
      <c r="AI58">
        <v>8.8950839812032362E-2</v>
      </c>
      <c r="AJ58">
        <v>0.63501792785945044</v>
      </c>
      <c r="AK58">
        <v>0.4069135068431699</v>
      </c>
      <c r="AL58">
        <v>0.60542519512430626</v>
      </c>
      <c r="AM58">
        <v>-0.57124927317406593</v>
      </c>
      <c r="AN58">
        <v>9.2883161670591324E-2</v>
      </c>
      <c r="AO58">
        <v>0.2965117596125923</v>
      </c>
      <c r="AP58">
        <v>0.25739741474408201</v>
      </c>
      <c r="AQ58">
        <v>-0.52486557418804092</v>
      </c>
    </row>
    <row r="59" spans="1:43" x14ac:dyDescent="0.3">
      <c r="A59">
        <v>453</v>
      </c>
      <c r="B59">
        <v>2023</v>
      </c>
      <c r="C59" t="s">
        <v>116</v>
      </c>
      <c r="D59">
        <v>19.333333333333329</v>
      </c>
      <c r="E59">
        <v>17.520427065615781</v>
      </c>
      <c r="F59">
        <v>1.812906267717544</v>
      </c>
      <c r="G59">
        <v>1.531112611355222</v>
      </c>
      <c r="H59">
        <v>0.31259063346144378</v>
      </c>
      <c r="I59">
        <v>-0.39944983632189301</v>
      </c>
      <c r="J59">
        <v>0.55790288617562511</v>
      </c>
      <c r="K59">
        <v>0.30213081591089108</v>
      </c>
      <c r="L59">
        <v>0.47838402441009559</v>
      </c>
      <c r="M59">
        <v>1.0657736834206479</v>
      </c>
      <c r="N59">
        <v>0.39944293397902197</v>
      </c>
      <c r="O59">
        <v>1.746739946623896</v>
      </c>
      <c r="P59">
        <v>0.73419936912713601</v>
      </c>
      <c r="Q59">
        <v>-0.52486557418804092</v>
      </c>
      <c r="R59">
        <v>1.531112611355222</v>
      </c>
      <c r="S59">
        <v>9.113751274705443</v>
      </c>
      <c r="T59">
        <v>2.210259888524568E-2</v>
      </c>
      <c r="U59">
        <v>9.0916486758201973</v>
      </c>
      <c r="V59">
        <v>0.31259063346144378</v>
      </c>
      <c r="W59">
        <v>4.6286620780019438</v>
      </c>
      <c r="X59">
        <v>9.4936803620183419E-2</v>
      </c>
      <c r="Y59">
        <v>4.5337252743817604</v>
      </c>
      <c r="Z59">
        <v>-0.39944983632189301</v>
      </c>
      <c r="AA59">
        <v>-0.55790288617562511</v>
      </c>
      <c r="AB59">
        <v>-0.36105429762281449</v>
      </c>
      <c r="AC59">
        <v>-0.24320733419896781</v>
      </c>
      <c r="AD59">
        <v>-1.1652670111606109</v>
      </c>
      <c r="AE59">
        <v>1.180094074873052</v>
      </c>
      <c r="AF59">
        <v>0.9533791874357842</v>
      </c>
      <c r="AG59">
        <v>0.76261026859347658</v>
      </c>
      <c r="AH59">
        <v>0.49159304143553262</v>
      </c>
      <c r="AI59">
        <v>0.64789458528333854</v>
      </c>
      <c r="AJ59">
        <v>2.5818092272549822</v>
      </c>
      <c r="AK59">
        <v>0.28175962954675232</v>
      </c>
      <c r="AL59">
        <v>0.33375219346020962</v>
      </c>
      <c r="AM59">
        <v>-0.39944293397902197</v>
      </c>
      <c r="AN59">
        <v>1.746739946623896</v>
      </c>
      <c r="AO59">
        <v>0.46714065821882511</v>
      </c>
      <c r="AP59">
        <v>1.0012580800354469</v>
      </c>
      <c r="AQ59">
        <v>-0.52486557418804092</v>
      </c>
    </row>
    <row r="60" spans="1:43" x14ac:dyDescent="0.3">
      <c r="A60">
        <v>456</v>
      </c>
      <c r="B60">
        <v>2023</v>
      </c>
      <c r="C60" t="s">
        <v>117</v>
      </c>
      <c r="D60">
        <v>17.666666666666671</v>
      </c>
      <c r="E60">
        <v>16.592416413072819</v>
      </c>
      <c r="F60">
        <v>1.074250253593853</v>
      </c>
      <c r="G60">
        <v>1.033151881073981</v>
      </c>
      <c r="H60">
        <v>1.222927824618814</v>
      </c>
      <c r="I60">
        <v>-0.20306760506365559</v>
      </c>
      <c r="J60">
        <v>0.48658552756819751</v>
      </c>
      <c r="K60">
        <v>0.30213081591089108</v>
      </c>
      <c r="L60">
        <v>-0.16582077327246619</v>
      </c>
      <c r="M60">
        <v>0.24216565970284229</v>
      </c>
      <c r="N60">
        <v>0.97420515022531395</v>
      </c>
      <c r="O60">
        <v>0.83524374043657434</v>
      </c>
      <c r="P60">
        <v>1.041499486754879</v>
      </c>
      <c r="Q60">
        <v>-0.52486557418804092</v>
      </c>
      <c r="R60">
        <v>1.033151881073981</v>
      </c>
      <c r="S60">
        <v>9.113751274705443</v>
      </c>
      <c r="T60">
        <v>2.210259888524568E-2</v>
      </c>
      <c r="U60">
        <v>9.0916486758201973</v>
      </c>
      <c r="V60">
        <v>1.222927824618814</v>
      </c>
      <c r="W60">
        <v>4.6286620780019438</v>
      </c>
      <c r="X60">
        <v>9.4936803620183419E-2</v>
      </c>
      <c r="Y60">
        <v>4.5337252743817604</v>
      </c>
      <c r="Z60">
        <v>-0.20306760506365559</v>
      </c>
      <c r="AA60">
        <v>-0.48658552756819751</v>
      </c>
      <c r="AB60">
        <v>-0.36105429762281449</v>
      </c>
      <c r="AC60">
        <v>-0.24320733419896781</v>
      </c>
      <c r="AD60">
        <v>-1.8563413565668569</v>
      </c>
      <c r="AE60">
        <v>-0.33602303471055989</v>
      </c>
      <c r="AF60">
        <v>0.474815914981634</v>
      </c>
      <c r="AG60">
        <v>0.37977737097801129</v>
      </c>
      <c r="AH60">
        <v>-2.8736973177420752E-4</v>
      </c>
      <c r="AI60">
        <v>0.34313383541474779</v>
      </c>
      <c r="AJ60">
        <v>0.1810798755037748</v>
      </c>
      <c r="AK60">
        <v>-0.23717108119449029</v>
      </c>
      <c r="AL60">
        <v>0.78258818479924241</v>
      </c>
      <c r="AM60">
        <v>-0.97420515022531395</v>
      </c>
      <c r="AN60">
        <v>0.83524374043657434</v>
      </c>
      <c r="AO60">
        <v>0.88791198006928596</v>
      </c>
      <c r="AP60">
        <v>1.1950869934404711</v>
      </c>
      <c r="AQ60">
        <v>-0.52486557418804092</v>
      </c>
    </row>
    <row r="61" spans="1:43" x14ac:dyDescent="0.3">
      <c r="A61">
        <v>466</v>
      </c>
      <c r="B61">
        <v>2023</v>
      </c>
      <c r="C61" t="s">
        <v>118</v>
      </c>
      <c r="D61">
        <v>19.5</v>
      </c>
      <c r="E61">
        <v>18.06302869855373</v>
      </c>
      <c r="F61">
        <v>1.4369713014462699</v>
      </c>
      <c r="G61">
        <v>1.263656433407371</v>
      </c>
      <c r="H61">
        <v>0.78105958619000015</v>
      </c>
      <c r="I61">
        <v>-9.954998160583392E-2</v>
      </c>
      <c r="J61">
        <v>0.59770171176553788</v>
      </c>
      <c r="K61">
        <v>0.30213081591089108</v>
      </c>
      <c r="L61">
        <v>0.51296365897359208</v>
      </c>
      <c r="M61">
        <v>0.68819941943724972</v>
      </c>
      <c r="N61">
        <v>0.72624726256105665</v>
      </c>
      <c r="O61">
        <v>1.299422763184571</v>
      </c>
      <c r="P61">
        <v>0.56448419545284423</v>
      </c>
      <c r="Q61">
        <v>-0.52486557418804092</v>
      </c>
      <c r="R61">
        <v>1.263656433407371</v>
      </c>
      <c r="S61">
        <v>9.113751274705443</v>
      </c>
      <c r="T61">
        <v>2.210259888524568E-2</v>
      </c>
      <c r="U61">
        <v>9.0916486758201973</v>
      </c>
      <c r="V61">
        <v>0.78105958619000015</v>
      </c>
      <c r="W61">
        <v>4.6286620780019438</v>
      </c>
      <c r="X61">
        <v>9.4936803620183419E-2</v>
      </c>
      <c r="Y61">
        <v>4.5337252743817604</v>
      </c>
      <c r="Z61">
        <v>-9.954998160583392E-2</v>
      </c>
      <c r="AA61">
        <v>-0.59770171176553788</v>
      </c>
      <c r="AB61">
        <v>-0.36105429762281449</v>
      </c>
      <c r="AC61">
        <v>-0.24320733419896781</v>
      </c>
      <c r="AD61">
        <v>-1.1420830925944641</v>
      </c>
      <c r="AE61">
        <v>0.90120391368178243</v>
      </c>
      <c r="AF61">
        <v>1.1396059102959419</v>
      </c>
      <c r="AG61">
        <v>0.95239930672170714</v>
      </c>
      <c r="AH61">
        <v>0.3583821674272048</v>
      </c>
      <c r="AI61">
        <v>0.86827374830937942</v>
      </c>
      <c r="AJ61">
        <v>1.5874007114370761</v>
      </c>
      <c r="AK61">
        <v>-7.6294310773914339E-2</v>
      </c>
      <c r="AL61">
        <v>0.55349185764858788</v>
      </c>
      <c r="AM61">
        <v>-0.72624726256105665</v>
      </c>
      <c r="AN61">
        <v>1.299422763184571</v>
      </c>
      <c r="AO61">
        <v>0.81763430959574335</v>
      </c>
      <c r="AP61">
        <v>0.31133408130994522</v>
      </c>
      <c r="AQ61">
        <v>-0.52486557418804092</v>
      </c>
    </row>
    <row r="62" spans="1:43" x14ac:dyDescent="0.3">
      <c r="A62">
        <v>469</v>
      </c>
      <c r="B62">
        <v>2023</v>
      </c>
      <c r="C62" t="s">
        <v>119</v>
      </c>
      <c r="D62">
        <v>7.6666666666666661</v>
      </c>
      <c r="E62">
        <v>7.7482837649866267</v>
      </c>
      <c r="F62">
        <v>-8.1617098319960668E-2</v>
      </c>
      <c r="G62">
        <v>-0.69346667003620988</v>
      </c>
      <c r="H62">
        <v>0.63337952312658286</v>
      </c>
      <c r="I62">
        <v>0.71055946725957231</v>
      </c>
      <c r="J62">
        <v>-1.9262039645589091</v>
      </c>
      <c r="K62">
        <v>0.30213081591089108</v>
      </c>
      <c r="L62">
        <v>-1.0581596975992871</v>
      </c>
      <c r="M62">
        <v>-1.9055714442942671</v>
      </c>
      <c r="N62">
        <v>-1.0524095358875061</v>
      </c>
      <c r="O62">
        <v>-0.16878568821459311</v>
      </c>
      <c r="P62">
        <v>-3.1536918370774138E-2</v>
      </c>
      <c r="Q62">
        <v>-0.52486557418804092</v>
      </c>
      <c r="R62">
        <v>-0.69346667003620988</v>
      </c>
      <c r="S62">
        <v>9.113751274705443</v>
      </c>
      <c r="T62">
        <v>2.210259888524568E-2</v>
      </c>
      <c r="U62">
        <v>9.0916486758201973</v>
      </c>
      <c r="V62">
        <v>0.63337952312658286</v>
      </c>
      <c r="W62">
        <v>4.6286620780019438</v>
      </c>
      <c r="X62">
        <v>9.4936803620183419E-2</v>
      </c>
      <c r="Y62">
        <v>4.5337252743817604</v>
      </c>
      <c r="Z62">
        <v>0.71055946725957231</v>
      </c>
      <c r="AA62">
        <v>1.9262039645589091</v>
      </c>
      <c r="AB62">
        <v>-0.36105429762281449</v>
      </c>
      <c r="AC62">
        <v>-0.24320733419896781</v>
      </c>
      <c r="AD62">
        <v>-1.9003642866064481</v>
      </c>
      <c r="AE62">
        <v>-1.1231483164759339</v>
      </c>
      <c r="AF62">
        <v>-0.39635860933528472</v>
      </c>
      <c r="AG62">
        <v>-0.98837493579828839</v>
      </c>
      <c r="AH62">
        <v>-0.96426948993161288</v>
      </c>
      <c r="AI62">
        <v>-0.97644254744815395</v>
      </c>
      <c r="AJ62">
        <v>-1.4295306260364311</v>
      </c>
      <c r="AK62">
        <v>-1.025632258071129</v>
      </c>
      <c r="AL62">
        <v>-3.2615514487752431</v>
      </c>
      <c r="AM62">
        <v>1.0524095358875061</v>
      </c>
      <c r="AN62">
        <v>-0.16878568821459311</v>
      </c>
      <c r="AO62">
        <v>-0.1971516751801487</v>
      </c>
      <c r="AP62">
        <v>0.13407783843860041</v>
      </c>
      <c r="AQ62">
        <v>-0.52486557418804092</v>
      </c>
    </row>
    <row r="63" spans="1:43" x14ac:dyDescent="0.3">
      <c r="A63">
        <v>513</v>
      </c>
      <c r="B63">
        <v>2023</v>
      </c>
      <c r="C63" t="s">
        <v>120</v>
      </c>
      <c r="D63">
        <v>9.6666666666666661</v>
      </c>
      <c r="E63">
        <v>9.4299725725112573</v>
      </c>
      <c r="F63">
        <v>0.23669409415540879</v>
      </c>
      <c r="G63">
        <v>-0.95600897109680139</v>
      </c>
      <c r="H63">
        <v>0.70474780931907965</v>
      </c>
      <c r="I63">
        <v>1.4619900102087779</v>
      </c>
      <c r="J63">
        <v>-0.33413646687153381</v>
      </c>
      <c r="K63">
        <v>0.30213081591089108</v>
      </c>
      <c r="L63">
        <v>-1.249175207444466</v>
      </c>
      <c r="M63">
        <v>-1.3279262163723771</v>
      </c>
      <c r="N63">
        <v>0.50907227008245715</v>
      </c>
      <c r="O63">
        <v>-7.3498192918886193E-2</v>
      </c>
      <c r="P63">
        <v>-0.30582005025870929</v>
      </c>
      <c r="Q63">
        <v>-0.52486557418804092</v>
      </c>
      <c r="R63">
        <v>-0.95600897109680139</v>
      </c>
      <c r="S63">
        <v>9.113751274705443</v>
      </c>
      <c r="T63">
        <v>2.210259888524568E-2</v>
      </c>
      <c r="U63">
        <v>9.0916486758201973</v>
      </c>
      <c r="V63">
        <v>0.70474780931907965</v>
      </c>
      <c r="W63">
        <v>4.6286620780019438</v>
      </c>
      <c r="X63">
        <v>9.4936803620183419E-2</v>
      </c>
      <c r="Y63">
        <v>4.5337252743817604</v>
      </c>
      <c r="Z63">
        <v>1.4619900102087779</v>
      </c>
      <c r="AA63">
        <v>0.33413646687153381</v>
      </c>
      <c r="AB63">
        <v>-0.36105429762281449</v>
      </c>
      <c r="AC63">
        <v>-0.24320733419896781</v>
      </c>
      <c r="AD63">
        <v>-1.3905690454063631</v>
      </c>
      <c r="AE63">
        <v>-1.2875513126499289</v>
      </c>
      <c r="AF63">
        <v>-0.98545470555830805</v>
      </c>
      <c r="AG63">
        <v>-1.367326328865911</v>
      </c>
      <c r="AH63">
        <v>-1.0983028595650131</v>
      </c>
      <c r="AI63">
        <v>-1.3658469926212711</v>
      </c>
      <c r="AJ63">
        <v>-0.51153025428567911</v>
      </c>
      <c r="AK63">
        <v>-1.7463601895553089</v>
      </c>
      <c r="AL63">
        <v>-1.725888205276142</v>
      </c>
      <c r="AM63">
        <v>-0.50907227008245715</v>
      </c>
      <c r="AN63">
        <v>-7.3498192918886193E-2</v>
      </c>
      <c r="AO63">
        <v>-0.50774526358062666</v>
      </c>
      <c r="AP63">
        <v>-0.10389483693679211</v>
      </c>
      <c r="AQ63">
        <v>-0.52486557418804092</v>
      </c>
    </row>
    <row r="64" spans="1:43" x14ac:dyDescent="0.3">
      <c r="A64">
        <v>522</v>
      </c>
      <c r="B64">
        <v>2023</v>
      </c>
      <c r="C64" t="s">
        <v>121</v>
      </c>
      <c r="D64">
        <v>8</v>
      </c>
      <c r="E64">
        <v>8.844336069603381</v>
      </c>
      <c r="F64">
        <v>-0.84433606960338103</v>
      </c>
      <c r="G64">
        <v>-1.0031151174523441</v>
      </c>
      <c r="H64">
        <v>-0.52985470038356131</v>
      </c>
      <c r="I64">
        <v>0.80757176558233879</v>
      </c>
      <c r="J64">
        <v>0.32857312414746009</v>
      </c>
      <c r="K64">
        <v>0.30213081591089108</v>
      </c>
      <c r="L64">
        <v>-1.038250517521665</v>
      </c>
      <c r="M64">
        <v>-0.14534493204326471</v>
      </c>
      <c r="N64">
        <v>0.88268993655964856</v>
      </c>
      <c r="O64">
        <v>-1.520060387414127</v>
      </c>
      <c r="P64">
        <v>0.68327321023829279</v>
      </c>
      <c r="Q64">
        <v>-0.52486557418804092</v>
      </c>
      <c r="R64">
        <v>-1.0031151174523441</v>
      </c>
      <c r="S64">
        <v>9.113751274705443</v>
      </c>
      <c r="T64">
        <v>2.210259888524568E-2</v>
      </c>
      <c r="U64">
        <v>9.0916486758201973</v>
      </c>
      <c r="V64">
        <v>-0.52985470038356131</v>
      </c>
      <c r="W64">
        <v>4.6286620780019438</v>
      </c>
      <c r="X64">
        <v>9.4936803620183419E-2</v>
      </c>
      <c r="Y64">
        <v>4.5337252743817604</v>
      </c>
      <c r="Z64">
        <v>0.80757176558233879</v>
      </c>
      <c r="AA64">
        <v>-0.32857312414746009</v>
      </c>
      <c r="AB64">
        <v>-0.36105429762281449</v>
      </c>
      <c r="AC64">
        <v>-0.24320733419896781</v>
      </c>
      <c r="AD64">
        <v>-1.8200318505562609</v>
      </c>
      <c r="AE64">
        <v>0.1210652358000157</v>
      </c>
      <c r="AF64">
        <v>-0.82457117538258207</v>
      </c>
      <c r="AG64">
        <v>-1.107548803461708</v>
      </c>
      <c r="AH64">
        <v>-1.311183699709966</v>
      </c>
      <c r="AI64">
        <v>-1.287232811819484</v>
      </c>
      <c r="AJ64">
        <v>4.1069281570288982E-2</v>
      </c>
      <c r="AK64">
        <v>-1.086022922659776</v>
      </c>
      <c r="AL64">
        <v>0.60891884495969295</v>
      </c>
      <c r="AM64">
        <v>-0.88268993655964856</v>
      </c>
      <c r="AN64">
        <v>-1.520060387414127</v>
      </c>
      <c r="AO64">
        <v>0.90519820544534446</v>
      </c>
      <c r="AP64">
        <v>0.46134821503124118</v>
      </c>
      <c r="AQ64">
        <v>-0.52486557418804092</v>
      </c>
    </row>
    <row r="65" spans="1:43" x14ac:dyDescent="0.3">
      <c r="A65">
        <v>524</v>
      </c>
      <c r="B65">
        <v>2023</v>
      </c>
      <c r="C65" t="s">
        <v>122</v>
      </c>
      <c r="D65">
        <v>1.6666666666666681</v>
      </c>
      <c r="E65">
        <v>2.209562879884519</v>
      </c>
      <c r="F65">
        <v>-0.54289621321785053</v>
      </c>
      <c r="G65">
        <v>-0.70272052988260492</v>
      </c>
      <c r="H65">
        <v>-0.17479361449518729</v>
      </c>
      <c r="I65">
        <v>-2.0005456977496578</v>
      </c>
      <c r="J65">
        <v>-2.108122373954795</v>
      </c>
      <c r="K65">
        <v>-3.920499583278287</v>
      </c>
      <c r="L65">
        <v>-0.64219159947941995</v>
      </c>
      <c r="M65">
        <v>-3.4854673551330908</v>
      </c>
      <c r="N65">
        <v>-1.453754033948891</v>
      </c>
      <c r="O65">
        <v>-8.9325563558314253E-2</v>
      </c>
      <c r="P65">
        <v>-0.25063360680954189</v>
      </c>
      <c r="Q65">
        <v>-0.52486557418804092</v>
      </c>
      <c r="R65">
        <v>-0.70272052988260492</v>
      </c>
      <c r="S65">
        <v>9.113751274705443</v>
      </c>
      <c r="T65">
        <v>2.210259888524568E-2</v>
      </c>
      <c r="U65">
        <v>9.0916486758201973</v>
      </c>
      <c r="V65">
        <v>-0.17479361449518729</v>
      </c>
      <c r="W65">
        <v>4.6286620780019438</v>
      </c>
      <c r="X65">
        <v>9.4936803620183419E-2</v>
      </c>
      <c r="Y65">
        <v>4.5337252743817604</v>
      </c>
      <c r="Z65">
        <v>-2.0005456977496578</v>
      </c>
      <c r="AA65">
        <v>2.108122373954795</v>
      </c>
      <c r="AB65">
        <v>2.7696665199223802</v>
      </c>
      <c r="AC65">
        <v>5.0713326466341941</v>
      </c>
      <c r="AD65">
        <v>-0.56210213058618363</v>
      </c>
      <c r="AE65">
        <v>-0.84720995330851723</v>
      </c>
      <c r="AF65">
        <v>-0.67492549411810998</v>
      </c>
      <c r="AG65">
        <v>-0.76501787859559944</v>
      </c>
      <c r="AH65">
        <v>-0.46607429583943638</v>
      </c>
      <c r="AI65">
        <v>-0.53781984442867303</v>
      </c>
      <c r="AJ65">
        <v>-1.703487277706534</v>
      </c>
      <c r="AK65">
        <v>-1.5009199885290461</v>
      </c>
      <c r="AL65">
        <v>-7.2519947991636924</v>
      </c>
      <c r="AM65">
        <v>1.453754033948891</v>
      </c>
      <c r="AN65">
        <v>-8.9325563558314253E-2</v>
      </c>
      <c r="AO65">
        <v>-0.38919423390852043</v>
      </c>
      <c r="AP65">
        <v>-0.11207297971056331</v>
      </c>
      <c r="AQ65">
        <v>-0.52486557418804092</v>
      </c>
    </row>
    <row r="66" spans="1:43" x14ac:dyDescent="0.3">
      <c r="A66">
        <v>528</v>
      </c>
      <c r="B66">
        <v>2023</v>
      </c>
      <c r="C66" t="s">
        <v>123</v>
      </c>
      <c r="D66">
        <v>20</v>
      </c>
      <c r="E66">
        <v>19.953263896722859</v>
      </c>
      <c r="F66">
        <v>4.6736103277140728E-2</v>
      </c>
      <c r="G66">
        <v>0.94813127415369391</v>
      </c>
      <c r="H66">
        <v>0.97467202046859369</v>
      </c>
      <c r="I66">
        <v>-0.1009034385131274</v>
      </c>
      <c r="J66">
        <v>0.59749184259895638</v>
      </c>
      <c r="K66">
        <v>0.30213081591089108</v>
      </c>
      <c r="L66">
        <v>1.1739868969706739</v>
      </c>
      <c r="M66">
        <v>-0.42646697849569631</v>
      </c>
      <c r="N66">
        <v>0.80584382818101152</v>
      </c>
      <c r="O66">
        <v>1.7983728640775209</v>
      </c>
      <c r="P66">
        <v>1.2501114884482269</v>
      </c>
      <c r="Q66">
        <v>-0.52486557418804092</v>
      </c>
      <c r="R66">
        <v>0.94813127415369391</v>
      </c>
      <c r="S66">
        <v>9.113751274705443</v>
      </c>
      <c r="T66">
        <v>2.210259888524568E-2</v>
      </c>
      <c r="U66">
        <v>9.0916486758201973</v>
      </c>
      <c r="V66">
        <v>0.97467202046859369</v>
      </c>
      <c r="W66">
        <v>4.6286620780019438</v>
      </c>
      <c r="X66">
        <v>9.4936803620183419E-2</v>
      </c>
      <c r="Y66">
        <v>4.5337252743817604</v>
      </c>
      <c r="Z66">
        <v>-0.1009034385131274</v>
      </c>
      <c r="AA66">
        <v>-0.59749184259895638</v>
      </c>
      <c r="AB66">
        <v>-0.36105429762281449</v>
      </c>
      <c r="AC66">
        <v>-0.24320733419896781</v>
      </c>
      <c r="AD66">
        <v>0.96907309865950353</v>
      </c>
      <c r="AE66">
        <v>1.2146107379452871</v>
      </c>
      <c r="AF66">
        <v>1.380590406070981</v>
      </c>
      <c r="AG66">
        <v>1.1571431794706679</v>
      </c>
      <c r="AH66">
        <v>1.2503975373970619</v>
      </c>
      <c r="AI66">
        <v>1.072106422280541</v>
      </c>
      <c r="AJ66">
        <v>0.39378972359889319</v>
      </c>
      <c r="AK66">
        <v>-1.0663052056697671</v>
      </c>
      <c r="AL66">
        <v>-0.60688545341621547</v>
      </c>
      <c r="AM66">
        <v>-0.80584382818101152</v>
      </c>
      <c r="AN66">
        <v>1.7983728640775209</v>
      </c>
      <c r="AO66">
        <v>1.3139819126051859</v>
      </c>
      <c r="AP66">
        <v>1.186241064291268</v>
      </c>
      <c r="AQ66">
        <v>-0.52486557418804092</v>
      </c>
    </row>
    <row r="67" spans="1:43" x14ac:dyDescent="0.3">
      <c r="A67">
        <v>532</v>
      </c>
      <c r="B67">
        <v>2023</v>
      </c>
      <c r="C67" t="s">
        <v>124</v>
      </c>
      <c r="D67">
        <v>19.666666666666671</v>
      </c>
      <c r="E67">
        <v>19.449686990990369</v>
      </c>
      <c r="F67">
        <v>0.2169796756763063</v>
      </c>
      <c r="G67">
        <v>1.289295114544456</v>
      </c>
      <c r="H67">
        <v>0.61615441988904351</v>
      </c>
      <c r="I67">
        <v>-0.83259970655599125</v>
      </c>
      <c r="J67">
        <v>0.48444867787209472</v>
      </c>
      <c r="K67">
        <v>0.30213081591089108</v>
      </c>
      <c r="L67">
        <v>0.88260572697671835</v>
      </c>
      <c r="M67">
        <v>0.45023590236189781</v>
      </c>
      <c r="N67">
        <v>1.4369487442797531</v>
      </c>
      <c r="O67">
        <v>1.1006108158143051</v>
      </c>
      <c r="P67">
        <v>1.51607086341966</v>
      </c>
      <c r="Q67">
        <v>-0.52486557418804092</v>
      </c>
      <c r="R67">
        <v>1.289295114544456</v>
      </c>
      <c r="S67">
        <v>9.113751274705443</v>
      </c>
      <c r="T67">
        <v>2.210259888524568E-2</v>
      </c>
      <c r="U67">
        <v>9.0916486758201973</v>
      </c>
      <c r="V67">
        <v>0.61615441988904351</v>
      </c>
      <c r="W67">
        <v>4.6286620780019438</v>
      </c>
      <c r="X67">
        <v>9.4936803620183419E-2</v>
      </c>
      <c r="Y67">
        <v>4.5337252743817604</v>
      </c>
      <c r="Z67">
        <v>-0.83259970655599125</v>
      </c>
      <c r="AA67">
        <v>-0.48444867787209472</v>
      </c>
      <c r="AB67">
        <v>-0.36105429762281449</v>
      </c>
      <c r="AC67">
        <v>-0.24320733419896781</v>
      </c>
      <c r="AD67">
        <v>-0.48811589260540489</v>
      </c>
      <c r="AE67">
        <v>0.45053426961198573</v>
      </c>
      <c r="AF67">
        <v>1.3982903594746421</v>
      </c>
      <c r="AG67">
        <v>1.6756657061321509</v>
      </c>
      <c r="AH67">
        <v>0.8182628634827398</v>
      </c>
      <c r="AI67">
        <v>1.440997055764196</v>
      </c>
      <c r="AJ67">
        <v>0.20796932731881509</v>
      </c>
      <c r="AK67">
        <v>-0.93611877299096224</v>
      </c>
      <c r="AL67">
        <v>2.0788571527578399</v>
      </c>
      <c r="AM67">
        <v>-1.4369487442797531</v>
      </c>
      <c r="AN67">
        <v>1.1006108158143051</v>
      </c>
      <c r="AO67">
        <v>1.563573959002867</v>
      </c>
      <c r="AP67">
        <v>1.468567767836453</v>
      </c>
      <c r="AQ67">
        <v>-0.52486557418804092</v>
      </c>
    </row>
    <row r="68" spans="1:43" x14ac:dyDescent="0.3">
      <c r="A68">
        <v>534</v>
      </c>
      <c r="B68">
        <v>2023</v>
      </c>
      <c r="C68" t="s">
        <v>125</v>
      </c>
      <c r="D68">
        <v>13</v>
      </c>
      <c r="E68">
        <v>12.843313165790571</v>
      </c>
      <c r="F68">
        <v>0.15668683420942739</v>
      </c>
      <c r="G68">
        <v>-0.99175328203555024</v>
      </c>
      <c r="H68">
        <v>1.793867402235338</v>
      </c>
      <c r="I68">
        <v>0.88515540830041073</v>
      </c>
      <c r="J68">
        <v>-2.997880744948684E-2</v>
      </c>
      <c r="K68">
        <v>0.30213081591089108</v>
      </c>
      <c r="L68">
        <v>-0.40097809036085708</v>
      </c>
      <c r="M68">
        <v>-1.289297442700363</v>
      </c>
      <c r="N68">
        <v>-0.62992263418326389</v>
      </c>
      <c r="O68">
        <v>7.1257089902917372E-3</v>
      </c>
      <c r="P68">
        <v>0.45110057906580159</v>
      </c>
      <c r="Q68">
        <v>-0.52486557418804092</v>
      </c>
      <c r="R68">
        <v>-0.99175328203555024</v>
      </c>
      <c r="S68">
        <v>9.113751274705443</v>
      </c>
      <c r="T68">
        <v>2.210259888524568E-2</v>
      </c>
      <c r="U68">
        <v>9.0916486758201973</v>
      </c>
      <c r="V68">
        <v>1.793867402235338</v>
      </c>
      <c r="W68">
        <v>4.6286620780019438</v>
      </c>
      <c r="X68">
        <v>9.4936803620183419E-2</v>
      </c>
      <c r="Y68">
        <v>4.5337252743817604</v>
      </c>
      <c r="Z68">
        <v>0.88515540830041073</v>
      </c>
      <c r="AA68">
        <v>2.997880744948684E-2</v>
      </c>
      <c r="AB68">
        <v>-0.36105429762281449</v>
      </c>
      <c r="AC68">
        <v>-0.24320733419896781</v>
      </c>
      <c r="AD68">
        <v>-0.30761042224229979</v>
      </c>
      <c r="AE68">
        <v>-1.0493244856706581</v>
      </c>
      <c r="AF68">
        <v>0.12974590729790469</v>
      </c>
      <c r="AG68">
        <v>-0.47269445208544958</v>
      </c>
      <c r="AH68">
        <v>-0.22070218356431939</v>
      </c>
      <c r="AI68">
        <v>-0.48528290590032092</v>
      </c>
      <c r="AJ68">
        <v>-1.5275154877296351</v>
      </c>
      <c r="AK68">
        <v>-0.73514656132710421</v>
      </c>
      <c r="AL68">
        <v>-1.6052302790443489</v>
      </c>
      <c r="AM68">
        <v>0.62992263418326389</v>
      </c>
      <c r="AN68">
        <v>7.1257089902917372E-3</v>
      </c>
      <c r="AO68">
        <v>0.31037760242421308</v>
      </c>
      <c r="AP68">
        <v>0.59182355570738998</v>
      </c>
      <c r="AQ68">
        <v>-0.52486557418804092</v>
      </c>
    </row>
    <row r="69" spans="1:43" x14ac:dyDescent="0.3">
      <c r="A69">
        <v>536</v>
      </c>
      <c r="B69">
        <v>2023</v>
      </c>
      <c r="C69" t="s">
        <v>126</v>
      </c>
      <c r="D69">
        <v>14</v>
      </c>
      <c r="E69">
        <v>14.031303158164571</v>
      </c>
      <c r="F69">
        <v>-3.1303158164565303E-2</v>
      </c>
      <c r="G69">
        <v>-0.48542801894049858</v>
      </c>
      <c r="H69">
        <v>1.2845028879465761</v>
      </c>
      <c r="I69">
        <v>0.42807991273738533</v>
      </c>
      <c r="J69">
        <v>0.37522131617398802</v>
      </c>
      <c r="K69">
        <v>0.30213081591089108</v>
      </c>
      <c r="L69">
        <v>-0.28903447589007508</v>
      </c>
      <c r="M69">
        <v>-0.62917498881123946</v>
      </c>
      <c r="N69">
        <v>0.51254506962957558</v>
      </c>
      <c r="O69">
        <v>8.0301436480915284E-2</v>
      </c>
      <c r="P69">
        <v>0.21983912270989001</v>
      </c>
      <c r="Q69">
        <v>-0.52486557418804092</v>
      </c>
      <c r="R69">
        <v>-0.48542801894049858</v>
      </c>
      <c r="S69">
        <v>9.113751274705443</v>
      </c>
      <c r="T69">
        <v>2.210259888524568E-2</v>
      </c>
      <c r="U69">
        <v>9.0916486758201973</v>
      </c>
      <c r="V69">
        <v>1.2845028879465761</v>
      </c>
      <c r="W69">
        <v>4.6286620780019438</v>
      </c>
      <c r="X69">
        <v>9.4936803620183419E-2</v>
      </c>
      <c r="Y69">
        <v>4.5337252743817604</v>
      </c>
      <c r="Z69">
        <v>0.42807991273738533</v>
      </c>
      <c r="AA69">
        <v>-0.37522131617398802</v>
      </c>
      <c r="AB69">
        <v>-0.36105429762281449</v>
      </c>
      <c r="AC69">
        <v>-0.24320733419896781</v>
      </c>
      <c r="AD69">
        <v>-0.17351534432866711</v>
      </c>
      <c r="AE69">
        <v>-0.77950030340792764</v>
      </c>
      <c r="AF69">
        <v>-4.0245332748789019E-2</v>
      </c>
      <c r="AG69">
        <v>6.8401388036719163E-2</v>
      </c>
      <c r="AH69">
        <v>-0.2140726316715319</v>
      </c>
      <c r="AI69">
        <v>-0.59527463122025415</v>
      </c>
      <c r="AJ69">
        <v>-6.4082759264668263E-2</v>
      </c>
      <c r="AK69">
        <v>-1.1888190539131289</v>
      </c>
      <c r="AL69">
        <v>-0.63462315325592145</v>
      </c>
      <c r="AM69">
        <v>-0.51254506962957558</v>
      </c>
      <c r="AN69">
        <v>8.0301436480915284E-2</v>
      </c>
      <c r="AO69">
        <v>7.9924430398781113E-3</v>
      </c>
      <c r="AP69">
        <v>0.43168580237990201</v>
      </c>
      <c r="AQ69">
        <v>-0.52486557418804092</v>
      </c>
    </row>
    <row r="70" spans="1:43" x14ac:dyDescent="0.3">
      <c r="A70">
        <v>542</v>
      </c>
      <c r="B70">
        <v>2023</v>
      </c>
      <c r="C70" t="s">
        <v>127</v>
      </c>
      <c r="D70">
        <v>19.666666666666671</v>
      </c>
      <c r="E70">
        <v>19.19066586770623</v>
      </c>
      <c r="F70">
        <v>0.47600079896044528</v>
      </c>
      <c r="G70">
        <v>1.0229181102806399</v>
      </c>
      <c r="H70">
        <v>1.439366716391359</v>
      </c>
      <c r="I70">
        <v>-0.45507254922162499</v>
      </c>
      <c r="J70">
        <v>0.46195451901758511</v>
      </c>
      <c r="K70">
        <v>0.30213081591089108</v>
      </c>
      <c r="L70">
        <v>1.002792951870431</v>
      </c>
      <c r="M70">
        <v>0.25842491720880761</v>
      </c>
      <c r="N70">
        <v>0.20866121805852261</v>
      </c>
      <c r="O70">
        <v>0.58173426218004953</v>
      </c>
      <c r="P70">
        <v>0.49910797277617791</v>
      </c>
      <c r="Q70">
        <v>-0.52486557418804092</v>
      </c>
      <c r="R70">
        <v>1.0229181102806399</v>
      </c>
      <c r="S70">
        <v>9.113751274705443</v>
      </c>
      <c r="T70">
        <v>2.210259888524568E-2</v>
      </c>
      <c r="U70">
        <v>9.0916486758201973</v>
      </c>
      <c r="V70">
        <v>1.439366716391359</v>
      </c>
      <c r="W70">
        <v>4.6286620780019438</v>
      </c>
      <c r="X70">
        <v>9.4936803620183419E-2</v>
      </c>
      <c r="Y70">
        <v>4.5337252743817604</v>
      </c>
      <c r="Z70">
        <v>-0.45507254922162499</v>
      </c>
      <c r="AA70">
        <v>-0.46195451901758511</v>
      </c>
      <c r="AB70">
        <v>-0.36105429762281449</v>
      </c>
      <c r="AC70">
        <v>-0.24320733419896781</v>
      </c>
      <c r="AD70">
        <v>0.85121341983024512</v>
      </c>
      <c r="AE70">
        <v>1.0807617995061649</v>
      </c>
      <c r="AF70">
        <v>1.350693358451065</v>
      </c>
      <c r="AG70">
        <v>0.83018799120389897</v>
      </c>
      <c r="AH70">
        <v>1.15087556676327</v>
      </c>
      <c r="AI70">
        <v>0.75302557546794424</v>
      </c>
      <c r="AJ70">
        <v>0.54199495941822995</v>
      </c>
      <c r="AK70">
        <v>-0.57674481814376766</v>
      </c>
      <c r="AL70">
        <v>0.81002461035196038</v>
      </c>
      <c r="AM70">
        <v>-0.20866121805852261</v>
      </c>
      <c r="AN70">
        <v>0.58173426218004953</v>
      </c>
      <c r="AO70">
        <v>0.51448976350204689</v>
      </c>
      <c r="AP70">
        <v>0.48372618205030887</v>
      </c>
      <c r="AQ70">
        <v>-0.52486557418804092</v>
      </c>
    </row>
    <row r="71" spans="1:43" x14ac:dyDescent="0.3">
      <c r="A71">
        <v>544</v>
      </c>
      <c r="B71">
        <v>2023</v>
      </c>
      <c r="C71" t="s">
        <v>129</v>
      </c>
      <c r="D71">
        <v>4</v>
      </c>
      <c r="E71">
        <v>5.6916729138715461</v>
      </c>
      <c r="F71">
        <v>-1.6916729138715461</v>
      </c>
      <c r="G71">
        <v>-1.178496205128843</v>
      </c>
      <c r="H71">
        <v>-1.0718688615878831</v>
      </c>
      <c r="I71">
        <v>0.14485813991119889</v>
      </c>
      <c r="J71">
        <v>-0.72395890428912624</v>
      </c>
      <c r="K71">
        <v>0.30213081591089108</v>
      </c>
      <c r="L71">
        <v>-0.90920234735450567</v>
      </c>
      <c r="M71">
        <v>-0.32043275323332798</v>
      </c>
      <c r="N71">
        <v>-1.624921378027266</v>
      </c>
      <c r="O71">
        <v>-0.65427476554900932</v>
      </c>
      <c r="P71">
        <v>-5.8063033597963769E-2</v>
      </c>
      <c r="Q71">
        <v>-0.52486557418804092</v>
      </c>
      <c r="R71">
        <v>-1.178496205128843</v>
      </c>
      <c r="S71">
        <v>9.113751274705443</v>
      </c>
      <c r="T71">
        <v>2.210259888524568E-2</v>
      </c>
      <c r="U71">
        <v>9.0916486758201973</v>
      </c>
      <c r="V71">
        <v>-1.0718688615878831</v>
      </c>
      <c r="W71">
        <v>4.6286620780019438</v>
      </c>
      <c r="X71">
        <v>9.4936803620183419E-2</v>
      </c>
      <c r="Y71">
        <v>4.5337252743817604</v>
      </c>
      <c r="Z71">
        <v>0.14485813991119889</v>
      </c>
      <c r="AA71">
        <v>0.72395890428912624</v>
      </c>
      <c r="AB71">
        <v>-0.36105429762281449</v>
      </c>
      <c r="AC71">
        <v>-0.24320733419896781</v>
      </c>
      <c r="AD71">
        <v>-1.7139938206066401</v>
      </c>
      <c r="AE71">
        <v>0.84687903729090097</v>
      </c>
      <c r="AF71">
        <v>-1.208494600550593</v>
      </c>
      <c r="AG71">
        <v>-1.2159707763409799</v>
      </c>
      <c r="AH71">
        <v>-1.036520825803821</v>
      </c>
      <c r="AI71">
        <v>-1.1271130981159001</v>
      </c>
      <c r="AJ71">
        <v>-0.20419359346587079</v>
      </c>
      <c r="AK71">
        <v>-1.0710077574205219</v>
      </c>
      <c r="AL71">
        <v>0.31390309118640919</v>
      </c>
      <c r="AM71">
        <v>1.624921378027266</v>
      </c>
      <c r="AN71">
        <v>-0.65427476554900932</v>
      </c>
      <c r="AO71">
        <v>9.9860261694923666E-2</v>
      </c>
      <c r="AP71">
        <v>-0.2159863288908512</v>
      </c>
      <c r="AQ71">
        <v>-0.52486557418804092</v>
      </c>
    </row>
    <row r="72" spans="1:43" x14ac:dyDescent="0.3">
      <c r="A72">
        <v>546</v>
      </c>
      <c r="B72">
        <v>2023</v>
      </c>
      <c r="C72" t="s">
        <v>130</v>
      </c>
      <c r="D72">
        <v>19.5</v>
      </c>
      <c r="E72">
        <v>18.690518271212522</v>
      </c>
      <c r="F72">
        <v>0.80948172878747826</v>
      </c>
      <c r="G72">
        <v>1.502677875158154</v>
      </c>
      <c r="H72">
        <v>-0.48962087580022812</v>
      </c>
      <c r="I72">
        <v>1.5556404962134289</v>
      </c>
      <c r="J72">
        <v>0.61838336418138906</v>
      </c>
      <c r="K72">
        <v>0.30213081591089108</v>
      </c>
      <c r="L72">
        <v>0.74205683444375559</v>
      </c>
      <c r="M72">
        <v>0.32683527049089839</v>
      </c>
      <c r="N72">
        <v>1.6127557485530779</v>
      </c>
      <c r="O72">
        <v>3.1495182546933989</v>
      </c>
      <c r="P72">
        <v>1.1122329210990889</v>
      </c>
      <c r="Q72">
        <v>-0.52486557418804092</v>
      </c>
      <c r="R72">
        <v>1.502677875158154</v>
      </c>
      <c r="S72">
        <v>9.113751274705443</v>
      </c>
      <c r="T72">
        <v>2.210259888524568E-2</v>
      </c>
      <c r="U72">
        <v>9.0916486758201973</v>
      </c>
      <c r="V72">
        <v>-0.48962087580022812</v>
      </c>
      <c r="W72">
        <v>4.6286620780019438</v>
      </c>
      <c r="X72">
        <v>9.4936803620183419E-2</v>
      </c>
      <c r="Y72">
        <v>4.5337252743817604</v>
      </c>
      <c r="Z72">
        <v>1.5556404962134289</v>
      </c>
      <c r="AA72">
        <v>-0.61838336418138906</v>
      </c>
      <c r="AB72">
        <v>-0.36105429762281449</v>
      </c>
      <c r="AC72">
        <v>-0.24320733419896781</v>
      </c>
      <c r="AD72">
        <v>-8.0981535030179019E-2</v>
      </c>
      <c r="AE72">
        <v>1.130450199017347</v>
      </c>
      <c r="AF72">
        <v>0.91980673965554549</v>
      </c>
      <c r="AG72">
        <v>1.3286612807907361</v>
      </c>
      <c r="AH72">
        <v>0.7141842886455636</v>
      </c>
      <c r="AI72">
        <v>0.4402200335835198</v>
      </c>
      <c r="AJ72">
        <v>0.38371557669335171</v>
      </c>
      <c r="AK72">
        <v>-0.18049295746170291</v>
      </c>
      <c r="AL72">
        <v>0.77728319224104658</v>
      </c>
      <c r="AM72">
        <v>-1.6127557485530779</v>
      </c>
      <c r="AN72">
        <v>3.1495182546933989</v>
      </c>
      <c r="AO72">
        <v>1.176837387640441</v>
      </c>
      <c r="AP72">
        <v>1.0476284545577359</v>
      </c>
      <c r="AQ72">
        <v>-0.52486557418804092</v>
      </c>
    </row>
    <row r="73" spans="1:43" x14ac:dyDescent="0.3">
      <c r="A73">
        <v>548</v>
      </c>
      <c r="B73">
        <v>2023</v>
      </c>
      <c r="C73" t="s">
        <v>131</v>
      </c>
      <c r="D73">
        <v>15.66666666666667</v>
      </c>
      <c r="E73">
        <v>14.482672753842721</v>
      </c>
      <c r="F73">
        <v>1.1839939128239469</v>
      </c>
      <c r="G73">
        <v>0.1995973503923614</v>
      </c>
      <c r="H73">
        <v>0.64142929496606882</v>
      </c>
      <c r="I73">
        <v>0.2009611117135188</v>
      </c>
      <c r="J73">
        <v>0.53310016648871883</v>
      </c>
      <c r="K73">
        <v>0.30213081591089108</v>
      </c>
      <c r="L73">
        <v>0.19988495175882751</v>
      </c>
      <c r="M73">
        <v>-0.4261575065350533</v>
      </c>
      <c r="N73">
        <v>-0.32387175569480892</v>
      </c>
      <c r="O73">
        <v>0.60217794925597745</v>
      </c>
      <c r="P73">
        <v>0.46039509518665639</v>
      </c>
      <c r="Q73">
        <v>-0.52486557418804092</v>
      </c>
      <c r="R73">
        <v>0.1995973503923614</v>
      </c>
      <c r="S73">
        <v>9.113751274705443</v>
      </c>
      <c r="T73">
        <v>2.210259888524568E-2</v>
      </c>
      <c r="U73">
        <v>9.0916486758201973</v>
      </c>
      <c r="V73">
        <v>0.64142929496606882</v>
      </c>
      <c r="W73">
        <v>4.6286620780019438</v>
      </c>
      <c r="X73">
        <v>9.4936803620183419E-2</v>
      </c>
      <c r="Y73">
        <v>4.5337252743817604</v>
      </c>
      <c r="Z73">
        <v>0.2009611117135188</v>
      </c>
      <c r="AA73">
        <v>-0.53310016648871883</v>
      </c>
      <c r="AB73">
        <v>-0.36105429762281449</v>
      </c>
      <c r="AC73">
        <v>-0.24320733419896781</v>
      </c>
      <c r="AD73">
        <v>-0.33265477198250831</v>
      </c>
      <c r="AE73">
        <v>0.23362946023754419</v>
      </c>
      <c r="AF73">
        <v>0.49941720026528252</v>
      </c>
      <c r="AG73">
        <v>0.35468576234151311</v>
      </c>
      <c r="AH73">
        <v>0.19926753212071721</v>
      </c>
      <c r="AI73">
        <v>0.24496452757041601</v>
      </c>
      <c r="AJ73">
        <v>-0.45161163425794221</v>
      </c>
      <c r="AK73">
        <v>-0.69826865549223383</v>
      </c>
      <c r="AL73">
        <v>-0.12859222985498389</v>
      </c>
      <c r="AM73">
        <v>0.32387175569480892</v>
      </c>
      <c r="AN73">
        <v>0.60217794925597745</v>
      </c>
      <c r="AO73">
        <v>0.61763572552651747</v>
      </c>
      <c r="AP73">
        <v>0.30315446484679531</v>
      </c>
      <c r="AQ73">
        <v>-0.52486557418804092</v>
      </c>
    </row>
    <row r="74" spans="1:43" x14ac:dyDescent="0.3">
      <c r="A74">
        <v>556</v>
      </c>
      <c r="B74">
        <v>2023</v>
      </c>
      <c r="C74" t="s">
        <v>132</v>
      </c>
      <c r="D74">
        <v>6.5</v>
      </c>
      <c r="E74">
        <v>7.0197996744794926</v>
      </c>
      <c r="F74">
        <v>-0.51979967447949349</v>
      </c>
      <c r="G74">
        <v>0.44216290206636799</v>
      </c>
      <c r="H74">
        <v>-1.4998854004346649</v>
      </c>
      <c r="I74">
        <v>1.5759860097230629</v>
      </c>
      <c r="J74">
        <v>0.58579640631582286</v>
      </c>
      <c r="K74">
        <v>0.30213081591089108</v>
      </c>
      <c r="L74">
        <v>-0.34729457450653722</v>
      </c>
      <c r="M74">
        <v>-0.58349386575227746</v>
      </c>
      <c r="N74">
        <v>-1.787642873607048</v>
      </c>
      <c r="O74">
        <v>-2.0761907439995202</v>
      </c>
      <c r="P74">
        <v>-0.20263419695592871</v>
      </c>
      <c r="Q74">
        <v>-0.52486557418804092</v>
      </c>
      <c r="R74">
        <v>0.44216290206636799</v>
      </c>
      <c r="S74">
        <v>9.113751274705443</v>
      </c>
      <c r="T74">
        <v>2.210259888524568E-2</v>
      </c>
      <c r="U74">
        <v>9.0916486758201973</v>
      </c>
      <c r="V74">
        <v>-1.4998854004346649</v>
      </c>
      <c r="W74">
        <v>4.6286620780019438</v>
      </c>
      <c r="X74">
        <v>9.4936803620183419E-2</v>
      </c>
      <c r="Y74">
        <v>4.5337252743817604</v>
      </c>
      <c r="Z74">
        <v>1.5759860097230629</v>
      </c>
      <c r="AA74">
        <v>-0.58579640631582286</v>
      </c>
      <c r="AB74">
        <v>-0.36105429762281449</v>
      </c>
      <c r="AC74">
        <v>-0.24320733419896781</v>
      </c>
      <c r="AD74">
        <v>-0.3714368510373397</v>
      </c>
      <c r="AE74">
        <v>5.9231505080214041E-2</v>
      </c>
      <c r="AF74">
        <v>-0.60186126987837529</v>
      </c>
      <c r="AG74">
        <v>-0.73281653761930909</v>
      </c>
      <c r="AH74">
        <v>-2.181993868436451E-2</v>
      </c>
      <c r="AI74">
        <v>-0.41506435490004823</v>
      </c>
      <c r="AJ74">
        <v>-1.709852534706553</v>
      </c>
      <c r="AK74">
        <v>0.3381902505558157</v>
      </c>
      <c r="AL74">
        <v>-0.37881931310609562</v>
      </c>
      <c r="AM74">
        <v>1.787642873607048</v>
      </c>
      <c r="AN74">
        <v>-2.0761907439995202</v>
      </c>
      <c r="AO74">
        <v>-5.1652753501568061E-2</v>
      </c>
      <c r="AP74">
        <v>-0.35361564041028931</v>
      </c>
      <c r="AQ74">
        <v>-0.52486557418804092</v>
      </c>
    </row>
    <row r="75" spans="1:43" x14ac:dyDescent="0.3">
      <c r="A75">
        <v>564</v>
      </c>
      <c r="B75">
        <v>2023</v>
      </c>
      <c r="C75" t="s">
        <v>134</v>
      </c>
      <c r="D75">
        <v>5</v>
      </c>
      <c r="E75">
        <v>4.8953212605826613</v>
      </c>
      <c r="F75">
        <v>0.1046787394173387</v>
      </c>
      <c r="G75">
        <v>-1.4134449075104749</v>
      </c>
      <c r="H75">
        <v>0.55135515420561476</v>
      </c>
      <c r="I75">
        <v>0.13726131727026211</v>
      </c>
      <c r="J75">
        <v>-1.441120004528452</v>
      </c>
      <c r="K75">
        <v>-1.32843374333387</v>
      </c>
      <c r="L75">
        <v>-1.4069220352038609</v>
      </c>
      <c r="M75">
        <v>-2.5705916784656511</v>
      </c>
      <c r="N75">
        <v>-0.56838462620832475</v>
      </c>
      <c r="O75">
        <v>-0.1086313350980741</v>
      </c>
      <c r="P75">
        <v>-0.24370937826635061</v>
      </c>
      <c r="Q75">
        <v>-0.52486557418804092</v>
      </c>
      <c r="R75">
        <v>-1.4134449075104749</v>
      </c>
      <c r="S75">
        <v>9.113751274705443</v>
      </c>
      <c r="T75">
        <v>2.210259888524568E-2</v>
      </c>
      <c r="U75">
        <v>9.0916486758201973</v>
      </c>
      <c r="V75">
        <v>0.55135515420561476</v>
      </c>
      <c r="W75">
        <v>4.6286620780019438</v>
      </c>
      <c r="X75">
        <v>9.4936803620183419E-2</v>
      </c>
      <c r="Y75">
        <v>4.5337252743817604</v>
      </c>
      <c r="Z75">
        <v>0.13726131727026211</v>
      </c>
      <c r="AA75">
        <v>1.441120004528452</v>
      </c>
      <c r="AB75">
        <v>2.7696665199223802</v>
      </c>
      <c r="AC75">
        <v>-0.11279903325464059</v>
      </c>
      <c r="AD75">
        <v>-1.270264072582342</v>
      </c>
      <c r="AE75">
        <v>-2.375900783866951</v>
      </c>
      <c r="AF75">
        <v>-1.100478800049409</v>
      </c>
      <c r="AG75">
        <v>-1.2760676129149</v>
      </c>
      <c r="AH75">
        <v>-1.208539910819018</v>
      </c>
      <c r="AI75">
        <v>-1.2102810309905441</v>
      </c>
      <c r="AJ75">
        <v>-1.0530031204250789</v>
      </c>
      <c r="AK75">
        <v>-1.4743546961826739</v>
      </c>
      <c r="AL75">
        <v>-5.1844172187891999</v>
      </c>
      <c r="AM75">
        <v>0.56838462620832475</v>
      </c>
      <c r="AN75">
        <v>-0.1086313350980741</v>
      </c>
      <c r="AO75">
        <v>-0.42298518808360869</v>
      </c>
      <c r="AP75">
        <v>-6.4433568449092413E-2</v>
      </c>
      <c r="AQ75">
        <v>-0.52486557418804092</v>
      </c>
    </row>
    <row r="76" spans="1:43" x14ac:dyDescent="0.3">
      <c r="A76">
        <v>566</v>
      </c>
      <c r="B76">
        <v>2023</v>
      </c>
      <c r="C76" t="s">
        <v>135</v>
      </c>
      <c r="D76">
        <v>14.33333333333333</v>
      </c>
      <c r="E76">
        <v>11.88687735631822</v>
      </c>
      <c r="F76">
        <v>2.4464559770151109</v>
      </c>
      <c r="G76">
        <v>-0.66124966839522026</v>
      </c>
      <c r="H76">
        <v>0.68773691408600024</v>
      </c>
      <c r="I76">
        <v>0.60848262050951407</v>
      </c>
      <c r="J76">
        <v>0.162299507169469</v>
      </c>
      <c r="K76">
        <v>0.30213081591089108</v>
      </c>
      <c r="L76">
        <v>-0.57131972063224867</v>
      </c>
      <c r="M76">
        <v>-0.48677037495667119</v>
      </c>
      <c r="N76">
        <v>4.3494871597569117E-2</v>
      </c>
      <c r="O76">
        <v>-1.99127158520645E-2</v>
      </c>
      <c r="P76">
        <v>0.50725297023733806</v>
      </c>
      <c r="Q76">
        <v>-0.52486557418804092</v>
      </c>
      <c r="R76">
        <v>-0.66124966839522026</v>
      </c>
      <c r="S76">
        <v>9.113751274705443</v>
      </c>
      <c r="T76">
        <v>2.210259888524568E-2</v>
      </c>
      <c r="U76">
        <v>9.0916486758201973</v>
      </c>
      <c r="V76">
        <v>0.68773691408600024</v>
      </c>
      <c r="W76">
        <v>4.6286620780019438</v>
      </c>
      <c r="X76">
        <v>9.4936803620183419E-2</v>
      </c>
      <c r="Y76">
        <v>4.5337252743817604</v>
      </c>
      <c r="Z76">
        <v>0.60848262050951407</v>
      </c>
      <c r="AA76">
        <v>-0.162299507169469</v>
      </c>
      <c r="AB76">
        <v>-0.36105429762281449</v>
      </c>
      <c r="AC76">
        <v>-0.24320733419896781</v>
      </c>
      <c r="AD76">
        <v>-0.5484418737720641</v>
      </c>
      <c r="AE76">
        <v>-0.89420406999238244</v>
      </c>
      <c r="AF76">
        <v>-0.2352759475719251</v>
      </c>
      <c r="AG76">
        <v>-0.25237946770533232</v>
      </c>
      <c r="AH76">
        <v>-0.77397547918659093</v>
      </c>
      <c r="AI76">
        <v>-0.72364148556519703</v>
      </c>
      <c r="AJ76">
        <v>-0.35931540775766901</v>
      </c>
      <c r="AK76">
        <v>-0.75263675380359762</v>
      </c>
      <c r="AL76">
        <v>-0.34835896330874699</v>
      </c>
      <c r="AM76">
        <v>-4.3494871597569117E-2</v>
      </c>
      <c r="AN76">
        <v>-1.99127158520645E-2</v>
      </c>
      <c r="AO76">
        <v>0.47913334509727712</v>
      </c>
      <c r="AP76">
        <v>0.53537259537739901</v>
      </c>
      <c r="AQ76">
        <v>-0.52486557418804092</v>
      </c>
    </row>
    <row r="77" spans="1:43" x14ac:dyDescent="0.3">
      <c r="A77">
        <v>576</v>
      </c>
      <c r="B77">
        <v>2023</v>
      </c>
      <c r="C77" t="s">
        <v>136</v>
      </c>
      <c r="D77">
        <v>22</v>
      </c>
      <c r="E77">
        <v>18.004980634820271</v>
      </c>
      <c r="F77">
        <v>3.9950193651797332</v>
      </c>
      <c r="G77">
        <v>1.687632158643767</v>
      </c>
      <c r="H77">
        <v>0.76361157451220596</v>
      </c>
      <c r="I77">
        <v>-0.3466650169374535</v>
      </c>
      <c r="J77">
        <v>0.38186081344402129</v>
      </c>
      <c r="K77">
        <v>0.30213081591089108</v>
      </c>
      <c r="L77">
        <v>1.486744616078929</v>
      </c>
      <c r="M77">
        <v>0.66825993763396896</v>
      </c>
      <c r="N77">
        <v>-3.1879867805907152</v>
      </c>
      <c r="O77">
        <v>2.2483796660568802</v>
      </c>
      <c r="P77">
        <v>0.92125177033162786</v>
      </c>
      <c r="Q77">
        <v>-0.52486557418804092</v>
      </c>
      <c r="R77">
        <v>1.687632158643767</v>
      </c>
      <c r="S77">
        <v>9.113751274705443</v>
      </c>
      <c r="T77">
        <v>2.210259888524568E-2</v>
      </c>
      <c r="U77">
        <v>9.0916486758201973</v>
      </c>
      <c r="V77">
        <v>0.76361157451220596</v>
      </c>
      <c r="W77">
        <v>4.6286620780019438</v>
      </c>
      <c r="X77">
        <v>9.4936803620183419E-2</v>
      </c>
      <c r="Y77">
        <v>4.5337252743817604</v>
      </c>
      <c r="Z77">
        <v>-0.3466650169374535</v>
      </c>
      <c r="AA77">
        <v>-0.38186081344402129</v>
      </c>
      <c r="AB77">
        <v>-0.36105429762281449</v>
      </c>
      <c r="AC77">
        <v>-0.24320733419896781</v>
      </c>
      <c r="AD77">
        <v>-7.5778874714680852E-2</v>
      </c>
      <c r="AE77">
        <v>1.407913196549305</v>
      </c>
      <c r="AF77">
        <v>2.223112739664391</v>
      </c>
      <c r="AG77">
        <v>2.1366027539432499</v>
      </c>
      <c r="AH77">
        <v>1.4095757732826839</v>
      </c>
      <c r="AI77">
        <v>1.819042107748627</v>
      </c>
      <c r="AJ77">
        <v>1.074020180325318</v>
      </c>
      <c r="AK77">
        <v>-0.91491603965860935</v>
      </c>
      <c r="AL77">
        <v>1.8456756722351979</v>
      </c>
      <c r="AM77">
        <v>3.1879867805907152</v>
      </c>
      <c r="AN77">
        <v>2.2483796660568802</v>
      </c>
      <c r="AO77">
        <v>1.235503061864929</v>
      </c>
      <c r="AP77">
        <v>0.60700047879832686</v>
      </c>
      <c r="AQ77">
        <v>-0.52486557418804092</v>
      </c>
    </row>
    <row r="78" spans="1:43" x14ac:dyDescent="0.3">
      <c r="A78">
        <v>578</v>
      </c>
      <c r="B78">
        <v>2023</v>
      </c>
      <c r="C78" t="s">
        <v>137</v>
      </c>
      <c r="D78">
        <v>15</v>
      </c>
      <c r="E78">
        <v>12.993287712463779</v>
      </c>
      <c r="F78">
        <v>2.006712287536224</v>
      </c>
      <c r="G78">
        <v>-0.17972447438646991</v>
      </c>
      <c r="H78">
        <v>0.7743088734890069</v>
      </c>
      <c r="I78">
        <v>-0.55680011676980046</v>
      </c>
      <c r="J78">
        <v>0.55609037973696662</v>
      </c>
      <c r="K78">
        <v>0.30213081591089108</v>
      </c>
      <c r="L78">
        <v>-0.42590689141176552</v>
      </c>
      <c r="M78">
        <v>-0.2074033744599007</v>
      </c>
      <c r="N78">
        <v>-0.118670976054674</v>
      </c>
      <c r="O78">
        <v>0.48673124576838472</v>
      </c>
      <c r="P78">
        <v>0.73586677819514046</v>
      </c>
      <c r="Q78">
        <v>-0.52486557418804092</v>
      </c>
      <c r="R78">
        <v>-0.17972447438646991</v>
      </c>
      <c r="S78">
        <v>9.113751274705443</v>
      </c>
      <c r="T78">
        <v>2.210259888524568E-2</v>
      </c>
      <c r="U78">
        <v>9.0916486758201973</v>
      </c>
      <c r="V78">
        <v>0.7743088734890069</v>
      </c>
      <c r="W78">
        <v>4.6286620780019438</v>
      </c>
      <c r="X78">
        <v>9.4936803620183419E-2</v>
      </c>
      <c r="Y78">
        <v>4.5337252743817604</v>
      </c>
      <c r="Z78">
        <v>-0.55680011676980046</v>
      </c>
      <c r="AA78">
        <v>-0.55609037973696662</v>
      </c>
      <c r="AB78">
        <v>-0.36105429762281449</v>
      </c>
      <c r="AC78">
        <v>-0.24320733419896781</v>
      </c>
      <c r="AD78">
        <v>-0.86525093389413932</v>
      </c>
      <c r="AE78">
        <v>-0.57027883295819048</v>
      </c>
      <c r="AF78">
        <v>-3.6324300990817769E-3</v>
      </c>
      <c r="AG78">
        <v>-0.18808662874710519</v>
      </c>
      <c r="AH78">
        <v>-0.33682606130393578</v>
      </c>
      <c r="AI78">
        <v>-0.59136646146814031</v>
      </c>
      <c r="AJ78">
        <v>-0.1337998654617252</v>
      </c>
      <c r="AK78">
        <v>-0.70478622721696482</v>
      </c>
      <c r="AL78">
        <v>0.21637596929898789</v>
      </c>
      <c r="AM78">
        <v>0.118670976054674</v>
      </c>
      <c r="AN78">
        <v>0.48673124576838472</v>
      </c>
      <c r="AO78">
        <v>0.89582728903216191</v>
      </c>
      <c r="AP78">
        <v>0.5759062673581189</v>
      </c>
      <c r="AQ78">
        <v>-0.52486557418804092</v>
      </c>
    </row>
    <row r="79" spans="1:43" x14ac:dyDescent="0.3">
      <c r="A79">
        <v>582</v>
      </c>
      <c r="B79">
        <v>2023</v>
      </c>
      <c r="C79" t="s">
        <v>138</v>
      </c>
      <c r="D79">
        <v>11.33333333333333</v>
      </c>
      <c r="E79">
        <v>12.838769456903931</v>
      </c>
      <c r="F79">
        <v>-1.5054361235705991</v>
      </c>
      <c r="G79">
        <v>-0.58501084806097636</v>
      </c>
      <c r="H79">
        <v>0.68288138309832946</v>
      </c>
      <c r="I79">
        <v>1.190643730246584</v>
      </c>
      <c r="J79">
        <v>0.2676729078085332</v>
      </c>
      <c r="K79">
        <v>0.30213081591089108</v>
      </c>
      <c r="L79">
        <v>-0.57392345629934394</v>
      </c>
      <c r="M79">
        <v>-0.163436344687962</v>
      </c>
      <c r="N79">
        <v>0.66101419586798371</v>
      </c>
      <c r="O79">
        <v>0.34652194851077178</v>
      </c>
      <c r="P79">
        <v>0.25906189266014018</v>
      </c>
      <c r="Q79">
        <v>-0.52486557418804092</v>
      </c>
      <c r="R79">
        <v>-0.58501084806097636</v>
      </c>
      <c r="S79">
        <v>9.113751274705443</v>
      </c>
      <c r="T79">
        <v>2.210259888524568E-2</v>
      </c>
      <c r="U79">
        <v>9.0916486758201973</v>
      </c>
      <c r="V79">
        <v>0.68288138309832946</v>
      </c>
      <c r="W79">
        <v>4.6286620780019438</v>
      </c>
      <c r="X79">
        <v>9.4936803620183419E-2</v>
      </c>
      <c r="Y79">
        <v>4.5337252743817604</v>
      </c>
      <c r="Z79">
        <v>1.190643730246584</v>
      </c>
      <c r="AA79">
        <v>-0.2676729078085332</v>
      </c>
      <c r="AB79">
        <v>-0.36105429762281449</v>
      </c>
      <c r="AC79">
        <v>-0.24320733419896781</v>
      </c>
      <c r="AD79">
        <v>-1.357276602267486</v>
      </c>
      <c r="AE79">
        <v>6.8250553669197467E-2</v>
      </c>
      <c r="AF79">
        <v>-0.55527585731997731</v>
      </c>
      <c r="AG79">
        <v>-0.64874617846720606</v>
      </c>
      <c r="AH79">
        <v>-0.49266688374889572</v>
      </c>
      <c r="AI79">
        <v>-0.45782576966169569</v>
      </c>
      <c r="AJ79">
        <v>0.26024462693314321</v>
      </c>
      <c r="AK79">
        <v>-1.01820717635941</v>
      </c>
      <c r="AL79">
        <v>0.26765351536238102</v>
      </c>
      <c r="AM79">
        <v>-0.66101419586798371</v>
      </c>
      <c r="AN79">
        <v>0.34652194851077178</v>
      </c>
      <c r="AO79">
        <v>0.48238229580770459</v>
      </c>
      <c r="AP79">
        <v>3.5741489512575782E-2</v>
      </c>
      <c r="AQ79">
        <v>-0.52486557418804092</v>
      </c>
    </row>
    <row r="80" spans="1:43" x14ac:dyDescent="0.3">
      <c r="A80">
        <v>614</v>
      </c>
      <c r="B80">
        <v>2023</v>
      </c>
      <c r="C80" t="s">
        <v>140</v>
      </c>
      <c r="D80">
        <v>7</v>
      </c>
      <c r="E80">
        <v>7.9929335855464139</v>
      </c>
      <c r="F80">
        <v>-0.99293358554641387</v>
      </c>
      <c r="G80">
        <v>-0.84543189691791298</v>
      </c>
      <c r="H80">
        <v>-2.0670619944997231E-2</v>
      </c>
      <c r="I80">
        <v>-0.90084013062371593</v>
      </c>
      <c r="J80">
        <v>-2.4164392586781842</v>
      </c>
      <c r="K80">
        <v>0.30213081591089108</v>
      </c>
      <c r="L80">
        <v>-1.0903868055112531</v>
      </c>
      <c r="M80">
        <v>-0.84522333221663037</v>
      </c>
      <c r="N80">
        <v>-0.39896757310169828</v>
      </c>
      <c r="O80">
        <v>0.82218357348737314</v>
      </c>
      <c r="P80">
        <v>0.38648620400630518</v>
      </c>
      <c r="Q80">
        <v>-0.52486557418804092</v>
      </c>
      <c r="R80">
        <v>-0.84543189691791298</v>
      </c>
      <c r="S80">
        <v>9.113751274705443</v>
      </c>
      <c r="T80">
        <v>2.210259888524568E-2</v>
      </c>
      <c r="U80">
        <v>9.0916486758201973</v>
      </c>
      <c r="V80">
        <v>-2.0670619944997231E-2</v>
      </c>
      <c r="W80">
        <v>4.6286620780019438</v>
      </c>
      <c r="X80">
        <v>9.4936803620183419E-2</v>
      </c>
      <c r="Y80">
        <v>4.5337252743817604</v>
      </c>
      <c r="Z80">
        <v>-0.90084013062371593</v>
      </c>
      <c r="AA80">
        <v>2.4164392586781842</v>
      </c>
      <c r="AB80">
        <v>-0.36105429762281449</v>
      </c>
      <c r="AC80">
        <v>-0.24320733419896781</v>
      </c>
      <c r="AD80">
        <v>-1.2656375457917139</v>
      </c>
      <c r="AE80">
        <v>-0.41779975305747591</v>
      </c>
      <c r="AF80">
        <v>-1.2941086663903909</v>
      </c>
      <c r="AG80">
        <v>-1.3712933953251449</v>
      </c>
      <c r="AH80">
        <v>-1.4135213434403371</v>
      </c>
      <c r="AI80">
        <v>-0.77996012906245282</v>
      </c>
      <c r="AJ80">
        <v>0.85710024098609283</v>
      </c>
      <c r="AK80">
        <v>-1.028354788032092</v>
      </c>
      <c r="AL80">
        <v>-2.364415449603892</v>
      </c>
      <c r="AM80">
        <v>0.39896757310169828</v>
      </c>
      <c r="AN80">
        <v>0.82218357348737314</v>
      </c>
      <c r="AO80">
        <v>0.11213839322418299</v>
      </c>
      <c r="AP80">
        <v>0.6608340147884274</v>
      </c>
      <c r="AQ80">
        <v>-0.52486557418804092</v>
      </c>
    </row>
    <row r="81" spans="1:43" x14ac:dyDescent="0.3">
      <c r="A81">
        <v>616</v>
      </c>
      <c r="B81">
        <v>2023</v>
      </c>
      <c r="C81" t="s">
        <v>142</v>
      </c>
      <c r="D81">
        <v>15.5</v>
      </c>
      <c r="E81">
        <v>13.311700555609301</v>
      </c>
      <c r="F81">
        <v>2.1882994443906969</v>
      </c>
      <c r="G81">
        <v>-0.18965925333897851</v>
      </c>
      <c r="H81">
        <v>-0.93770055391969542</v>
      </c>
      <c r="I81">
        <v>0.1891292787497611</v>
      </c>
      <c r="J81">
        <v>-0.10474946779793751</v>
      </c>
      <c r="K81">
        <v>0.30213081591089108</v>
      </c>
      <c r="L81">
        <v>0.39378415475130568</v>
      </c>
      <c r="M81">
        <v>8.6585822928845702E-2</v>
      </c>
      <c r="N81">
        <v>0.98751291808987196</v>
      </c>
      <c r="O81">
        <v>6.213358047732348E-2</v>
      </c>
      <c r="P81">
        <v>0.39551598927614728</v>
      </c>
      <c r="Q81">
        <v>-0.52486557418804092</v>
      </c>
      <c r="R81">
        <v>-0.18965925333897851</v>
      </c>
      <c r="S81">
        <v>9.113751274705443</v>
      </c>
      <c r="T81">
        <v>2.210259888524568E-2</v>
      </c>
      <c r="U81">
        <v>9.0916486758201973</v>
      </c>
      <c r="V81">
        <v>-0.93770055391969542</v>
      </c>
      <c r="W81">
        <v>4.6286620780019438</v>
      </c>
      <c r="X81">
        <v>9.4936803620183419E-2</v>
      </c>
      <c r="Y81">
        <v>4.5337252743817604</v>
      </c>
      <c r="Z81">
        <v>0.1891292787497611</v>
      </c>
      <c r="AA81">
        <v>0.10474946779793751</v>
      </c>
      <c r="AB81">
        <v>-0.36105429762281449</v>
      </c>
      <c r="AC81">
        <v>-0.24320733419896781</v>
      </c>
      <c r="AD81">
        <v>2.2194377048731399E-2</v>
      </c>
      <c r="AE81">
        <v>1.1776994242136689</v>
      </c>
      <c r="AF81">
        <v>0.26446468475336199</v>
      </c>
      <c r="AG81">
        <v>0.190662421962498</v>
      </c>
      <c r="AH81">
        <v>0.23223742555826279</v>
      </c>
      <c r="AI81">
        <v>0.47544659497131092</v>
      </c>
      <c r="AJ81">
        <v>-7.4883648111156942E-2</v>
      </c>
      <c r="AK81">
        <v>-9.9972071343506733E-2</v>
      </c>
      <c r="AL81">
        <v>0.43461318824120082</v>
      </c>
      <c r="AM81">
        <v>-0.98751291808987196</v>
      </c>
      <c r="AN81">
        <v>6.213358047732348E-2</v>
      </c>
      <c r="AO81">
        <v>0.43710434148757388</v>
      </c>
      <c r="AP81">
        <v>0.35392763706472058</v>
      </c>
      <c r="AQ81">
        <v>-0.52486557418804092</v>
      </c>
    </row>
    <row r="82" spans="1:43" x14ac:dyDescent="0.3">
      <c r="A82">
        <v>622</v>
      </c>
      <c r="B82">
        <v>2023</v>
      </c>
      <c r="C82" t="s">
        <v>143</v>
      </c>
      <c r="D82">
        <v>7.6666666666666661</v>
      </c>
      <c r="E82">
        <v>7.5928053388463503</v>
      </c>
      <c r="F82">
        <v>7.3861327820315736E-2</v>
      </c>
      <c r="G82">
        <v>-1.2780538355972031</v>
      </c>
      <c r="H82">
        <v>-0.45134561490923919</v>
      </c>
      <c r="I82">
        <v>0.2116141273709243</v>
      </c>
      <c r="J82">
        <v>0.24552217122661149</v>
      </c>
      <c r="K82">
        <v>0.30213081591089108</v>
      </c>
      <c r="L82">
        <v>-1.4431751898776219</v>
      </c>
      <c r="M82">
        <v>-0.240860814476966</v>
      </c>
      <c r="N82">
        <v>0.41400090968054237</v>
      </c>
      <c r="O82">
        <v>-0.18514322404700839</v>
      </c>
      <c r="P82">
        <v>0.24163242253719641</v>
      </c>
      <c r="Q82">
        <v>-0.52486557418804092</v>
      </c>
      <c r="R82">
        <v>-1.2780538355972031</v>
      </c>
      <c r="S82">
        <v>9.113751274705443</v>
      </c>
      <c r="T82">
        <v>2.210259888524568E-2</v>
      </c>
      <c r="U82">
        <v>9.0916486758201973</v>
      </c>
      <c r="V82">
        <v>-0.45134561490923919</v>
      </c>
      <c r="W82">
        <v>4.6286620780019438</v>
      </c>
      <c r="X82">
        <v>9.4936803620183419E-2</v>
      </c>
      <c r="Y82">
        <v>4.5337252743817604</v>
      </c>
      <c r="Z82">
        <v>0.2116141273709243</v>
      </c>
      <c r="AA82">
        <v>-0.24552217122661149</v>
      </c>
      <c r="AB82">
        <v>-0.36105429762281449</v>
      </c>
      <c r="AC82">
        <v>-0.24320733419896781</v>
      </c>
      <c r="AD82">
        <v>-1.5076027146175781</v>
      </c>
      <c r="AE82">
        <v>-1.9788412310163399</v>
      </c>
      <c r="AF82">
        <v>-1.237212789171718</v>
      </c>
      <c r="AG82">
        <v>-1.180570113623886</v>
      </c>
      <c r="AH82">
        <v>-1.462708306581151</v>
      </c>
      <c r="AI82">
        <v>-1.2921159842550589</v>
      </c>
      <c r="AJ82">
        <v>0.22122610272436621</v>
      </c>
      <c r="AK82">
        <v>-1.067295216564663</v>
      </c>
      <c r="AL82">
        <v>0.12348667040939849</v>
      </c>
      <c r="AM82">
        <v>-0.41400090968054237</v>
      </c>
      <c r="AN82">
        <v>-0.18514322404700839</v>
      </c>
      <c r="AO82">
        <v>2.3310474067734281E-2</v>
      </c>
      <c r="AP82">
        <v>0.45995437100665848</v>
      </c>
      <c r="AQ82">
        <v>-0.52486557418804092</v>
      </c>
    </row>
    <row r="83" spans="1:43" x14ac:dyDescent="0.3">
      <c r="A83">
        <v>624</v>
      </c>
      <c r="B83">
        <v>2023</v>
      </c>
      <c r="C83" t="s">
        <v>144</v>
      </c>
      <c r="D83">
        <v>7</v>
      </c>
      <c r="E83">
        <v>8.9641657776690096</v>
      </c>
      <c r="F83">
        <v>-1.96416577766901</v>
      </c>
      <c r="G83">
        <v>-0.48653156110117518</v>
      </c>
      <c r="H83">
        <v>-2.0072347942165649</v>
      </c>
      <c r="I83">
        <v>0.22436281823962259</v>
      </c>
      <c r="J83">
        <v>0.34875872216957332</v>
      </c>
      <c r="K83">
        <v>0.30213081591089108</v>
      </c>
      <c r="L83">
        <v>0.42820963295545938</v>
      </c>
      <c r="M83">
        <v>-0.24712748866580991</v>
      </c>
      <c r="N83">
        <v>-1.652120344080297</v>
      </c>
      <c r="O83">
        <v>-0.57481464089273049</v>
      </c>
      <c r="P83">
        <v>0.61396831739040059</v>
      </c>
      <c r="Q83">
        <v>-0.52486557418804092</v>
      </c>
      <c r="R83">
        <v>-0.48653156110117518</v>
      </c>
      <c r="S83">
        <v>9.113751274705443</v>
      </c>
      <c r="T83">
        <v>2.210259888524568E-2</v>
      </c>
      <c r="U83">
        <v>9.0916486758201973</v>
      </c>
      <c r="V83">
        <v>-2.0072347942165649</v>
      </c>
      <c r="W83">
        <v>4.6286620780019438</v>
      </c>
      <c r="X83">
        <v>9.4936803620183419E-2</v>
      </c>
      <c r="Y83">
        <v>4.5337252743817604</v>
      </c>
      <c r="Z83">
        <v>0.22436281823962259</v>
      </c>
      <c r="AA83">
        <v>-0.34875872216957332</v>
      </c>
      <c r="AB83">
        <v>-0.36105429762281449</v>
      </c>
      <c r="AC83">
        <v>-0.24320733419896781</v>
      </c>
      <c r="AD83">
        <v>0.65248554441914952</v>
      </c>
      <c r="AE83">
        <v>1.004978927859947</v>
      </c>
      <c r="AF83">
        <v>6.0412840063030472E-2</v>
      </c>
      <c r="AG83">
        <v>-0.21386967012700819</v>
      </c>
      <c r="AH83">
        <v>0.3294870229579091</v>
      </c>
      <c r="AI83">
        <v>0.73576313255972903</v>
      </c>
      <c r="AJ83">
        <v>-0.3163875131079355</v>
      </c>
      <c r="AK83">
        <v>-0.32841708534072478</v>
      </c>
      <c r="AL83">
        <v>-9.6577867548769278E-2</v>
      </c>
      <c r="AM83">
        <v>1.652120344080297</v>
      </c>
      <c r="AN83">
        <v>-0.57481464089273049</v>
      </c>
      <c r="AO83">
        <v>0.7323610558694954</v>
      </c>
      <c r="AP83">
        <v>0.49557557891130571</v>
      </c>
      <c r="AQ83">
        <v>-0.52486557418804092</v>
      </c>
    </row>
    <row r="84" spans="1:43" x14ac:dyDescent="0.3">
      <c r="A84">
        <v>634</v>
      </c>
      <c r="B84">
        <v>2023</v>
      </c>
      <c r="C84" t="s">
        <v>145</v>
      </c>
      <c r="D84">
        <v>6</v>
      </c>
      <c r="E84">
        <v>3.6843789477519922</v>
      </c>
      <c r="F84">
        <v>2.3156210522480078</v>
      </c>
      <c r="G84">
        <v>-1.0615396677464251</v>
      </c>
      <c r="H84">
        <v>-1.1019988162001759</v>
      </c>
      <c r="I84">
        <v>-0.75894545485909348</v>
      </c>
      <c r="J84">
        <v>0.44346695334326802</v>
      </c>
      <c r="K84">
        <v>-2.450093175317039</v>
      </c>
      <c r="L84">
        <v>-1.364159758583696</v>
      </c>
      <c r="M84">
        <v>0.31217795714576219</v>
      </c>
      <c r="N84">
        <v>-1.246302880202224</v>
      </c>
      <c r="O84">
        <v>1.129019911643409</v>
      </c>
      <c r="P84">
        <v>-0.37305577513305049</v>
      </c>
      <c r="Q84">
        <v>-0.52486557418804092</v>
      </c>
      <c r="R84">
        <v>-1.0615396677464251</v>
      </c>
      <c r="S84">
        <v>9.113751274705443</v>
      </c>
      <c r="T84">
        <v>2.210259888524568E-2</v>
      </c>
      <c r="U84">
        <v>9.0916486758201973</v>
      </c>
      <c r="V84">
        <v>-1.1019988162001759</v>
      </c>
      <c r="W84">
        <v>4.6286620780019438</v>
      </c>
      <c r="X84">
        <v>9.4936803620183419E-2</v>
      </c>
      <c r="Y84">
        <v>4.5337252743817604</v>
      </c>
      <c r="Z84">
        <v>-0.75894545485909348</v>
      </c>
      <c r="AA84">
        <v>-0.44346695334326802</v>
      </c>
      <c r="AB84">
        <v>2.7696665199223802</v>
      </c>
      <c r="AC84">
        <v>2.1305198307116981</v>
      </c>
      <c r="AD84">
        <v>-1.550728709510496</v>
      </c>
      <c r="AE84">
        <v>-0.280973746411664</v>
      </c>
      <c r="AF84">
        <v>-1.678987923179043</v>
      </c>
      <c r="AG84">
        <v>-1.697555994606464</v>
      </c>
      <c r="AH84">
        <v>-1.4011009049185981</v>
      </c>
      <c r="AI84">
        <v>-1.5756112728759131</v>
      </c>
      <c r="AJ84">
        <v>1.5759232007834989</v>
      </c>
      <c r="AK84">
        <v>-0.24129612658988969</v>
      </c>
      <c r="AL84">
        <v>-0.39809320275632271</v>
      </c>
      <c r="AM84">
        <v>1.246302880202224</v>
      </c>
      <c r="AN84">
        <v>1.129019911643409</v>
      </c>
      <c r="AO84">
        <v>-0.44071712333451241</v>
      </c>
      <c r="AP84">
        <v>-0.30539442693158869</v>
      </c>
      <c r="AQ84">
        <v>-0.52486557418804092</v>
      </c>
    </row>
    <row r="85" spans="1:43" x14ac:dyDescent="0.3">
      <c r="A85">
        <v>636</v>
      </c>
      <c r="B85">
        <v>2023</v>
      </c>
      <c r="C85" t="s">
        <v>146</v>
      </c>
      <c r="D85">
        <v>7</v>
      </c>
      <c r="E85">
        <v>6.1899977790489604</v>
      </c>
      <c r="F85">
        <v>0.81000222095104046</v>
      </c>
      <c r="G85">
        <v>-1.998176373597861</v>
      </c>
      <c r="H85">
        <v>-0.28778490195700102</v>
      </c>
      <c r="I85">
        <v>0.94531875082461081</v>
      </c>
      <c r="J85">
        <v>-0.89158713134232581</v>
      </c>
      <c r="K85">
        <v>0.30213081591089108</v>
      </c>
      <c r="L85">
        <v>-1.8902443068647321</v>
      </c>
      <c r="M85">
        <v>-0.17589464752120179</v>
      </c>
      <c r="N85">
        <v>0.86321447669940832</v>
      </c>
      <c r="O85">
        <v>-0.25821550467070759</v>
      </c>
      <c r="P85">
        <v>-0.25248725883984457</v>
      </c>
      <c r="Q85">
        <v>-0.52486557418804092</v>
      </c>
      <c r="R85">
        <v>-1.998176373597861</v>
      </c>
      <c r="S85">
        <v>9.113751274705443</v>
      </c>
      <c r="T85">
        <v>2.210259888524568E-2</v>
      </c>
      <c r="U85">
        <v>9.0916486758201973</v>
      </c>
      <c r="V85">
        <v>-0.28778490195700102</v>
      </c>
      <c r="W85">
        <v>4.6286620780019438</v>
      </c>
      <c r="X85">
        <v>9.4936803620183419E-2</v>
      </c>
      <c r="Y85">
        <v>4.5337252743817604</v>
      </c>
      <c r="Z85">
        <v>0.94531875082461081</v>
      </c>
      <c r="AA85">
        <v>0.89158713134232581</v>
      </c>
      <c r="AB85">
        <v>-0.36105429762281449</v>
      </c>
      <c r="AC85">
        <v>-0.24320733419896781</v>
      </c>
      <c r="AD85">
        <v>-1.3797992766744069</v>
      </c>
      <c r="AE85">
        <v>-2.425051289486301</v>
      </c>
      <c r="AF85">
        <v>-2.237704504392684</v>
      </c>
      <c r="AG85">
        <v>-1.780236550819482</v>
      </c>
      <c r="AH85">
        <v>-1.8566783211113671</v>
      </c>
      <c r="AI85">
        <v>-1.661995898704149</v>
      </c>
      <c r="AJ85">
        <v>0.12446918431069361</v>
      </c>
      <c r="AK85">
        <v>-1.20350421552075</v>
      </c>
      <c r="AL85">
        <v>0.55135108864645166</v>
      </c>
      <c r="AM85">
        <v>-0.86321447669940832</v>
      </c>
      <c r="AN85">
        <v>-0.25821550467070759</v>
      </c>
      <c r="AO85">
        <v>-0.17153331322877599</v>
      </c>
      <c r="AP85">
        <v>-0.33344120445091308</v>
      </c>
      <c r="AQ85">
        <v>-0.52486557418804092</v>
      </c>
    </row>
    <row r="86" spans="1:43" x14ac:dyDescent="0.3">
      <c r="A86">
        <v>638</v>
      </c>
      <c r="B86">
        <v>2023</v>
      </c>
      <c r="C86" t="s">
        <v>148</v>
      </c>
      <c r="D86">
        <v>9</v>
      </c>
      <c r="E86">
        <v>7.7121918530782478</v>
      </c>
      <c r="F86">
        <v>1.2878081469217519</v>
      </c>
      <c r="G86">
        <v>-1.445273864619727</v>
      </c>
      <c r="H86">
        <v>-0.93054361975325228</v>
      </c>
      <c r="I86">
        <v>1.2415075140206719</v>
      </c>
      <c r="J86">
        <v>0.45527686371726422</v>
      </c>
      <c r="K86">
        <v>0.30213081591089108</v>
      </c>
      <c r="L86">
        <v>-0.48773305867296979</v>
      </c>
      <c r="M86">
        <v>-0.58310761197404604</v>
      </c>
      <c r="N86">
        <v>8.7391057873146286E-2</v>
      </c>
      <c r="O86">
        <v>-0.39867048823726592</v>
      </c>
      <c r="P86">
        <v>-3.567483220814093</v>
      </c>
      <c r="Q86">
        <v>-0.52486557418804092</v>
      </c>
      <c r="R86">
        <v>-1.445273864619727</v>
      </c>
      <c r="S86">
        <v>9.113751274705443</v>
      </c>
      <c r="T86">
        <v>2.210259888524568E-2</v>
      </c>
      <c r="U86">
        <v>9.0916486758201973</v>
      </c>
      <c r="V86">
        <v>-0.93054361975325228</v>
      </c>
      <c r="W86">
        <v>4.6286620780019438</v>
      </c>
      <c r="X86">
        <v>9.4936803620183419E-2</v>
      </c>
      <c r="Y86">
        <v>4.5337252743817604</v>
      </c>
      <c r="Z86">
        <v>1.2415075140206719</v>
      </c>
      <c r="AA86">
        <v>-0.45527686371726422</v>
      </c>
      <c r="AB86">
        <v>-0.36105429762281449</v>
      </c>
      <c r="AC86">
        <v>-0.24320733419896781</v>
      </c>
      <c r="AD86">
        <v>-0.51954244876032574</v>
      </c>
      <c r="AE86">
        <v>-0.41353992223626151</v>
      </c>
      <c r="AF86">
        <v>-0.59733586231255342</v>
      </c>
      <c r="AG86">
        <v>-0.59849127418736825</v>
      </c>
      <c r="AH86">
        <v>-0.54733966633400088</v>
      </c>
      <c r="AI86">
        <v>-0.25014917820730909</v>
      </c>
      <c r="AJ86">
        <v>-0.27686778756057429</v>
      </c>
      <c r="AK86">
        <v>-1.1850240121493609</v>
      </c>
      <c r="AL86">
        <v>-0.28743103621220267</v>
      </c>
      <c r="AM86">
        <v>-8.7391057873146286E-2</v>
      </c>
      <c r="AN86">
        <v>-0.39867048823726592</v>
      </c>
      <c r="AO86">
        <v>-3.6547202296267671</v>
      </c>
      <c r="AP86">
        <v>-3.480246212001417</v>
      </c>
      <c r="AQ86">
        <v>-0.52486557418804092</v>
      </c>
    </row>
    <row r="87" spans="1:43" x14ac:dyDescent="0.3">
      <c r="A87">
        <v>644</v>
      </c>
      <c r="B87">
        <v>2023</v>
      </c>
      <c r="C87" t="s">
        <v>149</v>
      </c>
      <c r="D87">
        <v>4.6666666666666679</v>
      </c>
      <c r="E87">
        <v>7.4762449760221577</v>
      </c>
      <c r="F87">
        <v>-2.8095783093554898</v>
      </c>
      <c r="G87">
        <v>-1.3840496057115841</v>
      </c>
      <c r="H87">
        <v>0.1624662608820997</v>
      </c>
      <c r="I87">
        <v>1.548654912175786</v>
      </c>
      <c r="J87">
        <v>-2.902744275677843</v>
      </c>
      <c r="K87">
        <v>0.30213081591089108</v>
      </c>
      <c r="L87">
        <v>-1.335332565658027</v>
      </c>
      <c r="M87">
        <v>-0.60638438433663167</v>
      </c>
      <c r="N87">
        <v>0.53654906009925829</v>
      </c>
      <c r="O87">
        <v>-0.2296124459661204</v>
      </c>
      <c r="P87">
        <v>-0.95718193015625497</v>
      </c>
      <c r="Q87">
        <v>-0.52486557418804092</v>
      </c>
      <c r="R87">
        <v>-1.3840496057115841</v>
      </c>
      <c r="S87">
        <v>9.113751274705443</v>
      </c>
      <c r="T87">
        <v>2.210259888524568E-2</v>
      </c>
      <c r="U87">
        <v>9.0916486758201973</v>
      </c>
      <c r="V87">
        <v>0.1624662608820997</v>
      </c>
      <c r="W87">
        <v>4.6286620780019438</v>
      </c>
      <c r="X87">
        <v>9.4936803620183419E-2</v>
      </c>
      <c r="Y87">
        <v>4.5337252743817604</v>
      </c>
      <c r="Z87">
        <v>1.548654912175786</v>
      </c>
      <c r="AA87">
        <v>2.902744275677843</v>
      </c>
      <c r="AB87">
        <v>-0.36105429762281449</v>
      </c>
      <c r="AC87">
        <v>-0.24320733419896781</v>
      </c>
      <c r="AD87">
        <v>-1.4382757382867939</v>
      </c>
      <c r="AE87">
        <v>-2.28368507332398</v>
      </c>
      <c r="AF87">
        <v>-1.134431304688331</v>
      </c>
      <c r="AG87">
        <v>-1.293856396789953</v>
      </c>
      <c r="AH87">
        <v>-1.246296017330381</v>
      </c>
      <c r="AI87">
        <v>-0.61545086352872758</v>
      </c>
      <c r="AJ87">
        <v>-8.4481653745043642E-2</v>
      </c>
      <c r="AK87">
        <v>-1.7476802040818371</v>
      </c>
      <c r="AL87">
        <v>1.300870481698593E-2</v>
      </c>
      <c r="AM87">
        <v>-0.53654906009925829</v>
      </c>
      <c r="AN87">
        <v>-0.2296124459661204</v>
      </c>
      <c r="AO87">
        <v>-1.2988994719528619</v>
      </c>
      <c r="AP87">
        <v>-0.61546438835964767</v>
      </c>
      <c r="AQ87">
        <v>-0.52486557418804092</v>
      </c>
    </row>
    <row r="88" spans="1:43" x14ac:dyDescent="0.3">
      <c r="A88">
        <v>646</v>
      </c>
      <c r="B88">
        <v>2023</v>
      </c>
      <c r="C88" t="s">
        <v>150</v>
      </c>
      <c r="D88">
        <v>6.5</v>
      </c>
      <c r="E88">
        <v>7.6678791933159118</v>
      </c>
      <c r="F88">
        <v>-1.1678791933159121</v>
      </c>
      <c r="G88">
        <v>-1.8945163724004579E-2</v>
      </c>
      <c r="H88">
        <v>-0.92056105988149572</v>
      </c>
      <c r="I88">
        <v>-0.4916158857185447</v>
      </c>
      <c r="J88">
        <v>0.35597058989391978</v>
      </c>
      <c r="K88">
        <v>0.30213081591089108</v>
      </c>
      <c r="L88">
        <v>-1.066879047309186</v>
      </c>
      <c r="M88">
        <v>-0.23453200343533551</v>
      </c>
      <c r="N88">
        <v>-0.34829248211014602</v>
      </c>
      <c r="O88">
        <v>-0.2649136893040604</v>
      </c>
      <c r="P88">
        <v>-0.17496581502316411</v>
      </c>
      <c r="Q88">
        <v>-0.52486557418804092</v>
      </c>
      <c r="R88">
        <v>-1.8945163724004579E-2</v>
      </c>
      <c r="S88">
        <v>9.113751274705443</v>
      </c>
      <c r="T88">
        <v>2.210259888524568E-2</v>
      </c>
      <c r="U88">
        <v>9.0916486758201973</v>
      </c>
      <c r="V88">
        <v>-0.92056105988149572</v>
      </c>
      <c r="W88">
        <v>4.6286620780019438</v>
      </c>
      <c r="X88">
        <v>9.4936803620183419E-2</v>
      </c>
      <c r="Y88">
        <v>4.5337252743817604</v>
      </c>
      <c r="Z88">
        <v>-0.4916158857185447</v>
      </c>
      <c r="AA88">
        <v>-0.35597058989391978</v>
      </c>
      <c r="AB88">
        <v>-0.36105429762281449</v>
      </c>
      <c r="AC88">
        <v>-0.24320733419896781</v>
      </c>
      <c r="AD88">
        <v>-1.411875074206786</v>
      </c>
      <c r="AE88">
        <v>-0.3661041790237563</v>
      </c>
      <c r="AF88">
        <v>-1.01577277424922</v>
      </c>
      <c r="AG88">
        <v>-1.1818269487277</v>
      </c>
      <c r="AH88">
        <v>-1.288175381726282</v>
      </c>
      <c r="AI88">
        <v>-1.137519925921372</v>
      </c>
      <c r="AJ88">
        <v>0.32294491439002188</v>
      </c>
      <c r="AK88">
        <v>-0.50711405186942626</v>
      </c>
      <c r="AL88">
        <v>-0.51942687282660216</v>
      </c>
      <c r="AM88">
        <v>0.34829248211014602</v>
      </c>
      <c r="AN88">
        <v>-0.2649136893040604</v>
      </c>
      <c r="AO88">
        <v>-0.26990210990543118</v>
      </c>
      <c r="AP88">
        <v>-8.0029520140897009E-2</v>
      </c>
      <c r="AQ88">
        <v>-0.52486557418804092</v>
      </c>
    </row>
    <row r="89" spans="1:43" x14ac:dyDescent="0.3">
      <c r="A89">
        <v>652</v>
      </c>
      <c r="B89">
        <v>2023</v>
      </c>
      <c r="C89" t="s">
        <v>151</v>
      </c>
      <c r="D89">
        <v>2</v>
      </c>
      <c r="E89">
        <v>5.6432696960114566</v>
      </c>
      <c r="F89">
        <v>-3.643269696011457</v>
      </c>
      <c r="G89">
        <v>-1.0370750873422629</v>
      </c>
      <c r="H89">
        <v>-0.19497855404649561</v>
      </c>
      <c r="I89">
        <v>0.33377452822920539</v>
      </c>
      <c r="J89">
        <v>-2.2547636843498422</v>
      </c>
      <c r="K89">
        <v>-3.920499583278287</v>
      </c>
      <c r="L89">
        <v>-0.2293421516020947</v>
      </c>
      <c r="M89">
        <v>-1.204718539951906</v>
      </c>
      <c r="N89">
        <v>-0.58460954569246226</v>
      </c>
      <c r="O89">
        <v>-0.15531173379769439</v>
      </c>
      <c r="P89">
        <v>0.2350652980232881</v>
      </c>
      <c r="Q89">
        <v>-0.52486557418804092</v>
      </c>
      <c r="R89">
        <v>-1.0370750873422629</v>
      </c>
      <c r="S89">
        <v>9.113751274705443</v>
      </c>
      <c r="T89">
        <v>2.210259888524568E-2</v>
      </c>
      <c r="U89">
        <v>9.0916486758201973</v>
      </c>
      <c r="V89">
        <v>-0.19497855404649561</v>
      </c>
      <c r="W89">
        <v>4.6286620780019438</v>
      </c>
      <c r="X89">
        <v>9.4936803620183419E-2</v>
      </c>
      <c r="Y89">
        <v>4.5337252743817604</v>
      </c>
      <c r="Z89">
        <v>0.33377452822920539</v>
      </c>
      <c r="AA89">
        <v>2.2547636843498422</v>
      </c>
      <c r="AB89">
        <v>2.7696665199223802</v>
      </c>
      <c r="AC89">
        <v>5.0713326466341941</v>
      </c>
      <c r="AD89">
        <v>3.4423029346505707E-2</v>
      </c>
      <c r="AE89">
        <v>-0.1237583122419382</v>
      </c>
      <c r="AF89">
        <v>-0.37136133666594212</v>
      </c>
      <c r="AG89">
        <v>-0.50996707067473845</v>
      </c>
      <c r="AH89">
        <v>-0.12916585852756321</v>
      </c>
      <c r="AI89">
        <v>-0.27622336084889182</v>
      </c>
      <c r="AJ89">
        <v>-1.1978503072759019</v>
      </c>
      <c r="AK89">
        <v>-1.174381395029231</v>
      </c>
      <c r="AL89">
        <v>-1.241923917550587</v>
      </c>
      <c r="AM89">
        <v>0.58460954569246226</v>
      </c>
      <c r="AN89">
        <v>-0.15531173379769439</v>
      </c>
      <c r="AO89">
        <v>8.8382991508828654E-2</v>
      </c>
      <c r="AP89">
        <v>0.38174760453774748</v>
      </c>
      <c r="AQ89">
        <v>-0.52486557418804092</v>
      </c>
    </row>
    <row r="90" spans="1:43" x14ac:dyDescent="0.3">
      <c r="A90">
        <v>662</v>
      </c>
      <c r="B90">
        <v>2023</v>
      </c>
      <c r="C90" t="s">
        <v>152</v>
      </c>
      <c r="D90">
        <v>10</v>
      </c>
      <c r="E90">
        <v>9.5361942446940393</v>
      </c>
      <c r="F90">
        <v>0.46380575530596069</v>
      </c>
      <c r="G90">
        <v>-0.98253206870630905</v>
      </c>
      <c r="H90">
        <v>-0.200954752612925</v>
      </c>
      <c r="I90">
        <v>1.1470274899115509</v>
      </c>
      <c r="J90">
        <v>0.39807797631622932</v>
      </c>
      <c r="K90">
        <v>0.30213081591089108</v>
      </c>
      <c r="L90">
        <v>-0.73120421107397349</v>
      </c>
      <c r="M90">
        <v>-0.77086407702051341</v>
      </c>
      <c r="N90">
        <v>1.44900497800359E-2</v>
      </c>
      <c r="O90">
        <v>-0.2856935786974924</v>
      </c>
      <c r="P90">
        <v>5.300042664750608E-2</v>
      </c>
      <c r="Q90">
        <v>-0.52486557418804092</v>
      </c>
      <c r="R90">
        <v>-0.98253206870630905</v>
      </c>
      <c r="S90">
        <v>9.113751274705443</v>
      </c>
      <c r="T90">
        <v>2.210259888524568E-2</v>
      </c>
      <c r="U90">
        <v>9.0916486758201973</v>
      </c>
      <c r="V90">
        <v>-0.200954752612925</v>
      </c>
      <c r="W90">
        <v>4.6286620780019438</v>
      </c>
      <c r="X90">
        <v>9.4936803620183419E-2</v>
      </c>
      <c r="Y90">
        <v>4.5337252743817604</v>
      </c>
      <c r="Z90">
        <v>1.1470274899115509</v>
      </c>
      <c r="AA90">
        <v>-0.39807797631622932</v>
      </c>
      <c r="AB90">
        <v>-0.36105429762281449</v>
      </c>
      <c r="AC90">
        <v>-0.24320733419896781</v>
      </c>
      <c r="AD90">
        <v>-0.85372935455870613</v>
      </c>
      <c r="AE90">
        <v>-0.98852562910516262</v>
      </c>
      <c r="AF90">
        <v>-0.71356271159296114</v>
      </c>
      <c r="AG90">
        <v>-0.54404268000731482</v>
      </c>
      <c r="AH90">
        <v>-0.77520005982890106</v>
      </c>
      <c r="AI90">
        <v>-0.51216483135079571</v>
      </c>
      <c r="AJ90">
        <v>-0.38790894412389559</v>
      </c>
      <c r="AK90">
        <v>-1.0983155579380659</v>
      </c>
      <c r="AL90">
        <v>-0.82636772899957855</v>
      </c>
      <c r="AM90">
        <v>-1.44900497800359E-2</v>
      </c>
      <c r="AN90">
        <v>-0.2856935786974924</v>
      </c>
      <c r="AO90">
        <v>-9.9062844803119415E-2</v>
      </c>
      <c r="AP90">
        <v>0.2050636980981316</v>
      </c>
      <c r="AQ90">
        <v>-0.52486557418804092</v>
      </c>
    </row>
    <row r="91" spans="1:43" x14ac:dyDescent="0.3">
      <c r="A91">
        <v>664</v>
      </c>
      <c r="B91">
        <v>2023</v>
      </c>
      <c r="C91" t="s">
        <v>153</v>
      </c>
      <c r="D91">
        <v>7.6666666666666661</v>
      </c>
      <c r="E91">
        <v>8.5648624845568104</v>
      </c>
      <c r="F91">
        <v>-0.89819581789014435</v>
      </c>
      <c r="G91">
        <v>-1.1337984701746051</v>
      </c>
      <c r="H91">
        <v>-4.0903794998571899E-2</v>
      </c>
      <c r="I91">
        <v>0.74753940275884456</v>
      </c>
      <c r="J91">
        <v>-0.29323105840328201</v>
      </c>
      <c r="K91">
        <v>0.30213081591089108</v>
      </c>
      <c r="L91">
        <v>-0.77600539456070294</v>
      </c>
      <c r="M91">
        <v>-1.2790043391261461</v>
      </c>
      <c r="N91">
        <v>-0.42661105749676131</v>
      </c>
      <c r="O91">
        <v>-0.45886363392888152</v>
      </c>
      <c r="P91">
        <v>8.3454776039234083E-2</v>
      </c>
      <c r="Q91">
        <v>-0.52486557418804092</v>
      </c>
      <c r="R91">
        <v>-1.1337984701746051</v>
      </c>
      <c r="S91">
        <v>9.113751274705443</v>
      </c>
      <c r="T91">
        <v>2.210259888524568E-2</v>
      </c>
      <c r="U91">
        <v>9.0916486758201973</v>
      </c>
      <c r="V91">
        <v>-4.0903794998571899E-2</v>
      </c>
      <c r="W91">
        <v>4.6286620780019438</v>
      </c>
      <c r="X91">
        <v>9.4936803620183419E-2</v>
      </c>
      <c r="Y91">
        <v>4.5337252743817604</v>
      </c>
      <c r="Z91">
        <v>0.74753940275884456</v>
      </c>
      <c r="AA91">
        <v>0.29323105840328201</v>
      </c>
      <c r="AB91">
        <v>-0.36105429762281449</v>
      </c>
      <c r="AC91">
        <v>-0.24320733419896781</v>
      </c>
      <c r="AD91">
        <v>-0.44714712494481462</v>
      </c>
      <c r="AE91">
        <v>-1.2101848428792139</v>
      </c>
      <c r="AF91">
        <v>-0.70741921764076776</v>
      </c>
      <c r="AG91">
        <v>-0.78659682389687435</v>
      </c>
      <c r="AH91">
        <v>-0.58683885990400397</v>
      </c>
      <c r="AI91">
        <v>-0.91784549809854366</v>
      </c>
      <c r="AJ91">
        <v>-0.75819649306987447</v>
      </c>
      <c r="AK91">
        <v>-1.0242297426366931</v>
      </c>
      <c r="AL91">
        <v>-2.054586781671869</v>
      </c>
      <c r="AM91">
        <v>0.42661105749676131</v>
      </c>
      <c r="AN91">
        <v>-0.45886363392888152</v>
      </c>
      <c r="AO91">
        <v>-0.1016057262787379</v>
      </c>
      <c r="AP91">
        <v>0.26851527835720612</v>
      </c>
      <c r="AQ91">
        <v>-0.52486557418804092</v>
      </c>
    </row>
    <row r="92" spans="1:43" x14ac:dyDescent="0.3">
      <c r="A92">
        <v>666</v>
      </c>
      <c r="B92">
        <v>2023</v>
      </c>
      <c r="C92" t="s">
        <v>154</v>
      </c>
      <c r="D92">
        <v>8</v>
      </c>
      <c r="E92">
        <v>6.9674286286703007</v>
      </c>
      <c r="F92">
        <v>1.0325713713296989</v>
      </c>
      <c r="G92">
        <v>-1.737270651726835</v>
      </c>
      <c r="H92">
        <v>-2.070618349059858</v>
      </c>
      <c r="I92">
        <v>-1.069716624733734</v>
      </c>
      <c r="J92">
        <v>-0.18884976655169389</v>
      </c>
      <c r="K92">
        <v>0.30213081591089108</v>
      </c>
      <c r="L92">
        <v>-0.63095545461023772</v>
      </c>
      <c r="M92">
        <v>0.8244717312715899</v>
      </c>
      <c r="N92">
        <v>-9.4861462359629875E-2</v>
      </c>
      <c r="O92">
        <v>-0.42166155441120629</v>
      </c>
      <c r="P92">
        <v>0.6226237628366823</v>
      </c>
      <c r="Q92">
        <v>-0.52486557418804092</v>
      </c>
      <c r="R92">
        <v>-1.737270651726835</v>
      </c>
      <c r="S92">
        <v>9.113751274705443</v>
      </c>
      <c r="T92">
        <v>2.210259888524568E-2</v>
      </c>
      <c r="U92">
        <v>9.0916486758201973</v>
      </c>
      <c r="V92">
        <v>-2.070618349059858</v>
      </c>
      <c r="W92">
        <v>4.6286620780019438</v>
      </c>
      <c r="X92">
        <v>9.4936803620183419E-2</v>
      </c>
      <c r="Y92">
        <v>4.5337252743817604</v>
      </c>
      <c r="Z92">
        <v>-1.069716624733734</v>
      </c>
      <c r="AA92">
        <v>0.18884976655169389</v>
      </c>
      <c r="AB92">
        <v>-0.36105429762281449</v>
      </c>
      <c r="AC92">
        <v>-0.24320733419896781</v>
      </c>
      <c r="AD92">
        <v>-0.34572471016603118</v>
      </c>
      <c r="AE92">
        <v>-0.20427994484124781</v>
      </c>
      <c r="AF92">
        <v>-1.2049147835523339</v>
      </c>
      <c r="AG92">
        <v>-0.97824856796093296</v>
      </c>
      <c r="AH92">
        <v>-0.60267971601205483</v>
      </c>
      <c r="AI92">
        <v>-0.4498850051288254</v>
      </c>
      <c r="AJ92">
        <v>-0.20930584711942929</v>
      </c>
      <c r="AK92">
        <v>2.249406283152259</v>
      </c>
      <c r="AL92">
        <v>0.43331475778193979</v>
      </c>
      <c r="AM92">
        <v>9.4861462359629875E-2</v>
      </c>
      <c r="AN92">
        <v>-0.42166155441120629</v>
      </c>
      <c r="AO92">
        <v>0.91666170785855505</v>
      </c>
      <c r="AP92">
        <v>0.32858581781480961</v>
      </c>
      <c r="AQ92">
        <v>-0.52486557418804092</v>
      </c>
    </row>
    <row r="93" spans="1:43" x14ac:dyDescent="0.3">
      <c r="A93">
        <v>674</v>
      </c>
      <c r="B93">
        <v>2023</v>
      </c>
      <c r="C93" t="s">
        <v>155</v>
      </c>
      <c r="D93">
        <v>7</v>
      </c>
      <c r="E93">
        <v>6.3775675141533732</v>
      </c>
      <c r="F93">
        <v>0.6224324858466268</v>
      </c>
      <c r="G93">
        <v>-2.1773565444809941</v>
      </c>
      <c r="H93">
        <v>-1.042824291494002</v>
      </c>
      <c r="I93">
        <v>3.8415303137614328E-2</v>
      </c>
      <c r="J93">
        <v>-0.48747451158204619</v>
      </c>
      <c r="K93">
        <v>0.30213081591089108</v>
      </c>
      <c r="L93">
        <v>-1.1525242140681911</v>
      </c>
      <c r="M93">
        <v>-0.44066373116692981</v>
      </c>
      <c r="N93">
        <v>0.14973475534301689</v>
      </c>
      <c r="O93">
        <v>-0.32389133430931472</v>
      </c>
      <c r="P93">
        <v>0.35262839980638849</v>
      </c>
      <c r="Q93">
        <v>-0.52486557418804092</v>
      </c>
      <c r="R93">
        <v>-2.1773565444809941</v>
      </c>
      <c r="S93">
        <v>9.113751274705443</v>
      </c>
      <c r="T93">
        <v>2.210259888524568E-2</v>
      </c>
      <c r="U93">
        <v>9.0916486758201973</v>
      </c>
      <c r="V93">
        <v>-1.042824291494002</v>
      </c>
      <c r="W93">
        <v>4.6286620780019438</v>
      </c>
      <c r="X93">
        <v>9.4936803620183419E-2</v>
      </c>
      <c r="Y93">
        <v>4.5337252743817604</v>
      </c>
      <c r="Z93">
        <v>3.8415303137614328E-2</v>
      </c>
      <c r="AA93">
        <v>0.48747451158204619</v>
      </c>
      <c r="AB93">
        <v>-0.36105429762281449</v>
      </c>
      <c r="AC93">
        <v>-0.24320733419896781</v>
      </c>
      <c r="AD93">
        <v>-0.81201423210453361</v>
      </c>
      <c r="AE93">
        <v>-1.0528935981609751</v>
      </c>
      <c r="AF93">
        <v>-1.437621094755748</v>
      </c>
      <c r="AG93">
        <v>-1.3085187021730891</v>
      </c>
      <c r="AH93">
        <v>-1.1558516818980791</v>
      </c>
      <c r="AI93">
        <v>-1.148245975316722</v>
      </c>
      <c r="AJ93">
        <v>-0.28929758075746148</v>
      </c>
      <c r="AK93">
        <v>-1.2935952069562731</v>
      </c>
      <c r="AL93">
        <v>0.26090159421294518</v>
      </c>
      <c r="AM93">
        <v>-0.14973475534301689</v>
      </c>
      <c r="AN93">
        <v>-0.32389133430931472</v>
      </c>
      <c r="AO93">
        <v>0.33509719426689882</v>
      </c>
      <c r="AP93">
        <v>0.37015960534587822</v>
      </c>
      <c r="AQ93">
        <v>-0.52486557418804092</v>
      </c>
    </row>
    <row r="94" spans="1:43" x14ac:dyDescent="0.3">
      <c r="A94">
        <v>684</v>
      </c>
      <c r="B94">
        <v>2023</v>
      </c>
      <c r="C94" t="s">
        <v>156</v>
      </c>
      <c r="D94">
        <v>13</v>
      </c>
      <c r="E94">
        <v>11.630530014541529</v>
      </c>
      <c r="F94">
        <v>1.3694699854584711</v>
      </c>
      <c r="G94">
        <v>0.14005325569631219</v>
      </c>
      <c r="H94">
        <v>-1.1045097486878079</v>
      </c>
      <c r="I94">
        <v>-0.37722694710214127</v>
      </c>
      <c r="J94">
        <v>-0.1107975155985139</v>
      </c>
      <c r="K94">
        <v>0.30213081591089108</v>
      </c>
      <c r="L94">
        <v>0.54706301771209564</v>
      </c>
      <c r="M94">
        <v>-0.49120195692012908</v>
      </c>
      <c r="N94">
        <v>-0.65014821874568152</v>
      </c>
      <c r="O94">
        <v>-0.67830030039219347</v>
      </c>
      <c r="P94">
        <v>0.91468675792987542</v>
      </c>
      <c r="Q94">
        <v>-0.52486557418804092</v>
      </c>
      <c r="R94">
        <v>0.14005325569631219</v>
      </c>
      <c r="S94">
        <v>9.113751274705443</v>
      </c>
      <c r="T94">
        <v>2.210259888524568E-2</v>
      </c>
      <c r="U94">
        <v>9.0916486758201973</v>
      </c>
      <c r="V94">
        <v>-1.1045097486878079</v>
      </c>
      <c r="W94">
        <v>4.6286620780019438</v>
      </c>
      <c r="X94">
        <v>9.4936803620183419E-2</v>
      </c>
      <c r="Y94">
        <v>4.5337252743817604</v>
      </c>
      <c r="Z94">
        <v>-0.37722694710214127</v>
      </c>
      <c r="AA94">
        <v>0.1107975155985139</v>
      </c>
      <c r="AB94">
        <v>-0.36105429762281449</v>
      </c>
      <c r="AC94">
        <v>-0.24320733419896781</v>
      </c>
      <c r="AD94">
        <v>0.17188979777500621</v>
      </c>
      <c r="AE94">
        <v>0.96363089202725027</v>
      </c>
      <c r="AF94">
        <v>0.58624084826310585</v>
      </c>
      <c r="AG94">
        <v>0.76620733759804538</v>
      </c>
      <c r="AH94">
        <v>0.58912506852557067</v>
      </c>
      <c r="AI94">
        <v>0.20528416208359521</v>
      </c>
      <c r="AJ94">
        <v>-0.69890437471536826</v>
      </c>
      <c r="AK94">
        <v>-0.44499086821471151</v>
      </c>
      <c r="AL94">
        <v>-0.32971062783030769</v>
      </c>
      <c r="AM94">
        <v>0.65014821874568152</v>
      </c>
      <c r="AN94">
        <v>-0.67830030039219347</v>
      </c>
      <c r="AO94">
        <v>0.97370596886923455</v>
      </c>
      <c r="AP94">
        <v>0.85566754699051617</v>
      </c>
      <c r="AQ94">
        <v>-0.52486557418804092</v>
      </c>
    </row>
    <row r="95" spans="1:43" x14ac:dyDescent="0.3">
      <c r="A95">
        <v>686</v>
      </c>
      <c r="B95">
        <v>2023</v>
      </c>
      <c r="C95" t="s">
        <v>157</v>
      </c>
      <c r="D95">
        <v>11.66666666666667</v>
      </c>
      <c r="E95">
        <v>10.604228615325139</v>
      </c>
      <c r="F95">
        <v>1.0624380513415319</v>
      </c>
      <c r="G95">
        <v>-0.65354637397836901</v>
      </c>
      <c r="H95">
        <v>0.11565758623981021</v>
      </c>
      <c r="I95">
        <v>-0.36059252511250411</v>
      </c>
      <c r="J95">
        <v>0.38165094427743979</v>
      </c>
      <c r="K95">
        <v>0.30213081591089108</v>
      </c>
      <c r="L95">
        <v>-0.60630252753612035</v>
      </c>
      <c r="M95">
        <v>-0.21413881079645949</v>
      </c>
      <c r="N95">
        <v>-0.29603379452510747</v>
      </c>
      <c r="O95">
        <v>-0.18983712563370159</v>
      </c>
      <c r="P95">
        <v>0.4875335718674938</v>
      </c>
      <c r="Q95">
        <v>-0.52486557418804092</v>
      </c>
      <c r="R95">
        <v>-0.65354637397836901</v>
      </c>
      <c r="S95">
        <v>9.113751274705443</v>
      </c>
      <c r="T95">
        <v>2.210259888524568E-2</v>
      </c>
      <c r="U95">
        <v>9.0916486758201973</v>
      </c>
      <c r="V95">
        <v>0.11565758623981021</v>
      </c>
      <c r="W95">
        <v>4.6286620780019438</v>
      </c>
      <c r="X95">
        <v>9.4936803620183419E-2</v>
      </c>
      <c r="Y95">
        <v>4.5337252743817604</v>
      </c>
      <c r="Z95">
        <v>-0.36059252511250411</v>
      </c>
      <c r="AA95">
        <v>-0.38165094427743979</v>
      </c>
      <c r="AB95">
        <v>-0.36105429762281449</v>
      </c>
      <c r="AC95">
        <v>-0.24320733419896781</v>
      </c>
      <c r="AD95">
        <v>-0.94366074253746624</v>
      </c>
      <c r="AE95">
        <v>-0.68471545760978947</v>
      </c>
      <c r="AF95">
        <v>-0.37256067777088958</v>
      </c>
      <c r="AG95">
        <v>-0.38039627453523939</v>
      </c>
      <c r="AH95">
        <v>-0.55001628053721896</v>
      </c>
      <c r="AI95">
        <v>-0.70646573222611797</v>
      </c>
      <c r="AJ95">
        <v>-0.49784745774233158</v>
      </c>
      <c r="AK95">
        <v>-0.15219514604926321</v>
      </c>
      <c r="AL95">
        <v>7.626171402216211E-3</v>
      </c>
      <c r="AM95">
        <v>0.29603379452510747</v>
      </c>
      <c r="AN95">
        <v>-0.18983712563370159</v>
      </c>
      <c r="AO95">
        <v>0.58253219557046987</v>
      </c>
      <c r="AP95">
        <v>0.39253494816451773</v>
      </c>
      <c r="AQ95">
        <v>-0.52486557418804092</v>
      </c>
    </row>
    <row r="96" spans="1:43" x14ac:dyDescent="0.3">
      <c r="A96">
        <v>688</v>
      </c>
      <c r="B96">
        <v>2023</v>
      </c>
      <c r="C96" t="s">
        <v>158</v>
      </c>
      <c r="D96">
        <v>5.6666666666666679</v>
      </c>
      <c r="E96">
        <v>1.709658186486968</v>
      </c>
      <c r="F96">
        <v>3.9570084801797001</v>
      </c>
      <c r="G96">
        <v>-2.0659119360553628</v>
      </c>
      <c r="H96">
        <v>-0.8986001428985686</v>
      </c>
      <c r="I96">
        <v>0.56539029897730453</v>
      </c>
      <c r="J96">
        <v>-0.20842483608920609</v>
      </c>
      <c r="K96">
        <v>-2.450093175317039</v>
      </c>
      <c r="L96">
        <v>-1.264907193444764</v>
      </c>
      <c r="M96">
        <v>-0.18298911031007381</v>
      </c>
      <c r="N96">
        <v>-0.91271964690421359</v>
      </c>
      <c r="O96">
        <v>-3.6804059636874951</v>
      </c>
      <c r="P96">
        <v>0.35526723315083147</v>
      </c>
      <c r="Q96">
        <v>-0.52486557418804092</v>
      </c>
      <c r="R96">
        <v>-2.0659119360553628</v>
      </c>
      <c r="S96">
        <v>9.113751274705443</v>
      </c>
      <c r="T96">
        <v>2.210259888524568E-2</v>
      </c>
      <c r="U96">
        <v>9.0916486758201973</v>
      </c>
      <c r="V96">
        <v>-0.8986001428985686</v>
      </c>
      <c r="W96">
        <v>4.6286620780019438</v>
      </c>
      <c r="X96">
        <v>9.4936803620183419E-2</v>
      </c>
      <c r="Y96">
        <v>4.5337252743817604</v>
      </c>
      <c r="Z96">
        <v>0.56539029897730453</v>
      </c>
      <c r="AA96">
        <v>0.20842483608920609</v>
      </c>
      <c r="AB96">
        <v>2.7696665199223802</v>
      </c>
      <c r="AC96">
        <v>2.1305198307116981</v>
      </c>
      <c r="AD96">
        <v>-1.0309995296543091</v>
      </c>
      <c r="AE96">
        <v>-1.74778030588462</v>
      </c>
      <c r="AF96">
        <v>-1.2363787122932299</v>
      </c>
      <c r="AG96">
        <v>-1.1951861693251891</v>
      </c>
      <c r="AH96">
        <v>-1.3135379991138441</v>
      </c>
      <c r="AI96">
        <v>-1.065560444397389</v>
      </c>
      <c r="AJ96">
        <v>3.4678964503340903E-2</v>
      </c>
      <c r="AK96">
        <v>-2.7288771476569541E-2</v>
      </c>
      <c r="AL96">
        <v>-0.55635752395699267</v>
      </c>
      <c r="AM96">
        <v>0.91271964690421359</v>
      </c>
      <c r="AN96">
        <v>-3.6804059636874951</v>
      </c>
      <c r="AO96">
        <v>0.5581530904325136</v>
      </c>
      <c r="AP96">
        <v>0.1523813758691494</v>
      </c>
      <c r="AQ96">
        <v>-0.52486557418804092</v>
      </c>
    </row>
    <row r="97" spans="1:43" x14ac:dyDescent="0.3">
      <c r="A97">
        <v>692</v>
      </c>
      <c r="B97">
        <v>2023</v>
      </c>
      <c r="C97" t="s">
        <v>160</v>
      </c>
      <c r="D97">
        <v>5</v>
      </c>
      <c r="E97">
        <v>4.7326211839496386</v>
      </c>
      <c r="F97">
        <v>0.2673788160503614</v>
      </c>
      <c r="G97">
        <v>-2.0611761462036031</v>
      </c>
      <c r="H97">
        <v>-1.012821097146777</v>
      </c>
      <c r="I97">
        <v>1.385890804098705</v>
      </c>
      <c r="J97">
        <v>0.3611410029978826</v>
      </c>
      <c r="K97">
        <v>0.30213081591089108</v>
      </c>
      <c r="L97">
        <v>-1.149769539700003</v>
      </c>
      <c r="M97">
        <v>-0.84836320009462973</v>
      </c>
      <c r="N97">
        <v>0.1733220098670453</v>
      </c>
      <c r="O97">
        <v>-1.130078629967632</v>
      </c>
      <c r="P97">
        <v>-4.2354870521104973</v>
      </c>
      <c r="Q97">
        <v>-0.52486557418804092</v>
      </c>
      <c r="R97">
        <v>-2.0611761462036031</v>
      </c>
      <c r="S97">
        <v>9.113751274705443</v>
      </c>
      <c r="T97">
        <v>2.210259888524568E-2</v>
      </c>
      <c r="U97">
        <v>9.0916486758201973</v>
      </c>
      <c r="V97">
        <v>-1.012821097146777</v>
      </c>
      <c r="W97">
        <v>4.6286620780019438</v>
      </c>
      <c r="X97">
        <v>9.4936803620183419E-2</v>
      </c>
      <c r="Y97">
        <v>4.5337252743817604</v>
      </c>
      <c r="Z97">
        <v>1.385890804098705</v>
      </c>
      <c r="AA97">
        <v>-0.3611410029978826</v>
      </c>
      <c r="AB97">
        <v>-0.36105429762281449</v>
      </c>
      <c r="AC97">
        <v>-0.24320733419896781</v>
      </c>
      <c r="AD97">
        <v>-0.98983762632344918</v>
      </c>
      <c r="AE97">
        <v>-2.0305356017080189</v>
      </c>
      <c r="AF97">
        <v>-1.046987504031877</v>
      </c>
      <c r="AG97">
        <v>-1.167513828442404</v>
      </c>
      <c r="AH97">
        <v>-0.99272482022655795</v>
      </c>
      <c r="AI97">
        <v>-0.67101785746770881</v>
      </c>
      <c r="AJ97">
        <v>-0.42296797775785749</v>
      </c>
      <c r="AK97">
        <v>-1.5654356985130931</v>
      </c>
      <c r="AL97">
        <v>-0.55668592401293937</v>
      </c>
      <c r="AM97">
        <v>-0.1733220098670453</v>
      </c>
      <c r="AN97">
        <v>-1.130078629967632</v>
      </c>
      <c r="AO97">
        <v>-4.6898840030266644</v>
      </c>
      <c r="AP97">
        <v>-3.7810901011943301</v>
      </c>
      <c r="AQ97">
        <v>-0.52486557418804092</v>
      </c>
    </row>
    <row r="98" spans="1:43" x14ac:dyDescent="0.3">
      <c r="A98">
        <v>694</v>
      </c>
      <c r="B98">
        <v>2023</v>
      </c>
      <c r="C98" t="s">
        <v>162</v>
      </c>
      <c r="D98">
        <v>6.6666666666666679</v>
      </c>
      <c r="E98">
        <v>8.2405834789168697</v>
      </c>
      <c r="F98">
        <v>-1.5739168122502021</v>
      </c>
      <c r="G98">
        <v>-1.1197547406753781</v>
      </c>
      <c r="H98">
        <v>0.74458530329359407</v>
      </c>
      <c r="I98">
        <v>-0.33854427549369348</v>
      </c>
      <c r="J98">
        <v>-2.2640742437400041</v>
      </c>
      <c r="K98">
        <v>0.30213081591089108</v>
      </c>
      <c r="L98">
        <v>-1.3948235786498979</v>
      </c>
      <c r="M98">
        <v>-1.8658343328350431</v>
      </c>
      <c r="N98">
        <v>0.60325459380030955</v>
      </c>
      <c r="O98">
        <v>0.15178322152565241</v>
      </c>
      <c r="P98">
        <v>0.23530483367128749</v>
      </c>
      <c r="Q98">
        <v>-0.52486557418804092</v>
      </c>
      <c r="R98">
        <v>-1.1197547406753781</v>
      </c>
      <c r="S98">
        <v>9.113751274705443</v>
      </c>
      <c r="T98">
        <v>2.210259888524568E-2</v>
      </c>
      <c r="U98">
        <v>9.0916486758201973</v>
      </c>
      <c r="V98">
        <v>0.74458530329359407</v>
      </c>
      <c r="W98">
        <v>4.6286620780019438</v>
      </c>
      <c r="X98">
        <v>9.4936803620183419E-2</v>
      </c>
      <c r="Y98">
        <v>4.5337252743817604</v>
      </c>
      <c r="Z98">
        <v>-0.33854427549369348</v>
      </c>
      <c r="AA98">
        <v>2.2640742437400041</v>
      </c>
      <c r="AB98">
        <v>-0.36105429762281449</v>
      </c>
      <c r="AC98">
        <v>-0.24320733419896781</v>
      </c>
      <c r="AD98">
        <v>-0.95582283395452627</v>
      </c>
      <c r="AE98">
        <v>-2.3946572762427318</v>
      </c>
      <c r="AF98">
        <v>-1.3385457335919191</v>
      </c>
      <c r="AG98">
        <v>-1.282359882128292</v>
      </c>
      <c r="AH98">
        <v>-1.1336852631059831</v>
      </c>
      <c r="AI98">
        <v>-1.2638704828759371</v>
      </c>
      <c r="AJ98">
        <v>-0.63191881581359455</v>
      </c>
      <c r="AK98">
        <v>-1.824571050252082</v>
      </c>
      <c r="AL98">
        <v>-3.1410131324394541</v>
      </c>
      <c r="AM98">
        <v>-0.60325459380030955</v>
      </c>
      <c r="AN98">
        <v>0.15178322152565241</v>
      </c>
      <c r="AO98">
        <v>-8.6575599586262167E-2</v>
      </c>
      <c r="AP98">
        <v>0.55718526692883719</v>
      </c>
      <c r="AQ98">
        <v>-0.52486557418804092</v>
      </c>
    </row>
    <row r="99" spans="1:43" x14ac:dyDescent="0.3">
      <c r="A99">
        <v>714</v>
      </c>
      <c r="B99">
        <v>2023</v>
      </c>
      <c r="C99" t="s">
        <v>163</v>
      </c>
      <c r="D99">
        <v>8.6666666666666661</v>
      </c>
      <c r="E99">
        <v>9.1908604697916712</v>
      </c>
      <c r="F99">
        <v>-0.52419380312500508</v>
      </c>
      <c r="G99">
        <v>-1.652954965334241</v>
      </c>
      <c r="H99">
        <v>-1.0960651115434139</v>
      </c>
      <c r="I99">
        <v>1.583233553162118</v>
      </c>
      <c r="J99">
        <v>-0.32217392437638731</v>
      </c>
      <c r="K99">
        <v>0.30213081591089108</v>
      </c>
      <c r="L99">
        <v>-2.853229261292628E-2</v>
      </c>
      <c r="M99">
        <v>-0.50557906621248938</v>
      </c>
      <c r="N99">
        <v>-0.14925939446569331</v>
      </c>
      <c r="O99">
        <v>-1.204133655827113</v>
      </c>
      <c r="P99">
        <v>0.16036926723028849</v>
      </c>
      <c r="Q99">
        <v>-0.52486557418804092</v>
      </c>
      <c r="R99">
        <v>-1.652954965334241</v>
      </c>
      <c r="S99">
        <v>9.113751274705443</v>
      </c>
      <c r="T99">
        <v>2.210259888524568E-2</v>
      </c>
      <c r="U99">
        <v>9.0916486758201973</v>
      </c>
      <c r="V99">
        <v>-1.0960651115434139</v>
      </c>
      <c r="W99">
        <v>4.6286620780019438</v>
      </c>
      <c r="X99">
        <v>9.4936803620183419E-2</v>
      </c>
      <c r="Y99">
        <v>4.5337252743817604</v>
      </c>
      <c r="Z99">
        <v>1.583233553162118</v>
      </c>
      <c r="AA99">
        <v>0.32217392437638731</v>
      </c>
      <c r="AB99">
        <v>-0.36105429762281449</v>
      </c>
      <c r="AC99">
        <v>-0.24320733419896781</v>
      </c>
      <c r="AD99">
        <v>-0.72679884619867252</v>
      </c>
      <c r="AE99">
        <v>4.7983279057423923E-3</v>
      </c>
      <c r="AF99">
        <v>0.11388706765876461</v>
      </c>
      <c r="AG99">
        <v>-6.5272911123420929E-2</v>
      </c>
      <c r="AH99">
        <v>-4.8891147901205557E-2</v>
      </c>
      <c r="AI99">
        <v>0.55108375398123421</v>
      </c>
      <c r="AJ99">
        <v>-0.69622294755394298</v>
      </c>
      <c r="AK99">
        <v>-0.61230270945211052</v>
      </c>
      <c r="AL99">
        <v>-0.20821154163141481</v>
      </c>
      <c r="AM99">
        <v>0.14925939446569331</v>
      </c>
      <c r="AN99">
        <v>-1.204133655827113</v>
      </c>
      <c r="AO99">
        <v>0.1860866150945826</v>
      </c>
      <c r="AP99">
        <v>0.13465191936599441</v>
      </c>
      <c r="AQ99">
        <v>-0.52486557418804092</v>
      </c>
    </row>
    <row r="100" spans="1:43" x14ac:dyDescent="0.3">
      <c r="A100">
        <v>718</v>
      </c>
      <c r="B100">
        <v>2023</v>
      </c>
      <c r="C100" t="s">
        <v>164</v>
      </c>
      <c r="D100">
        <v>10</v>
      </c>
      <c r="E100">
        <v>11.450204200708059</v>
      </c>
      <c r="F100">
        <v>-1.450204200708058</v>
      </c>
      <c r="G100">
        <v>0.6520343776752302</v>
      </c>
      <c r="H100">
        <v>-2.07725830112759</v>
      </c>
      <c r="I100">
        <v>8.0285147463236714E-2</v>
      </c>
      <c r="J100">
        <v>0.29459339817639851</v>
      </c>
      <c r="K100">
        <v>0.30213081591089108</v>
      </c>
      <c r="L100">
        <v>0.5888565851658587</v>
      </c>
      <c r="M100">
        <v>4.6142204855314561E-2</v>
      </c>
      <c r="N100">
        <v>7.6583705682513784E-2</v>
      </c>
      <c r="O100">
        <v>-0.78741088328066877</v>
      </c>
      <c r="P100">
        <v>0.56872722558060118</v>
      </c>
      <c r="Q100">
        <v>-0.52486557418804092</v>
      </c>
      <c r="R100">
        <v>0.6520343776752302</v>
      </c>
      <c r="S100">
        <v>9.113751274705443</v>
      </c>
      <c r="T100">
        <v>2.210259888524568E-2</v>
      </c>
      <c r="U100">
        <v>9.0916486758201973</v>
      </c>
      <c r="V100">
        <v>-2.07725830112759</v>
      </c>
      <c r="W100">
        <v>4.6286620780019438</v>
      </c>
      <c r="X100">
        <v>9.4936803620183419E-2</v>
      </c>
      <c r="Y100">
        <v>4.5337252743817604</v>
      </c>
      <c r="Z100">
        <v>8.0285147463236714E-2</v>
      </c>
      <c r="AA100">
        <v>-0.29459339817639851</v>
      </c>
      <c r="AB100">
        <v>-0.36105429762281449</v>
      </c>
      <c r="AC100">
        <v>-0.24320733419896781</v>
      </c>
      <c r="AD100">
        <v>0.54214506278663988</v>
      </c>
      <c r="AE100">
        <v>1.0670653604081251</v>
      </c>
      <c r="AF100">
        <v>0.251257139966715</v>
      </c>
      <c r="AG100">
        <v>0.16938988080336731</v>
      </c>
      <c r="AH100">
        <v>0.47195339819411869</v>
      </c>
      <c r="AI100">
        <v>1.031328668836186</v>
      </c>
      <c r="AJ100">
        <v>5.2145831152998971E-2</v>
      </c>
      <c r="AK100">
        <v>0.19100863084796571</v>
      </c>
      <c r="AL100">
        <v>-0.104727847435021</v>
      </c>
      <c r="AM100">
        <v>-7.6583705682513784E-2</v>
      </c>
      <c r="AN100">
        <v>-0.78741088328066877</v>
      </c>
      <c r="AO100">
        <v>0.81945175234485501</v>
      </c>
      <c r="AP100">
        <v>0.31800269881634741</v>
      </c>
      <c r="AQ100">
        <v>-0.52486557418804092</v>
      </c>
    </row>
    <row r="101" spans="1:43" x14ac:dyDescent="0.3">
      <c r="A101">
        <v>722</v>
      </c>
      <c r="B101">
        <v>2023</v>
      </c>
      <c r="C101" t="s">
        <v>166</v>
      </c>
      <c r="D101">
        <v>9.5</v>
      </c>
      <c r="E101">
        <v>8.0783982880826208</v>
      </c>
      <c r="F101">
        <v>1.4216017119173789</v>
      </c>
      <c r="G101">
        <v>-1.2988087811020119</v>
      </c>
      <c r="H101">
        <v>-0.69841410361862366</v>
      </c>
      <c r="I101">
        <v>1.046784358971375</v>
      </c>
      <c r="J101">
        <v>0.30854015824649728</v>
      </c>
      <c r="K101">
        <v>0.30213081591089108</v>
      </c>
      <c r="L101">
        <v>-0.26831526441392728</v>
      </c>
      <c r="M101">
        <v>-0.67578330435748024</v>
      </c>
      <c r="N101">
        <v>-1.675985422568095</v>
      </c>
      <c r="O101">
        <v>-0.9580076976973142</v>
      </c>
      <c r="P101">
        <v>2.0000215522569469E-2</v>
      </c>
      <c r="Q101">
        <v>-0.52486557418804092</v>
      </c>
      <c r="R101">
        <v>-1.2988087811020119</v>
      </c>
      <c r="S101">
        <v>9.113751274705443</v>
      </c>
      <c r="T101">
        <v>2.210259888524568E-2</v>
      </c>
      <c r="U101">
        <v>9.0916486758201973</v>
      </c>
      <c r="V101">
        <v>-0.69841410361862366</v>
      </c>
      <c r="W101">
        <v>4.6286620780019438</v>
      </c>
      <c r="X101">
        <v>9.4936803620183419E-2</v>
      </c>
      <c r="Y101">
        <v>4.5337252743817604</v>
      </c>
      <c r="Z101">
        <v>1.046784358971375</v>
      </c>
      <c r="AA101">
        <v>-0.30854015824649728</v>
      </c>
      <c r="AB101">
        <v>-0.36105429762281449</v>
      </c>
      <c r="AC101">
        <v>-0.24320733419896781</v>
      </c>
      <c r="AD101">
        <v>-0.15835255746957261</v>
      </c>
      <c r="AE101">
        <v>-0.22558752234159871</v>
      </c>
      <c r="AF101">
        <v>-0.1786019598366155</v>
      </c>
      <c r="AG101">
        <v>-0.63335775307929054</v>
      </c>
      <c r="AH101">
        <v>-0.30955758249418741</v>
      </c>
      <c r="AI101">
        <v>-0.10443421126229881</v>
      </c>
      <c r="AJ101">
        <v>-0.47456665556509708</v>
      </c>
      <c r="AK101">
        <v>-0.71567634706081906</v>
      </c>
      <c r="AL101">
        <v>-0.83710691044652485</v>
      </c>
      <c r="AM101">
        <v>1.675985422568095</v>
      </c>
      <c r="AN101">
        <v>-0.9580076976973142</v>
      </c>
      <c r="AO101">
        <v>5.2216115198209047E-2</v>
      </c>
      <c r="AP101">
        <v>-1.221568415307013E-2</v>
      </c>
      <c r="AQ101">
        <v>-0.52486557418804092</v>
      </c>
    </row>
    <row r="102" spans="1:43" x14ac:dyDescent="0.3">
      <c r="A102">
        <v>728</v>
      </c>
      <c r="B102">
        <v>2023</v>
      </c>
      <c r="C102" t="s">
        <v>167</v>
      </c>
      <c r="D102">
        <v>9.5</v>
      </c>
      <c r="E102">
        <v>10.173108653031971</v>
      </c>
      <c r="F102">
        <v>-0.67310865303197431</v>
      </c>
      <c r="G102">
        <v>-0.59944898953907044</v>
      </c>
      <c r="H102">
        <v>-1.171520643939411</v>
      </c>
      <c r="I102">
        <v>-0.80474469020589012</v>
      </c>
      <c r="J102">
        <v>-3.1371575554982163E-2</v>
      </c>
      <c r="K102">
        <v>0.30213081591089108</v>
      </c>
      <c r="L102">
        <v>9.5950936870007733E-2</v>
      </c>
      <c r="M102">
        <v>-0.33297547085578999</v>
      </c>
      <c r="N102">
        <v>-0.25310999212272339</v>
      </c>
      <c r="O102">
        <v>-0.50416043078338835</v>
      </c>
      <c r="P102">
        <v>0.37732870230494969</v>
      </c>
      <c r="Q102">
        <v>-0.52486557418804092</v>
      </c>
      <c r="R102">
        <v>-0.59944898953907044</v>
      </c>
      <c r="S102">
        <v>9.113751274705443</v>
      </c>
      <c r="T102">
        <v>2.210259888524568E-2</v>
      </c>
      <c r="U102">
        <v>9.0916486758201973</v>
      </c>
      <c r="V102">
        <v>-1.171520643939411</v>
      </c>
      <c r="W102">
        <v>4.6286620780019438</v>
      </c>
      <c r="X102">
        <v>9.4936803620183419E-2</v>
      </c>
      <c r="Y102">
        <v>4.5337252743817604</v>
      </c>
      <c r="Z102">
        <v>-0.80474469020589012</v>
      </c>
      <c r="AA102">
        <v>3.1371575554982163E-2</v>
      </c>
      <c r="AB102">
        <v>-0.36105429762281449</v>
      </c>
      <c r="AC102">
        <v>-0.24320733419896781</v>
      </c>
      <c r="AD102">
        <v>0.28678042485961891</v>
      </c>
      <c r="AE102">
        <v>0.45850159725810441</v>
      </c>
      <c r="AF102">
        <v>-0.17596545761634669</v>
      </c>
      <c r="AG102">
        <v>-0.2254656216046102</v>
      </c>
      <c r="AH102">
        <v>0.20694703255717539</v>
      </c>
      <c r="AI102">
        <v>2.4907645766104651E-2</v>
      </c>
      <c r="AJ102">
        <v>-0.68654976171926874</v>
      </c>
      <c r="AK102">
        <v>0.36772557558687557</v>
      </c>
      <c r="AL102">
        <v>-0.68010222643497686</v>
      </c>
      <c r="AM102">
        <v>0.25310999212272339</v>
      </c>
      <c r="AN102">
        <v>-0.50416043078338835</v>
      </c>
      <c r="AO102">
        <v>0.52854412911720794</v>
      </c>
      <c r="AP102">
        <v>0.22611327549269161</v>
      </c>
      <c r="AQ102">
        <v>-0.52486557418804092</v>
      </c>
    </row>
    <row r="103" spans="1:43" x14ac:dyDescent="0.3">
      <c r="A103">
        <v>738</v>
      </c>
      <c r="B103">
        <v>2023</v>
      </c>
      <c r="C103" t="s">
        <v>168</v>
      </c>
      <c r="D103">
        <v>8.5</v>
      </c>
      <c r="E103">
        <v>9.6206398348544298</v>
      </c>
      <c r="F103">
        <v>-1.12063983485443</v>
      </c>
      <c r="G103">
        <v>-1.5364431699151451</v>
      </c>
      <c r="H103">
        <v>-0.2092928717388354</v>
      </c>
      <c r="I103">
        <v>1.2056627359275169</v>
      </c>
      <c r="J103">
        <v>0.13997705945125311</v>
      </c>
      <c r="K103">
        <v>0.30213081591089108</v>
      </c>
      <c r="L103">
        <v>-0.68963752435116776</v>
      </c>
      <c r="M103">
        <v>-0.62063896055307766</v>
      </c>
      <c r="N103">
        <v>0.28464607214947429</v>
      </c>
      <c r="O103">
        <v>-0.25975427681620761</v>
      </c>
      <c r="P103">
        <v>7.7145571817258229E-2</v>
      </c>
      <c r="Q103">
        <v>-0.52486557418804092</v>
      </c>
      <c r="R103">
        <v>-1.5364431699151451</v>
      </c>
      <c r="S103">
        <v>9.113751274705443</v>
      </c>
      <c r="T103">
        <v>2.210259888524568E-2</v>
      </c>
      <c r="U103">
        <v>9.0916486758201973</v>
      </c>
      <c r="V103">
        <v>-0.2092928717388354</v>
      </c>
      <c r="W103">
        <v>4.6286620780019438</v>
      </c>
      <c r="X103">
        <v>9.4936803620183419E-2</v>
      </c>
      <c r="Y103">
        <v>4.5337252743817604</v>
      </c>
      <c r="Z103">
        <v>1.2056627359275169</v>
      </c>
      <c r="AA103">
        <v>-0.13997705945125311</v>
      </c>
      <c r="AB103">
        <v>-0.36105429762281449</v>
      </c>
      <c r="AC103">
        <v>-0.24320733419896781</v>
      </c>
      <c r="AD103">
        <v>-0.8359379584923895</v>
      </c>
      <c r="AE103">
        <v>-0.32580064408168541</v>
      </c>
      <c r="AF103">
        <v>-0.81212829589244806</v>
      </c>
      <c r="AG103">
        <v>-1.0085687031286621</v>
      </c>
      <c r="AH103">
        <v>-0.65897161842528462</v>
      </c>
      <c r="AI103">
        <v>-0.49641792608653701</v>
      </c>
      <c r="AJ103">
        <v>-4.6615892615010181E-2</v>
      </c>
      <c r="AK103">
        <v>-1.160191238869057</v>
      </c>
      <c r="AL103">
        <v>-0.65510975017516604</v>
      </c>
      <c r="AM103">
        <v>-0.28464607214947429</v>
      </c>
      <c r="AN103">
        <v>-0.25975427681620761</v>
      </c>
      <c r="AO103">
        <v>-0.16820561691749031</v>
      </c>
      <c r="AP103">
        <v>0.32249676055200682</v>
      </c>
      <c r="AQ103">
        <v>-0.52486557418804092</v>
      </c>
    </row>
    <row r="104" spans="1:43" x14ac:dyDescent="0.3">
      <c r="A104">
        <v>742</v>
      </c>
      <c r="B104">
        <v>2023</v>
      </c>
      <c r="C104" t="s">
        <v>169</v>
      </c>
      <c r="D104">
        <v>7.5</v>
      </c>
      <c r="E104">
        <v>5.3621829258062466</v>
      </c>
      <c r="F104">
        <v>2.137817074193753</v>
      </c>
      <c r="G104">
        <v>-1.718348579261485</v>
      </c>
      <c r="H104">
        <v>-1.3341956683363609</v>
      </c>
      <c r="I104">
        <v>0.80198329835222426</v>
      </c>
      <c r="J104">
        <v>0.32048362172650002</v>
      </c>
      <c r="K104">
        <v>0.30213081591089108</v>
      </c>
      <c r="L104">
        <v>-0.99579145942312552</v>
      </c>
      <c r="M104">
        <v>-0.5916486864486411</v>
      </c>
      <c r="N104">
        <v>-0.29319999009465869</v>
      </c>
      <c r="O104">
        <v>-5.9972515068525301E-2</v>
      </c>
      <c r="P104">
        <v>-3.183325295805393</v>
      </c>
      <c r="Q104">
        <v>-0.52486557418804092</v>
      </c>
      <c r="R104">
        <v>-1.718348579261485</v>
      </c>
      <c r="S104">
        <v>9.113751274705443</v>
      </c>
      <c r="T104">
        <v>2.210259888524568E-2</v>
      </c>
      <c r="U104">
        <v>9.0916486758201973</v>
      </c>
      <c r="V104">
        <v>-1.3341956683363609</v>
      </c>
      <c r="W104">
        <v>4.6286620780019438</v>
      </c>
      <c r="X104">
        <v>9.4936803620183419E-2</v>
      </c>
      <c r="Y104">
        <v>4.5337252743817604</v>
      </c>
      <c r="Z104">
        <v>0.80198329835222426</v>
      </c>
      <c r="AA104">
        <v>-0.32048362172650002</v>
      </c>
      <c r="AB104">
        <v>-0.36105429762281449</v>
      </c>
      <c r="AC104">
        <v>-0.24320733419896781</v>
      </c>
      <c r="AD104">
        <v>-1.091649585928707</v>
      </c>
      <c r="AE104">
        <v>-1.146349954347073</v>
      </c>
      <c r="AF104">
        <v>-1.3953619581755381</v>
      </c>
      <c r="AG104">
        <v>-0.7930856542580571</v>
      </c>
      <c r="AH104">
        <v>-0.80536505992904284</v>
      </c>
      <c r="AI104">
        <v>-0.74293654390033359</v>
      </c>
      <c r="AJ104">
        <v>-0.35658386046238533</v>
      </c>
      <c r="AK104">
        <v>-0.78852464874357209</v>
      </c>
      <c r="AL104">
        <v>-0.62983755013996601</v>
      </c>
      <c r="AM104">
        <v>0.29319999009465869</v>
      </c>
      <c r="AN104">
        <v>-5.9972515068525301E-2</v>
      </c>
      <c r="AO104">
        <v>-3.1750739007272371</v>
      </c>
      <c r="AP104">
        <v>-3.191576690883549</v>
      </c>
      <c r="AQ104">
        <v>-0.52486557418804092</v>
      </c>
    </row>
    <row r="105" spans="1:43" x14ac:dyDescent="0.3">
      <c r="A105">
        <v>744</v>
      </c>
      <c r="B105">
        <v>2023</v>
      </c>
      <c r="C105" t="s">
        <v>170</v>
      </c>
      <c r="D105">
        <v>4.5</v>
      </c>
      <c r="E105">
        <v>8.4235269150990408</v>
      </c>
      <c r="F105">
        <v>-3.9235269150990408</v>
      </c>
      <c r="G105">
        <v>-0.64924606714978073</v>
      </c>
      <c r="H105">
        <v>-0.45930601992980907</v>
      </c>
      <c r="I105">
        <v>-0.83015475214281631</v>
      </c>
      <c r="J105">
        <v>-0.57519982321311969</v>
      </c>
      <c r="K105">
        <v>0.30213081591089108</v>
      </c>
      <c r="L105">
        <v>-0.64224554642995146</v>
      </c>
      <c r="M105">
        <v>-0.38097611833221079</v>
      </c>
      <c r="N105">
        <v>-0.72132671826342165</v>
      </c>
      <c r="O105">
        <v>-0.63763275083255211</v>
      </c>
      <c r="P105">
        <v>8.5379938717927858E-2</v>
      </c>
      <c r="Q105">
        <v>-0.52486557418804092</v>
      </c>
      <c r="R105">
        <v>-0.64924606714978073</v>
      </c>
      <c r="S105">
        <v>9.113751274705443</v>
      </c>
      <c r="T105">
        <v>2.210259888524568E-2</v>
      </c>
      <c r="U105">
        <v>9.0916486758201973</v>
      </c>
      <c r="V105">
        <v>-0.45930601992980907</v>
      </c>
      <c r="W105">
        <v>4.6286620780019438</v>
      </c>
      <c r="X105">
        <v>9.4936803620183419E-2</v>
      </c>
      <c r="Y105">
        <v>4.5337252743817604</v>
      </c>
      <c r="Z105">
        <v>-0.83015475214281631</v>
      </c>
      <c r="AA105">
        <v>0.57519982321311969</v>
      </c>
      <c r="AB105">
        <v>-0.36105429762281449</v>
      </c>
      <c r="AC105">
        <v>-0.24320733419896781</v>
      </c>
      <c r="AD105">
        <v>-0.70306389083317</v>
      </c>
      <c r="AE105">
        <v>-0.97479429308796584</v>
      </c>
      <c r="AF105">
        <v>-0.54282956414548389</v>
      </c>
      <c r="AG105">
        <v>-0.82798797665340007</v>
      </c>
      <c r="AH105">
        <v>-0.4653132448416627</v>
      </c>
      <c r="AI105">
        <v>-0.33948430901802629</v>
      </c>
      <c r="AJ105">
        <v>-0.50391199393920005</v>
      </c>
      <c r="AK105">
        <v>-6.0454136455580683E-2</v>
      </c>
      <c r="AL105">
        <v>-0.57856222460185169</v>
      </c>
      <c r="AM105">
        <v>0.72132671826342165</v>
      </c>
      <c r="AN105">
        <v>-0.63763275083255211</v>
      </c>
      <c r="AO105">
        <v>0.24910438588947459</v>
      </c>
      <c r="AP105">
        <v>-7.8344508453618844E-2</v>
      </c>
      <c r="AQ105">
        <v>-0.52486557418804092</v>
      </c>
    </row>
    <row r="106" spans="1:43" x14ac:dyDescent="0.3">
      <c r="A106">
        <v>746</v>
      </c>
      <c r="B106">
        <v>2023</v>
      </c>
      <c r="C106" t="s">
        <v>171</v>
      </c>
      <c r="D106">
        <v>8.3333333333333339</v>
      </c>
      <c r="E106">
        <v>7.6498906069495121</v>
      </c>
      <c r="F106">
        <v>0.68344272638382186</v>
      </c>
      <c r="G106">
        <v>-1.592125809720268</v>
      </c>
      <c r="H106">
        <v>-0.4233481695161832</v>
      </c>
      <c r="I106">
        <v>1.0226404341412709</v>
      </c>
      <c r="J106">
        <v>5.2595170092767762E-2</v>
      </c>
      <c r="K106">
        <v>0.30213081591089108</v>
      </c>
      <c r="L106">
        <v>-1.048128070510848</v>
      </c>
      <c r="M106">
        <v>-1.0235003429256719</v>
      </c>
      <c r="N106">
        <v>0.2093557779679463</v>
      </c>
      <c r="O106">
        <v>-0.83816450236543594</v>
      </c>
      <c r="P106">
        <v>0.14955363977480421</v>
      </c>
      <c r="Q106">
        <v>-0.52486557418804092</v>
      </c>
      <c r="R106">
        <v>-1.592125809720268</v>
      </c>
      <c r="S106">
        <v>9.113751274705443</v>
      </c>
      <c r="T106">
        <v>2.210259888524568E-2</v>
      </c>
      <c r="U106">
        <v>9.0916486758201973</v>
      </c>
      <c r="V106">
        <v>-0.4233481695161832</v>
      </c>
      <c r="W106">
        <v>4.6286620780019438</v>
      </c>
      <c r="X106">
        <v>9.4936803620183419E-2</v>
      </c>
      <c r="Y106">
        <v>4.5337252743817604</v>
      </c>
      <c r="Z106">
        <v>1.0226404341412709</v>
      </c>
      <c r="AA106">
        <v>-5.2595170092767762E-2</v>
      </c>
      <c r="AB106">
        <v>-0.36105429762281449</v>
      </c>
      <c r="AC106">
        <v>-0.24320733419896781</v>
      </c>
      <c r="AD106">
        <v>-1.1650902429200249</v>
      </c>
      <c r="AE106">
        <v>-1.2802037061543541</v>
      </c>
      <c r="AF106">
        <v>-0.84222333720521081</v>
      </c>
      <c r="AG106">
        <v>-0.9040166723767743</v>
      </c>
      <c r="AH106">
        <v>-0.9374332794647926</v>
      </c>
      <c r="AI106">
        <v>-1.159801184943928</v>
      </c>
      <c r="AJ106">
        <v>-0.4042731678286684</v>
      </c>
      <c r="AK106">
        <v>-1.2379895950262889</v>
      </c>
      <c r="AL106">
        <v>-1.4282382659220589</v>
      </c>
      <c r="AM106">
        <v>-0.2093557779679463</v>
      </c>
      <c r="AN106">
        <v>-0.83816450236543594</v>
      </c>
      <c r="AO106">
        <v>-1.6446918828416431E-2</v>
      </c>
      <c r="AP106">
        <v>0.31555419837802479</v>
      </c>
      <c r="AQ106">
        <v>-0.52486557418804092</v>
      </c>
    </row>
    <row r="107" spans="1:43" x14ac:dyDescent="0.3">
      <c r="A107">
        <v>748</v>
      </c>
      <c r="B107">
        <v>2023</v>
      </c>
      <c r="C107" t="s">
        <v>172</v>
      </c>
      <c r="D107">
        <v>6</v>
      </c>
      <c r="E107">
        <v>5.7074796699852666</v>
      </c>
      <c r="F107">
        <v>0.29252033001473249</v>
      </c>
      <c r="G107">
        <v>-1.8013699568226671</v>
      </c>
      <c r="H107">
        <v>-0.91908000771531828</v>
      </c>
      <c r="I107">
        <v>0.79333863810564109</v>
      </c>
      <c r="J107">
        <v>0.34765213929123429</v>
      </c>
      <c r="K107">
        <v>0.30213081591089108</v>
      </c>
      <c r="L107">
        <v>-1.1532398008790281</v>
      </c>
      <c r="M107">
        <v>-0.53327793792145173</v>
      </c>
      <c r="N107">
        <v>3.4215551207668733E-2</v>
      </c>
      <c r="O107">
        <v>-0.2264573165249272</v>
      </c>
      <c r="P107">
        <v>-3.3949551320693852</v>
      </c>
      <c r="Q107">
        <v>-0.52486557418804092</v>
      </c>
      <c r="R107">
        <v>-1.8013699568226671</v>
      </c>
      <c r="S107">
        <v>9.113751274705443</v>
      </c>
      <c r="T107">
        <v>2.210259888524568E-2</v>
      </c>
      <c r="U107">
        <v>9.0916486758201973</v>
      </c>
      <c r="V107">
        <v>-0.91908000771531828</v>
      </c>
      <c r="W107">
        <v>4.6286620780019438</v>
      </c>
      <c r="X107">
        <v>9.4936803620183419E-2</v>
      </c>
      <c r="Y107">
        <v>4.5337252743817604</v>
      </c>
      <c r="Z107">
        <v>0.79333863810564109</v>
      </c>
      <c r="AA107">
        <v>-0.34765213929123429</v>
      </c>
      <c r="AB107">
        <v>-0.36105429762281449</v>
      </c>
      <c r="AC107">
        <v>-0.24320733419896781</v>
      </c>
      <c r="AD107">
        <v>-0.9106258136256149</v>
      </c>
      <c r="AE107">
        <v>-2.498561048019166</v>
      </c>
      <c r="AF107">
        <v>-1.3345926871036951</v>
      </c>
      <c r="AG107">
        <v>-0.88329450243145735</v>
      </c>
      <c r="AH107">
        <v>-0.89616404943821093</v>
      </c>
      <c r="AI107">
        <v>-0.39620070465602442</v>
      </c>
      <c r="AJ107">
        <v>-0.74571657973912897</v>
      </c>
      <c r="AK107">
        <v>-0.56832972553715322</v>
      </c>
      <c r="AL107">
        <v>-0.28578750848807311</v>
      </c>
      <c r="AM107">
        <v>-3.4215551207668733E-2</v>
      </c>
      <c r="AN107">
        <v>-0.2264573165249272</v>
      </c>
      <c r="AO107">
        <v>-3.4175904380437041</v>
      </c>
      <c r="AP107">
        <v>-3.3723198260950649</v>
      </c>
      <c r="AQ107">
        <v>-0.52486557418804092</v>
      </c>
    </row>
    <row r="108" spans="1:43" x14ac:dyDescent="0.3">
      <c r="A108">
        <v>754</v>
      </c>
      <c r="B108">
        <v>2023</v>
      </c>
      <c r="C108" t="s">
        <v>173</v>
      </c>
      <c r="D108">
        <v>1.6666666666666681</v>
      </c>
      <c r="E108">
        <v>3.5154413414221279</v>
      </c>
      <c r="F108">
        <v>-1.8487746747554601</v>
      </c>
      <c r="G108">
        <v>-1.475269588305296</v>
      </c>
      <c r="H108">
        <v>-0.75440626187212079</v>
      </c>
      <c r="I108">
        <v>8.3515980080647007E-2</v>
      </c>
      <c r="J108">
        <v>-1.122557688672855</v>
      </c>
      <c r="K108">
        <v>-3.1881896902688212</v>
      </c>
      <c r="L108">
        <v>-0.63347735309437148</v>
      </c>
      <c r="M108">
        <v>-1.236285375442405</v>
      </c>
      <c r="N108">
        <v>-1.972784763063026</v>
      </c>
      <c r="O108">
        <v>0.9659229950787801</v>
      </c>
      <c r="P108">
        <v>-0.12681222308909429</v>
      </c>
      <c r="Q108">
        <v>-0.52486557418804092</v>
      </c>
      <c r="R108">
        <v>-1.475269588305296</v>
      </c>
      <c r="S108">
        <v>9.113751274705443</v>
      </c>
      <c r="T108">
        <v>2.210259888524568E-2</v>
      </c>
      <c r="U108">
        <v>9.0916486758201973</v>
      </c>
      <c r="V108">
        <v>-0.75440626187212079</v>
      </c>
      <c r="W108">
        <v>4.6286620780019438</v>
      </c>
      <c r="X108">
        <v>9.4936803620183419E-2</v>
      </c>
      <c r="Y108">
        <v>4.5337252743817604</v>
      </c>
      <c r="Z108">
        <v>8.3515980080647007E-2</v>
      </c>
      <c r="AA108">
        <v>1.122557688672855</v>
      </c>
      <c r="AB108">
        <v>2.7696665199223802</v>
      </c>
      <c r="AC108">
        <v>3.6067128606152621</v>
      </c>
      <c r="AD108">
        <v>-0.55931530289201781</v>
      </c>
      <c r="AE108">
        <v>-5.4367593511620758E-2</v>
      </c>
      <c r="AF108">
        <v>-0.99156292477212049</v>
      </c>
      <c r="AG108">
        <v>-0.86387657351383373</v>
      </c>
      <c r="AH108">
        <v>-0.78240848478940017</v>
      </c>
      <c r="AI108">
        <v>-0.54933323908723619</v>
      </c>
      <c r="AJ108">
        <v>-1.072700333031436</v>
      </c>
      <c r="AK108">
        <v>-0.61865527936102571</v>
      </c>
      <c r="AL108">
        <v>-2.0175005139347522</v>
      </c>
      <c r="AM108">
        <v>1.972784763063026</v>
      </c>
      <c r="AN108">
        <v>0.9659229950787801</v>
      </c>
      <c r="AO108">
        <v>-9.7620574892600342E-2</v>
      </c>
      <c r="AP108">
        <v>-0.15600387128558821</v>
      </c>
      <c r="AQ108">
        <v>-0.52486557418804092</v>
      </c>
    </row>
    <row r="109" spans="1:43" x14ac:dyDescent="0.3">
      <c r="A109">
        <v>819</v>
      </c>
      <c r="B109">
        <v>2023</v>
      </c>
      <c r="C109" t="s">
        <v>174</v>
      </c>
      <c r="D109">
        <v>9</v>
      </c>
      <c r="E109">
        <v>9.1609246201969228</v>
      </c>
      <c r="F109">
        <v>-0.1609246201969228</v>
      </c>
      <c r="G109">
        <v>-0.33802615619728638</v>
      </c>
      <c r="H109">
        <v>-1.5981028413131779</v>
      </c>
      <c r="I109">
        <v>-0.38403789153884332</v>
      </c>
      <c r="J109">
        <v>0.45010645061330129</v>
      </c>
      <c r="K109">
        <v>0.30213081591089108</v>
      </c>
      <c r="L109">
        <v>0.224520708908164</v>
      </c>
      <c r="M109">
        <v>-0.83576625775685587</v>
      </c>
      <c r="N109">
        <v>-0.69112725340167946</v>
      </c>
      <c r="O109">
        <v>-1.3182484809030539</v>
      </c>
      <c r="P109">
        <v>0.43871046174760209</v>
      </c>
      <c r="Q109">
        <v>-0.52486557418804092</v>
      </c>
      <c r="R109">
        <v>-0.33802615619728638</v>
      </c>
      <c r="S109">
        <v>9.113751274705443</v>
      </c>
      <c r="T109">
        <v>2.210259888524568E-2</v>
      </c>
      <c r="U109">
        <v>9.0916486758201973</v>
      </c>
      <c r="V109">
        <v>-1.5981028413131779</v>
      </c>
      <c r="W109">
        <v>4.6286620780019438</v>
      </c>
      <c r="X109">
        <v>9.4936803620183419E-2</v>
      </c>
      <c r="Y109">
        <v>4.5337252743817604</v>
      </c>
      <c r="Z109">
        <v>-0.38403789153884332</v>
      </c>
      <c r="AA109">
        <v>-0.45010645061330129</v>
      </c>
      <c r="AB109">
        <v>-0.36105429762281449</v>
      </c>
      <c r="AC109">
        <v>-0.24320733419896781</v>
      </c>
      <c r="AD109">
        <v>4.0581547555539207E-2</v>
      </c>
      <c r="AE109">
        <v>0.90118105018302452</v>
      </c>
      <c r="AF109">
        <v>0.22167415130786711</v>
      </c>
      <c r="AG109">
        <v>-0.4409995451252316</v>
      </c>
      <c r="AH109">
        <v>0.22507750951405231</v>
      </c>
      <c r="AI109">
        <v>0.3996095400137325</v>
      </c>
      <c r="AJ109">
        <v>-1.066911457570789</v>
      </c>
      <c r="AK109">
        <v>-0.52443924253010377</v>
      </c>
      <c r="AL109">
        <v>-0.91594807316967464</v>
      </c>
      <c r="AM109">
        <v>0.69112725340167946</v>
      </c>
      <c r="AN109">
        <v>-1.3182484809030539</v>
      </c>
      <c r="AO109">
        <v>0.59614353957118327</v>
      </c>
      <c r="AP109">
        <v>0.28127738392402091</v>
      </c>
      <c r="AQ109">
        <v>-0.52486557418804092</v>
      </c>
    </row>
    <row r="110" spans="1:43" x14ac:dyDescent="0.3">
      <c r="A110">
        <v>853</v>
      </c>
      <c r="B110">
        <v>2023</v>
      </c>
      <c r="C110" t="s">
        <v>175</v>
      </c>
      <c r="D110">
        <v>7.5</v>
      </c>
      <c r="E110">
        <v>9.230681969573812</v>
      </c>
      <c r="F110">
        <v>-1.730681969573812</v>
      </c>
      <c r="G110">
        <v>-1.0002551479040289</v>
      </c>
      <c r="H110">
        <v>-0.69793829901454874</v>
      </c>
      <c r="I110">
        <v>-0.4069593391623591</v>
      </c>
      <c r="J110">
        <v>1.940384886047258E-3</v>
      </c>
      <c r="K110">
        <v>0.30213081591089108</v>
      </c>
      <c r="L110">
        <v>-0.85286557416501407</v>
      </c>
      <c r="M110">
        <v>-0.65231959879894896</v>
      </c>
      <c r="N110">
        <v>0.11647922687981049</v>
      </c>
      <c r="O110">
        <v>2.192285602467142</v>
      </c>
      <c r="P110">
        <v>-0.4631662887665759</v>
      </c>
      <c r="Q110">
        <v>-0.52486557418804092</v>
      </c>
      <c r="R110">
        <v>-1.0002551479040289</v>
      </c>
      <c r="S110">
        <v>9.113751274705443</v>
      </c>
      <c r="T110">
        <v>2.210259888524568E-2</v>
      </c>
      <c r="U110">
        <v>9.0916486758201973</v>
      </c>
      <c r="V110">
        <v>-0.69793829901454874</v>
      </c>
      <c r="W110">
        <v>4.6286620780019438</v>
      </c>
      <c r="X110">
        <v>9.4936803620183419E-2</v>
      </c>
      <c r="Y110">
        <v>4.5337252743817604</v>
      </c>
      <c r="Z110">
        <v>-0.4069593391623591</v>
      </c>
      <c r="AA110">
        <v>-1.940384886047258E-3</v>
      </c>
      <c r="AB110">
        <v>-0.36105429762281449</v>
      </c>
      <c r="AC110">
        <v>-0.24320733419896781</v>
      </c>
      <c r="AD110">
        <v>-0.27149296073999502</v>
      </c>
      <c r="AE110">
        <v>-0.67969992798752343</v>
      </c>
      <c r="AF110">
        <v>-1.584731546435947</v>
      </c>
      <c r="AG110">
        <v>-1.1476495900950909</v>
      </c>
      <c r="AH110">
        <v>-0.67653615802546008</v>
      </c>
      <c r="AI110">
        <v>-0.75708326170606777</v>
      </c>
      <c r="AJ110">
        <v>-0.38457595522231092</v>
      </c>
      <c r="AK110">
        <v>-0.94849390917716025</v>
      </c>
      <c r="AL110">
        <v>-0.62388893199737583</v>
      </c>
      <c r="AM110">
        <v>-0.11647922687981049</v>
      </c>
      <c r="AN110">
        <v>2.192285602467142</v>
      </c>
      <c r="AO110">
        <v>0.1531732032395329</v>
      </c>
      <c r="AP110">
        <v>-1.0795057807726851</v>
      </c>
      <c r="AQ110">
        <v>-0.52486557418804092</v>
      </c>
    </row>
    <row r="111" spans="1:43" x14ac:dyDescent="0.3">
      <c r="A111">
        <v>911</v>
      </c>
      <c r="B111">
        <v>2023</v>
      </c>
      <c r="C111" t="s">
        <v>176</v>
      </c>
      <c r="D111">
        <v>9.3333333333333339</v>
      </c>
      <c r="E111">
        <v>10.570593386654719</v>
      </c>
      <c r="F111">
        <v>-1.237260053321384</v>
      </c>
      <c r="G111">
        <v>-0.11791950955214139</v>
      </c>
      <c r="H111">
        <v>-0.82290804560638642</v>
      </c>
      <c r="I111">
        <v>0.75967685502424931</v>
      </c>
      <c r="J111">
        <v>9.1688072122360645E-2</v>
      </c>
      <c r="K111">
        <v>0.30213081591089108</v>
      </c>
      <c r="L111">
        <v>-0.31182490930348938</v>
      </c>
      <c r="M111">
        <v>-0.24122009275108161</v>
      </c>
      <c r="N111">
        <v>0.21116163373244801</v>
      </c>
      <c r="O111">
        <v>-0.252370756689481</v>
      </c>
      <c r="P111">
        <v>0.130904337322619</v>
      </c>
      <c r="Q111">
        <v>-0.52486557418804092</v>
      </c>
      <c r="R111">
        <v>-0.11791950955214139</v>
      </c>
      <c r="S111">
        <v>9.113751274705443</v>
      </c>
      <c r="T111">
        <v>2.210259888524568E-2</v>
      </c>
      <c r="U111">
        <v>9.0916486758201973</v>
      </c>
      <c r="V111">
        <v>-0.82290804560638642</v>
      </c>
      <c r="W111">
        <v>4.6286620780019438</v>
      </c>
      <c r="X111">
        <v>9.4936803620183419E-2</v>
      </c>
      <c r="Y111">
        <v>4.5337252743817604</v>
      </c>
      <c r="Z111">
        <v>0.75967685502424931</v>
      </c>
      <c r="AA111">
        <v>-9.1688072122360645E-2</v>
      </c>
      <c r="AB111">
        <v>-0.36105429762281449</v>
      </c>
      <c r="AC111">
        <v>-0.24320733419896781</v>
      </c>
      <c r="AD111">
        <v>-8.4590007694472738E-2</v>
      </c>
      <c r="AE111">
        <v>-0.64532646261803572</v>
      </c>
      <c r="AF111">
        <v>-0.53711050494864687</v>
      </c>
      <c r="AG111">
        <v>-0.21414601197596089</v>
      </c>
      <c r="AH111">
        <v>-0.35316817621363639</v>
      </c>
      <c r="AI111">
        <v>-3.66082923701836E-2</v>
      </c>
      <c r="AJ111">
        <v>-4.5663610071700257E-2</v>
      </c>
      <c r="AK111">
        <v>-0.37536010194036978</v>
      </c>
      <c r="AL111">
        <v>-0.30263656624117458</v>
      </c>
      <c r="AM111">
        <v>-0.21116163373244801</v>
      </c>
      <c r="AN111">
        <v>-0.252370756689481</v>
      </c>
      <c r="AO111">
        <v>0.28343531249738252</v>
      </c>
      <c r="AP111">
        <v>-2.1626637852144481E-2</v>
      </c>
      <c r="AQ111">
        <v>-0.52486557418804092</v>
      </c>
    </row>
    <row r="112" spans="1:43" x14ac:dyDescent="0.3">
      <c r="A112">
        <v>912</v>
      </c>
      <c r="B112">
        <v>2023</v>
      </c>
      <c r="C112" t="s">
        <v>177</v>
      </c>
      <c r="D112">
        <v>12</v>
      </c>
      <c r="E112">
        <v>12.357484544290459</v>
      </c>
      <c r="F112">
        <v>-0.35748454429045567</v>
      </c>
      <c r="G112">
        <v>-0.20061376190729471</v>
      </c>
      <c r="H112">
        <v>-0.25043364901797488</v>
      </c>
      <c r="I112">
        <v>-0.41796163402164688</v>
      </c>
      <c r="J112">
        <v>-0.20279652662179259</v>
      </c>
      <c r="K112">
        <v>0.30213081591089108</v>
      </c>
      <c r="L112">
        <v>-0.76790139875219376</v>
      </c>
      <c r="M112">
        <v>0.82460265907385422</v>
      </c>
      <c r="N112">
        <v>1.006905030760981</v>
      </c>
      <c r="O112">
        <v>1.8648633377931569</v>
      </c>
      <c r="P112">
        <v>0.50560336629912928</v>
      </c>
      <c r="Q112">
        <v>-0.52486557418804092</v>
      </c>
      <c r="R112">
        <v>-0.20061376190729471</v>
      </c>
      <c r="S112">
        <v>9.113751274705443</v>
      </c>
      <c r="T112">
        <v>2.210259888524568E-2</v>
      </c>
      <c r="U112">
        <v>9.0916486758201973</v>
      </c>
      <c r="V112">
        <v>-0.25043364901797488</v>
      </c>
      <c r="W112">
        <v>4.6286620780019438</v>
      </c>
      <c r="X112">
        <v>9.4936803620183419E-2</v>
      </c>
      <c r="Y112">
        <v>4.5337252743817604</v>
      </c>
      <c r="Z112">
        <v>-0.41796163402164688</v>
      </c>
      <c r="AA112">
        <v>0.20279652662179259</v>
      </c>
      <c r="AB112">
        <v>-0.36105429762281449</v>
      </c>
      <c r="AC112">
        <v>-0.24320733419896781</v>
      </c>
      <c r="AD112">
        <v>-1.8074627557210641</v>
      </c>
      <c r="AE112">
        <v>-0.52279014269593005</v>
      </c>
      <c r="AF112">
        <v>-0.2764495325258351</v>
      </c>
      <c r="AG112">
        <v>-0.27567658868670658</v>
      </c>
      <c r="AH112">
        <v>-0.68223972860509241</v>
      </c>
      <c r="AI112">
        <v>-1.0427896442785349</v>
      </c>
      <c r="AJ112">
        <v>0.94330687122256873</v>
      </c>
      <c r="AK112">
        <v>0.92757673665048035</v>
      </c>
      <c r="AL112">
        <v>0.60292436934851357</v>
      </c>
      <c r="AM112">
        <v>-1.006905030760981</v>
      </c>
      <c r="AN112">
        <v>1.8648633377931569</v>
      </c>
      <c r="AO112">
        <v>0.40319965274584058</v>
      </c>
      <c r="AP112">
        <v>0.60800707985241786</v>
      </c>
      <c r="AQ112">
        <v>-0.52486557418804092</v>
      </c>
    </row>
    <row r="113" spans="1:43" x14ac:dyDescent="0.3">
      <c r="A113">
        <v>913</v>
      </c>
      <c r="B113">
        <v>2023</v>
      </c>
      <c r="C113" t="s">
        <v>178</v>
      </c>
      <c r="D113">
        <v>1.3333333333333319</v>
      </c>
      <c r="E113">
        <v>5.568497246583795</v>
      </c>
      <c r="F113">
        <v>-4.2351639132504628</v>
      </c>
      <c r="G113">
        <v>-0.13244159180050691</v>
      </c>
      <c r="H113">
        <v>-0.25503712131296519</v>
      </c>
      <c r="I113">
        <v>-1.0708517821398511</v>
      </c>
      <c r="J113">
        <v>-0.29466198453906489</v>
      </c>
      <c r="K113">
        <v>-3.920499583278287</v>
      </c>
      <c r="L113">
        <v>-1.231167697932352</v>
      </c>
      <c r="M113">
        <v>0.65273558622538463</v>
      </c>
      <c r="N113">
        <v>0.48134543849826361</v>
      </c>
      <c r="O113">
        <v>0.35747438554638911</v>
      </c>
      <c r="P113">
        <v>-0.69596989303577173</v>
      </c>
      <c r="Q113">
        <v>-0.52486557418804092</v>
      </c>
      <c r="R113">
        <v>-0.13244159180050691</v>
      </c>
      <c r="S113">
        <v>9.113751274705443</v>
      </c>
      <c r="T113">
        <v>2.210259888524568E-2</v>
      </c>
      <c r="U113">
        <v>9.0916486758201973</v>
      </c>
      <c r="V113">
        <v>-0.25503712131296519</v>
      </c>
      <c r="W113">
        <v>4.6286620780019438</v>
      </c>
      <c r="X113">
        <v>9.4936803620183419E-2</v>
      </c>
      <c r="Y113">
        <v>4.5337252743817604</v>
      </c>
      <c r="Z113">
        <v>-1.0708517821398511</v>
      </c>
      <c r="AA113">
        <v>0.29466198453906489</v>
      </c>
      <c r="AB113">
        <v>2.7696665199223802</v>
      </c>
      <c r="AC113">
        <v>5.0713326466341941</v>
      </c>
      <c r="AD113">
        <v>-2.034827086106977</v>
      </c>
      <c r="AE113">
        <v>-0.51339565139050058</v>
      </c>
      <c r="AF113">
        <v>-1.029779121175975</v>
      </c>
      <c r="AG113">
        <v>-1.6844754283420189</v>
      </c>
      <c r="AH113">
        <v>-1.436253699589134</v>
      </c>
      <c r="AI113">
        <v>-0.68827520098950412</v>
      </c>
      <c r="AJ113">
        <v>0.60539692874912654</v>
      </c>
      <c r="AK113">
        <v>0.96404213794581095</v>
      </c>
      <c r="AL113">
        <v>0.38876769198121652</v>
      </c>
      <c r="AM113">
        <v>-0.48134543849826361</v>
      </c>
      <c r="AN113">
        <v>0.35747438554638911</v>
      </c>
      <c r="AO113">
        <v>-0.49780598986220798</v>
      </c>
      <c r="AP113">
        <v>-0.89413379620933553</v>
      </c>
      <c r="AQ113">
        <v>-0.52486557418804092</v>
      </c>
    </row>
    <row r="114" spans="1:43" x14ac:dyDescent="0.3">
      <c r="A114">
        <v>914</v>
      </c>
      <c r="B114">
        <v>2023</v>
      </c>
      <c r="C114" t="s">
        <v>179</v>
      </c>
      <c r="D114">
        <v>9</v>
      </c>
      <c r="E114">
        <v>10.653048785408689</v>
      </c>
      <c r="F114">
        <v>-1.653048785408695</v>
      </c>
      <c r="G114">
        <v>-6.07498349501037E-2</v>
      </c>
      <c r="H114">
        <v>-0.83498048675461578</v>
      </c>
      <c r="I114">
        <v>7.4827659933827895E-2</v>
      </c>
      <c r="J114">
        <v>0.28671376492201978</v>
      </c>
      <c r="K114">
        <v>0.30213081591089108</v>
      </c>
      <c r="L114">
        <v>-0.22997327389647421</v>
      </c>
      <c r="M114">
        <v>-0.1255305994598854</v>
      </c>
      <c r="N114">
        <v>2.0713185995402429E-3</v>
      </c>
      <c r="O114">
        <v>-0.65189548760974891</v>
      </c>
      <c r="P114">
        <v>0.63993135654386613</v>
      </c>
      <c r="Q114">
        <v>-0.52486557418804092</v>
      </c>
      <c r="R114">
        <v>-6.07498349501037E-2</v>
      </c>
      <c r="S114">
        <v>9.113751274705443</v>
      </c>
      <c r="T114">
        <v>2.210259888524568E-2</v>
      </c>
      <c r="U114">
        <v>9.0916486758201973</v>
      </c>
      <c r="V114">
        <v>-0.83498048675461578</v>
      </c>
      <c r="W114">
        <v>4.6286620780019438</v>
      </c>
      <c r="X114">
        <v>9.4936803620183419E-2</v>
      </c>
      <c r="Y114">
        <v>4.5337252743817604</v>
      </c>
      <c r="Z114">
        <v>7.4827659933827895E-2</v>
      </c>
      <c r="AA114">
        <v>-0.28671376492201978</v>
      </c>
      <c r="AB114">
        <v>-0.36105429762281449</v>
      </c>
      <c r="AC114">
        <v>-0.24320733419896781</v>
      </c>
      <c r="AD114">
        <v>-0.19134274874028809</v>
      </c>
      <c r="AE114">
        <v>-1.128433845740149E-2</v>
      </c>
      <c r="AF114">
        <v>-1.7240513850568882E-2</v>
      </c>
      <c r="AG114">
        <v>-0.25252168547696913</v>
      </c>
      <c r="AH114">
        <v>-0.29088272769895968</v>
      </c>
      <c r="AI114">
        <v>-0.6165676291546579</v>
      </c>
      <c r="AJ114">
        <v>-0.23073220434390221</v>
      </c>
      <c r="AK114">
        <v>-0.17983295019843881</v>
      </c>
      <c r="AL114">
        <v>3.3973356162684987E-2</v>
      </c>
      <c r="AM114">
        <v>-2.0713185995402429E-3</v>
      </c>
      <c r="AN114">
        <v>-0.65189548760974891</v>
      </c>
      <c r="AO114">
        <v>0.61990978280642695</v>
      </c>
      <c r="AP114">
        <v>0.65995293028130531</v>
      </c>
      <c r="AQ114">
        <v>-0.52486557418804092</v>
      </c>
    </row>
    <row r="115" spans="1:43" x14ac:dyDescent="0.3">
      <c r="A115">
        <v>915</v>
      </c>
      <c r="B115">
        <v>2023</v>
      </c>
      <c r="C115" t="s">
        <v>180</v>
      </c>
      <c r="D115">
        <v>11</v>
      </c>
      <c r="E115">
        <v>12.32454464332127</v>
      </c>
      <c r="F115">
        <v>-1.3245446433212711</v>
      </c>
      <c r="G115">
        <v>-9.3032298166020058E-2</v>
      </c>
      <c r="H115">
        <v>-0.69710668323539615</v>
      </c>
      <c r="I115">
        <v>0.78940924708446725</v>
      </c>
      <c r="J115">
        <v>-1.8817583590378901E-2</v>
      </c>
      <c r="K115">
        <v>0.30213081591089108</v>
      </c>
      <c r="L115">
        <v>0.1755201940376224</v>
      </c>
      <c r="M115">
        <v>-3.7774425089794353E-2</v>
      </c>
      <c r="N115">
        <v>0.53138153437314606</v>
      </c>
      <c r="O115">
        <v>-0.67989079597115543</v>
      </c>
      <c r="P115">
        <v>0.15328444520229861</v>
      </c>
      <c r="Q115">
        <v>-0.52486557418804092</v>
      </c>
      <c r="R115">
        <v>-9.3032298166020058E-2</v>
      </c>
      <c r="S115">
        <v>9.113751274705443</v>
      </c>
      <c r="T115">
        <v>2.210259888524568E-2</v>
      </c>
      <c r="U115">
        <v>9.0916486758201973</v>
      </c>
      <c r="V115">
        <v>-0.69710668323539615</v>
      </c>
      <c r="W115">
        <v>4.6286620780019438</v>
      </c>
      <c r="X115">
        <v>9.4936803620183419E-2</v>
      </c>
      <c r="Y115">
        <v>4.5337252743817604</v>
      </c>
      <c r="Z115">
        <v>0.78940924708446725</v>
      </c>
      <c r="AA115">
        <v>1.8817583590378901E-2</v>
      </c>
      <c r="AB115">
        <v>-0.36105429762281449</v>
      </c>
      <c r="AC115">
        <v>-0.24320733419896781</v>
      </c>
      <c r="AD115">
        <v>-0.26648452725674487</v>
      </c>
      <c r="AE115">
        <v>-0.18645002583618209</v>
      </c>
      <c r="AF115">
        <v>0.31749968496151582</v>
      </c>
      <c r="AG115">
        <v>0.6091919802587894</v>
      </c>
      <c r="AH115">
        <v>5.1162264859926893E-2</v>
      </c>
      <c r="AI115">
        <v>0.52820178723842948</v>
      </c>
      <c r="AJ115">
        <v>-0.17823136412721141</v>
      </c>
      <c r="AK115">
        <v>-0.16919033307830861</v>
      </c>
      <c r="AL115">
        <v>0.23409842193613689</v>
      </c>
      <c r="AM115">
        <v>-0.53138153437314606</v>
      </c>
      <c r="AN115">
        <v>-0.67989079597115543</v>
      </c>
      <c r="AO115">
        <v>0.27923954539472301</v>
      </c>
      <c r="AP115">
        <v>2.7329345009874249E-2</v>
      </c>
      <c r="AQ115">
        <v>-0.52486557418804092</v>
      </c>
    </row>
    <row r="116" spans="1:43" x14ac:dyDescent="0.3">
      <c r="A116">
        <v>916</v>
      </c>
      <c r="B116">
        <v>2023</v>
      </c>
      <c r="C116" t="s">
        <v>181</v>
      </c>
      <c r="D116">
        <v>13.66666666666667</v>
      </c>
      <c r="E116">
        <v>12.7444627738895</v>
      </c>
      <c r="F116">
        <v>0.92220389277716563</v>
      </c>
      <c r="G116">
        <v>0.26351985265903588</v>
      </c>
      <c r="H116">
        <v>0.42033346851337022</v>
      </c>
      <c r="I116">
        <v>-2.0088963177645362E-2</v>
      </c>
      <c r="J116">
        <v>-0.68459889604752056</v>
      </c>
      <c r="K116">
        <v>0.30213081591089108</v>
      </c>
      <c r="L116">
        <v>-0.46310687154881208</v>
      </c>
      <c r="M116">
        <v>-1.581944977768851E-2</v>
      </c>
      <c r="N116">
        <v>0.97426071501806788</v>
      </c>
      <c r="O116">
        <v>-1.914979520849729E-2</v>
      </c>
      <c r="P116">
        <v>-0.26345397351038929</v>
      </c>
      <c r="Q116">
        <v>-0.52486557418804092</v>
      </c>
      <c r="R116">
        <v>0.26351985265903588</v>
      </c>
      <c r="S116">
        <v>9.113751274705443</v>
      </c>
      <c r="T116">
        <v>2.210259888524568E-2</v>
      </c>
      <c r="U116">
        <v>9.0916486758201973</v>
      </c>
      <c r="V116">
        <v>0.42033346851337022</v>
      </c>
      <c r="W116">
        <v>4.6286620780019438</v>
      </c>
      <c r="X116">
        <v>9.4936803620183419E-2</v>
      </c>
      <c r="Y116">
        <v>4.5337252743817604</v>
      </c>
      <c r="Z116">
        <v>-2.0088963177645362E-2</v>
      </c>
      <c r="AA116">
        <v>0.68459889604752056</v>
      </c>
      <c r="AB116">
        <v>-0.36105429762281449</v>
      </c>
      <c r="AC116">
        <v>-0.24320733419896781</v>
      </c>
      <c r="AD116">
        <v>-1.093811177808951</v>
      </c>
      <c r="AE116">
        <v>-0.28415658610717581</v>
      </c>
      <c r="AF116">
        <v>-0.178145664027238</v>
      </c>
      <c r="AG116">
        <v>-0.31930506980190809</v>
      </c>
      <c r="AH116">
        <v>-0.5331879984887139</v>
      </c>
      <c r="AI116">
        <v>-0.37003473305888568</v>
      </c>
      <c r="AJ116">
        <v>0.23954501164961731</v>
      </c>
      <c r="AK116">
        <v>-0.62162531204571303</v>
      </c>
      <c r="AL116">
        <v>0.33462195106303022</v>
      </c>
      <c r="AM116">
        <v>-0.97426071501806788</v>
      </c>
      <c r="AN116">
        <v>-1.914979520849729E-2</v>
      </c>
      <c r="AO116">
        <v>-0.35599512898545138</v>
      </c>
      <c r="AP116">
        <v>-0.17091281803532729</v>
      </c>
      <c r="AQ116">
        <v>-0.52486557418804092</v>
      </c>
    </row>
    <row r="117" spans="1:43" x14ac:dyDescent="0.3">
      <c r="A117">
        <v>917</v>
      </c>
      <c r="B117">
        <v>2023</v>
      </c>
      <c r="C117" t="s">
        <v>182</v>
      </c>
      <c r="D117">
        <v>7</v>
      </c>
      <c r="E117">
        <v>7.1275575142085534</v>
      </c>
      <c r="F117">
        <v>-0.12755751420855249</v>
      </c>
      <c r="G117">
        <v>-1.101272928817737</v>
      </c>
      <c r="H117">
        <v>-1.0657848434727071</v>
      </c>
      <c r="I117">
        <v>5.2774388590456313E-3</v>
      </c>
      <c r="J117">
        <v>-0.48947780817214248</v>
      </c>
      <c r="K117">
        <v>0.30213081591089108</v>
      </c>
      <c r="L117">
        <v>-1.096605694726952</v>
      </c>
      <c r="M117">
        <v>0.34296853745254469</v>
      </c>
      <c r="N117">
        <v>0.44728422054012562</v>
      </c>
      <c r="O117">
        <v>-1.28592133498919</v>
      </c>
      <c r="P117">
        <v>-0.21484564277688209</v>
      </c>
      <c r="Q117">
        <v>-0.52486557418804092</v>
      </c>
      <c r="R117">
        <v>-1.101272928817737</v>
      </c>
      <c r="S117">
        <v>9.113751274705443</v>
      </c>
      <c r="T117">
        <v>2.210259888524568E-2</v>
      </c>
      <c r="U117">
        <v>9.0916486758201973</v>
      </c>
      <c r="V117">
        <v>-1.0657848434727071</v>
      </c>
      <c r="W117">
        <v>4.6286620780019438</v>
      </c>
      <c r="X117">
        <v>9.4936803620183419E-2</v>
      </c>
      <c r="Y117">
        <v>4.5337252743817604</v>
      </c>
      <c r="Z117">
        <v>5.2774388590456313E-3</v>
      </c>
      <c r="AA117">
        <v>0.48947780817214248</v>
      </c>
      <c r="AB117">
        <v>-0.36105429762281449</v>
      </c>
      <c r="AC117">
        <v>-0.24320733419896781</v>
      </c>
      <c r="AD117">
        <v>-0.94885249123317505</v>
      </c>
      <c r="AE117">
        <v>-0.65425887058014687</v>
      </c>
      <c r="AF117">
        <v>-1.4936942740437971</v>
      </c>
      <c r="AG117">
        <v>-0.94340521390992715</v>
      </c>
      <c r="AH117">
        <v>-1.1757813006613069</v>
      </c>
      <c r="AI117">
        <v>-1.363642017933361</v>
      </c>
      <c r="AJ117">
        <v>0.14023196640916549</v>
      </c>
      <c r="AK117">
        <v>0.41895863939773559</v>
      </c>
      <c r="AL117">
        <v>0.46971500655073289</v>
      </c>
      <c r="AM117">
        <v>-0.44728422054012562</v>
      </c>
      <c r="AN117">
        <v>-1.28592133498919</v>
      </c>
      <c r="AO117">
        <v>7.4535608713030221E-2</v>
      </c>
      <c r="AP117">
        <v>-0.50422689426679446</v>
      </c>
      <c r="AQ117">
        <v>-0.52486557418804092</v>
      </c>
    </row>
    <row r="118" spans="1:43" x14ac:dyDescent="0.3">
      <c r="A118">
        <v>918</v>
      </c>
      <c r="B118">
        <v>2023</v>
      </c>
      <c r="C118" t="s">
        <v>183</v>
      </c>
      <c r="D118">
        <v>14.33333333333333</v>
      </c>
      <c r="E118">
        <v>14.198684427440099</v>
      </c>
      <c r="F118">
        <v>0.1346489058932345</v>
      </c>
      <c r="G118">
        <v>0.40729707823763678</v>
      </c>
      <c r="H118">
        <v>-6.9515603315732241E-2</v>
      </c>
      <c r="I118">
        <v>-0.20795751389000511</v>
      </c>
      <c r="J118">
        <v>0.13923297786064581</v>
      </c>
      <c r="K118">
        <v>0.30213081591089108</v>
      </c>
      <c r="L118">
        <v>-2.186087502574691E-2</v>
      </c>
      <c r="M118">
        <v>0.41016285017964099</v>
      </c>
      <c r="N118">
        <v>0.976927825070255</v>
      </c>
      <c r="O118">
        <v>0.17000280096270631</v>
      </c>
      <c r="P118">
        <v>0.73028312437404497</v>
      </c>
      <c r="Q118">
        <v>-0.52486557418804092</v>
      </c>
      <c r="R118">
        <v>0.40729707823763678</v>
      </c>
      <c r="S118">
        <v>9.113751274705443</v>
      </c>
      <c r="T118">
        <v>2.210259888524568E-2</v>
      </c>
      <c r="U118">
        <v>9.0916486758201973</v>
      </c>
      <c r="V118">
        <v>-6.9515603315732241E-2</v>
      </c>
      <c r="W118">
        <v>4.6286620780019438</v>
      </c>
      <c r="X118">
        <v>9.4936803620183419E-2</v>
      </c>
      <c r="Y118">
        <v>4.5337252743817604</v>
      </c>
      <c r="Z118">
        <v>-0.20795751389000511</v>
      </c>
      <c r="AA118">
        <v>-0.13923297786064581</v>
      </c>
      <c r="AB118">
        <v>-0.36105429762281449</v>
      </c>
      <c r="AC118">
        <v>-0.24320733419896781</v>
      </c>
      <c r="AD118">
        <v>0.13164228818248311</v>
      </c>
      <c r="AE118">
        <v>0.33745862480750349</v>
      </c>
      <c r="AF118">
        <v>-0.2303363463038253</v>
      </c>
      <c r="AG118">
        <v>8.1092300731719608E-2</v>
      </c>
      <c r="AH118">
        <v>-0.15460824613302179</v>
      </c>
      <c r="AI118">
        <v>-0.29641387143934061</v>
      </c>
      <c r="AJ118">
        <v>6.3472981405001017E-2</v>
      </c>
      <c r="AK118">
        <v>0.41252356858091288</v>
      </c>
      <c r="AL118">
        <v>0.75449200055300925</v>
      </c>
      <c r="AM118">
        <v>-0.976927825070255</v>
      </c>
      <c r="AN118">
        <v>0.17000280096270631</v>
      </c>
      <c r="AO118">
        <v>0.92021628872497652</v>
      </c>
      <c r="AP118">
        <v>0.54034996002311342</v>
      </c>
      <c r="AQ118">
        <v>-0.52486557418804092</v>
      </c>
    </row>
    <row r="119" spans="1:43" x14ac:dyDescent="0.3">
      <c r="A119">
        <v>921</v>
      </c>
      <c r="B119">
        <v>2023</v>
      </c>
      <c r="C119" t="s">
        <v>184</v>
      </c>
      <c r="D119">
        <v>7</v>
      </c>
      <c r="E119">
        <v>8.7763466637679119</v>
      </c>
      <c r="F119">
        <v>-1.7763466637679119</v>
      </c>
      <c r="G119">
        <v>-0.24975158291937019</v>
      </c>
      <c r="H119">
        <v>-1.015873025944219</v>
      </c>
      <c r="I119">
        <v>-0.1102029972632394</v>
      </c>
      <c r="J119">
        <v>-0.60007885896060109</v>
      </c>
      <c r="K119">
        <v>-1.3689834382906669</v>
      </c>
      <c r="L119">
        <v>-0.29262318128874409</v>
      </c>
      <c r="M119">
        <v>0.1217214127970057</v>
      </c>
      <c r="N119">
        <v>0.6418999071606436</v>
      </c>
      <c r="O119">
        <v>-1.1853063260468779</v>
      </c>
      <c r="P119">
        <v>0.61860024606692754</v>
      </c>
      <c r="Q119">
        <v>-0.52486557418804092</v>
      </c>
      <c r="R119">
        <v>-0.24975158291937019</v>
      </c>
      <c r="S119">
        <v>9.113751274705443</v>
      </c>
      <c r="T119">
        <v>2.210259888524568E-2</v>
      </c>
      <c r="U119">
        <v>9.0916486758201973</v>
      </c>
      <c r="V119">
        <v>-1.015873025944219</v>
      </c>
      <c r="W119">
        <v>4.6286620780019438</v>
      </c>
      <c r="X119">
        <v>9.4936803620183419E-2</v>
      </c>
      <c r="Y119">
        <v>4.5337252743817604</v>
      </c>
      <c r="Z119">
        <v>-0.1102029972632394</v>
      </c>
      <c r="AA119">
        <v>0.60007885896060109</v>
      </c>
      <c r="AB119">
        <v>2.7696665199223802</v>
      </c>
      <c r="AC119">
        <v>-3.1699643341045733E-2</v>
      </c>
      <c r="AD119">
        <v>0.1352583989806293</v>
      </c>
      <c r="AE119">
        <v>-0.36329317201857092</v>
      </c>
      <c r="AF119">
        <v>-0.38944589850743261</v>
      </c>
      <c r="AG119">
        <v>-0.38869693618223361</v>
      </c>
      <c r="AH119">
        <v>-0.33492343380950168</v>
      </c>
      <c r="AI119">
        <v>-0.41463804619535521</v>
      </c>
      <c r="AJ119">
        <v>-0.23221074829272551</v>
      </c>
      <c r="AK119">
        <v>0.3543604285057817</v>
      </c>
      <c r="AL119">
        <v>0.2430145581779608</v>
      </c>
      <c r="AM119">
        <v>-0.6418999071606436</v>
      </c>
      <c r="AN119">
        <v>-1.1853063260468779</v>
      </c>
      <c r="AO119">
        <v>0.77945436711393268</v>
      </c>
      <c r="AP119">
        <v>0.45774612501992251</v>
      </c>
      <c r="AQ119">
        <v>-0.52486557418804092</v>
      </c>
    </row>
    <row r="120" spans="1:43" x14ac:dyDescent="0.3">
      <c r="A120">
        <v>922</v>
      </c>
      <c r="B120">
        <v>2023</v>
      </c>
      <c r="C120" t="s">
        <v>185</v>
      </c>
      <c r="D120">
        <v>1</v>
      </c>
      <c r="E120">
        <v>10.02256072184</v>
      </c>
      <c r="F120">
        <v>-9.0225607218399961</v>
      </c>
      <c r="G120">
        <v>0.31505850748198838</v>
      </c>
      <c r="H120">
        <v>1.4968937449798829</v>
      </c>
      <c r="I120">
        <v>-0.87669620579361229</v>
      </c>
      <c r="J120">
        <v>-0.17219378633117891</v>
      </c>
      <c r="K120">
        <v>-3.920499583278287</v>
      </c>
      <c r="L120">
        <v>-1.146924369188036</v>
      </c>
      <c r="M120">
        <v>0.51286987890363922</v>
      </c>
      <c r="N120">
        <v>1.0718880558866619</v>
      </c>
      <c r="O120">
        <v>0.81033890722453339</v>
      </c>
      <c r="P120">
        <v>0.75298610649329378</v>
      </c>
      <c r="Q120">
        <v>-0.52486557418804092</v>
      </c>
      <c r="R120">
        <v>0.31505850748198838</v>
      </c>
      <c r="S120">
        <v>9.113751274705443</v>
      </c>
      <c r="T120">
        <v>2.210259888524568E-2</v>
      </c>
      <c r="U120">
        <v>9.0916486758201973</v>
      </c>
      <c r="V120">
        <v>1.4968937449798829</v>
      </c>
      <c r="W120">
        <v>4.6286620780019438</v>
      </c>
      <c r="X120">
        <v>9.4936803620183419E-2</v>
      </c>
      <c r="Y120">
        <v>4.5337252743817604</v>
      </c>
      <c r="Z120">
        <v>-0.87669620579361229</v>
      </c>
      <c r="AA120">
        <v>0.17219378633117891</v>
      </c>
      <c r="AB120">
        <v>2.7696665199223802</v>
      </c>
      <c r="AC120">
        <v>5.0713326466341941</v>
      </c>
      <c r="AD120">
        <v>-1.5822054591164469</v>
      </c>
      <c r="AE120">
        <v>-1.025789522054469</v>
      </c>
      <c r="AF120">
        <v>-0.58835787244724402</v>
      </c>
      <c r="AG120">
        <v>-1.3534676117046249</v>
      </c>
      <c r="AH120">
        <v>-1.2830452943347741</v>
      </c>
      <c r="AI120">
        <v>-1.048680455470657</v>
      </c>
      <c r="AJ120">
        <v>0.42912441796907669</v>
      </c>
      <c r="AK120">
        <v>0.33670523421347193</v>
      </c>
      <c r="AL120">
        <v>0.77277998452836916</v>
      </c>
      <c r="AM120">
        <v>-1.0718880558866619</v>
      </c>
      <c r="AN120">
        <v>0.81033890722453339</v>
      </c>
      <c r="AO120">
        <v>0.51346084648197376</v>
      </c>
      <c r="AP120">
        <v>0.9925113665046138</v>
      </c>
      <c r="AQ120">
        <v>-0.52486557418804092</v>
      </c>
    </row>
    <row r="121" spans="1:43" x14ac:dyDescent="0.3">
      <c r="A121">
        <v>924</v>
      </c>
      <c r="B121">
        <v>2023</v>
      </c>
      <c r="C121" t="s">
        <v>186</v>
      </c>
      <c r="D121">
        <v>18</v>
      </c>
      <c r="E121">
        <v>15.508089364037749</v>
      </c>
      <c r="F121">
        <v>2.491910635962252</v>
      </c>
      <c r="G121">
        <v>0.25204315136144789</v>
      </c>
      <c r="H121">
        <v>2.636128631393758</v>
      </c>
      <c r="I121">
        <v>0.66698688682477392</v>
      </c>
      <c r="J121">
        <v>0.52214881179619244</v>
      </c>
      <c r="K121">
        <v>0.30213081591089108</v>
      </c>
      <c r="L121">
        <v>-0.47240228831447761</v>
      </c>
      <c r="M121">
        <v>-0.32780853443011709</v>
      </c>
      <c r="N121">
        <v>-0.66578970790590308</v>
      </c>
      <c r="O121">
        <v>0.36214242541635111</v>
      </c>
      <c r="P121">
        <v>0.58092664067296429</v>
      </c>
      <c r="Q121">
        <v>-0.52486557418804092</v>
      </c>
      <c r="R121">
        <v>0.25204315136144789</v>
      </c>
      <c r="S121">
        <v>9.113751274705443</v>
      </c>
      <c r="T121">
        <v>2.210259888524568E-2</v>
      </c>
      <c r="U121">
        <v>9.0916486758201973</v>
      </c>
      <c r="V121">
        <v>2.636128631393758</v>
      </c>
      <c r="W121">
        <v>4.6286620780019438</v>
      </c>
      <c r="X121">
        <v>9.4936803620183419E-2</v>
      </c>
      <c r="Y121">
        <v>4.5337252743817604</v>
      </c>
      <c r="Z121">
        <v>0.66698688682477392</v>
      </c>
      <c r="AA121">
        <v>-0.52214881179619244</v>
      </c>
      <c r="AB121">
        <v>-0.36105429762281449</v>
      </c>
      <c r="AC121">
        <v>-0.24320733419896781</v>
      </c>
      <c r="AD121">
        <v>-1.9484496126935651</v>
      </c>
      <c r="AE121">
        <v>-0.25088056867806863</v>
      </c>
      <c r="AF121">
        <v>0.53372814176194527</v>
      </c>
      <c r="AG121">
        <v>-0.42033287479811438</v>
      </c>
      <c r="AH121">
        <v>-0.72126461277138398</v>
      </c>
      <c r="AI121">
        <v>-2.7214202707677989E-2</v>
      </c>
      <c r="AJ121">
        <v>-1.1289100631536499</v>
      </c>
      <c r="AK121">
        <v>-0.27875153878011621</v>
      </c>
      <c r="AL121">
        <v>0.42423599864341532</v>
      </c>
      <c r="AM121">
        <v>0.66578970790590308</v>
      </c>
      <c r="AN121">
        <v>0.36214242541635111</v>
      </c>
      <c r="AO121">
        <v>0.3935863461321068</v>
      </c>
      <c r="AP121">
        <v>0.76826693521382172</v>
      </c>
      <c r="AQ121">
        <v>-0.52486557418804092</v>
      </c>
    </row>
    <row r="122" spans="1:43" x14ac:dyDescent="0.3">
      <c r="A122">
        <v>926</v>
      </c>
      <c r="B122">
        <v>2023</v>
      </c>
      <c r="C122" t="s">
        <v>187</v>
      </c>
      <c r="D122">
        <v>3.6666666666666679</v>
      </c>
      <c r="E122">
        <v>6.1297013202676291</v>
      </c>
      <c r="F122">
        <v>-2.4630346536009609</v>
      </c>
      <c r="G122">
        <v>-0.42502267595044169</v>
      </c>
      <c r="H122">
        <v>0.22827094700072609</v>
      </c>
      <c r="I122">
        <v>-1.4900741441988989</v>
      </c>
      <c r="J122">
        <v>-1.009743472127719</v>
      </c>
      <c r="K122">
        <v>-3.920499583278287</v>
      </c>
      <c r="L122">
        <v>-0.75563994968063353</v>
      </c>
      <c r="M122">
        <v>0.19572016504193079</v>
      </c>
      <c r="N122">
        <v>-0.64342487882246047</v>
      </c>
      <c r="O122">
        <v>-0.17421664872812229</v>
      </c>
      <c r="P122">
        <v>0.4577593169317366</v>
      </c>
      <c r="Q122">
        <v>-0.52486557418804092</v>
      </c>
      <c r="R122">
        <v>-0.42502267595044169</v>
      </c>
      <c r="S122">
        <v>9.113751274705443</v>
      </c>
      <c r="T122">
        <v>2.210259888524568E-2</v>
      </c>
      <c r="U122">
        <v>9.0916486758201973</v>
      </c>
      <c r="V122">
        <v>0.22827094700072609</v>
      </c>
      <c r="W122">
        <v>4.6286620780019438</v>
      </c>
      <c r="X122">
        <v>9.4936803620183419E-2</v>
      </c>
      <c r="Y122">
        <v>4.5337252743817604</v>
      </c>
      <c r="Z122">
        <v>-1.4900741441988989</v>
      </c>
      <c r="AA122">
        <v>1.009743472127719</v>
      </c>
      <c r="AB122">
        <v>2.7696665199223802</v>
      </c>
      <c r="AC122">
        <v>5.0713326466341941</v>
      </c>
      <c r="AD122">
        <v>-0.24990759447296801</v>
      </c>
      <c r="AE122">
        <v>-0.69795342339063082</v>
      </c>
      <c r="AF122">
        <v>-1.0114954277468511</v>
      </c>
      <c r="AG122">
        <v>-0.76304070469723484</v>
      </c>
      <c r="AH122">
        <v>-0.92946919338610734</v>
      </c>
      <c r="AI122">
        <v>-0.88197335439000946</v>
      </c>
      <c r="AJ122">
        <v>-1.5120784865012431</v>
      </c>
      <c r="AK122">
        <v>2.034326416236135</v>
      </c>
      <c r="AL122">
        <v>6.4912565390899693E-2</v>
      </c>
      <c r="AM122">
        <v>0.64342487882246047</v>
      </c>
      <c r="AN122">
        <v>-0.17421664872812229</v>
      </c>
      <c r="AO122">
        <v>0.49649233921585489</v>
      </c>
      <c r="AP122">
        <v>0.41902629464761831</v>
      </c>
      <c r="AQ122">
        <v>-0.52486557418804092</v>
      </c>
    </row>
    <row r="123" spans="1:43" x14ac:dyDescent="0.3">
      <c r="A123">
        <v>927</v>
      </c>
      <c r="B123">
        <v>2023</v>
      </c>
      <c r="C123" t="s">
        <v>188</v>
      </c>
      <c r="D123">
        <v>10</v>
      </c>
      <c r="E123">
        <v>9.9854054909892582</v>
      </c>
      <c r="F123">
        <v>1.4594509010741771E-2</v>
      </c>
      <c r="G123">
        <v>-0.90138748894638321</v>
      </c>
      <c r="H123">
        <v>-6.8497519973640661E-2</v>
      </c>
      <c r="I123">
        <v>0.97317376717471193</v>
      </c>
      <c r="J123">
        <v>-1.112312257540649</v>
      </c>
      <c r="K123">
        <v>0.30213081591089108</v>
      </c>
      <c r="L123">
        <v>-0.84846691556750675</v>
      </c>
      <c r="M123">
        <v>0.10497861914875289</v>
      </c>
      <c r="N123">
        <v>0.71869045074652693</v>
      </c>
      <c r="O123">
        <v>-0.42685975947415572</v>
      </c>
      <c r="P123">
        <v>-9.496382358497045E-2</v>
      </c>
      <c r="Q123">
        <v>-0.52486557418804092</v>
      </c>
      <c r="R123">
        <v>-0.90138748894638321</v>
      </c>
      <c r="S123">
        <v>9.113751274705443</v>
      </c>
      <c r="T123">
        <v>2.210259888524568E-2</v>
      </c>
      <c r="U123">
        <v>9.0916486758201973</v>
      </c>
      <c r="V123">
        <v>-6.8497519973640661E-2</v>
      </c>
      <c r="W123">
        <v>4.6286620780019438</v>
      </c>
      <c r="X123">
        <v>9.4936803620183419E-2</v>
      </c>
      <c r="Y123">
        <v>4.5337252743817604</v>
      </c>
      <c r="Z123">
        <v>0.97317376717471193</v>
      </c>
      <c r="AA123">
        <v>1.112312257540649</v>
      </c>
      <c r="AB123">
        <v>-0.36105429762281449</v>
      </c>
      <c r="AC123">
        <v>-0.24320733419896781</v>
      </c>
      <c r="AD123">
        <v>-1.2434651343800269</v>
      </c>
      <c r="AE123">
        <v>-0.34236585060282548</v>
      </c>
      <c r="AF123">
        <v>-0.69087764112974115</v>
      </c>
      <c r="AG123">
        <v>-1.102278652216828</v>
      </c>
      <c r="AH123">
        <v>-0.85281971577039106</v>
      </c>
      <c r="AI123">
        <v>-0.85899449930522875</v>
      </c>
      <c r="AJ123">
        <v>-6.3406137457579656E-2</v>
      </c>
      <c r="AK123">
        <v>-0.28799164046581072</v>
      </c>
      <c r="AL123">
        <v>0.66633363536964896</v>
      </c>
      <c r="AM123">
        <v>-0.71869045074652693</v>
      </c>
      <c r="AN123">
        <v>-0.42685975947415572</v>
      </c>
      <c r="AO123">
        <v>-5.7822072793641197E-2</v>
      </c>
      <c r="AP123">
        <v>-0.13210557437629969</v>
      </c>
      <c r="AQ123">
        <v>-0.52486557418804092</v>
      </c>
    </row>
    <row r="124" spans="1:43" x14ac:dyDescent="0.3">
      <c r="A124">
        <v>935</v>
      </c>
      <c r="B124">
        <v>2023</v>
      </c>
      <c r="C124" t="s">
        <v>189</v>
      </c>
      <c r="D124">
        <v>19</v>
      </c>
      <c r="E124">
        <v>18.012926324392389</v>
      </c>
      <c r="F124">
        <v>0.98707367560761128</v>
      </c>
      <c r="G124">
        <v>0.93541458248760578</v>
      </c>
      <c r="H124">
        <v>0.56437957379224357</v>
      </c>
      <c r="I124">
        <v>-0.64866054686480534</v>
      </c>
      <c r="J124">
        <v>2.5127553403603339E-3</v>
      </c>
      <c r="K124">
        <v>0.30213081591089108</v>
      </c>
      <c r="L124">
        <v>1.0559556610117711</v>
      </c>
      <c r="M124">
        <v>0.50304278298206628</v>
      </c>
      <c r="N124">
        <v>0.4397274087255959</v>
      </c>
      <c r="O124">
        <v>0.22400206549722551</v>
      </c>
      <c r="P124">
        <v>0.74827880726932672</v>
      </c>
      <c r="Q124">
        <v>-0.52486557418804092</v>
      </c>
      <c r="R124">
        <v>0.93541458248760578</v>
      </c>
      <c r="S124">
        <v>9.113751274705443</v>
      </c>
      <c r="T124">
        <v>2.210259888524568E-2</v>
      </c>
      <c r="U124">
        <v>9.0916486758201973</v>
      </c>
      <c r="V124">
        <v>0.56437957379224357</v>
      </c>
      <c r="W124">
        <v>4.6286620780019438</v>
      </c>
      <c r="X124">
        <v>9.4936803620183419E-2</v>
      </c>
      <c r="Y124">
        <v>4.5337252743817604</v>
      </c>
      <c r="Z124">
        <v>-0.64866054686480534</v>
      </c>
      <c r="AA124">
        <v>-2.5127553403603339E-3</v>
      </c>
      <c r="AB124">
        <v>-0.36105429762281449</v>
      </c>
      <c r="AC124">
        <v>-0.24320733419896781</v>
      </c>
      <c r="AD124">
        <v>1.091582218680947</v>
      </c>
      <c r="AE124">
        <v>1.2471828002810581</v>
      </c>
      <c r="AF124">
        <v>1.0546506855375151</v>
      </c>
      <c r="AG124">
        <v>1.0936585537024739</v>
      </c>
      <c r="AH124">
        <v>1.1251442816119139</v>
      </c>
      <c r="AI124">
        <v>0.72351542625671861</v>
      </c>
      <c r="AJ124">
        <v>-1.432591941647974E-3</v>
      </c>
      <c r="AK124">
        <v>0.87040360747024448</v>
      </c>
      <c r="AL124">
        <v>0.64015733341760239</v>
      </c>
      <c r="AM124">
        <v>-0.4397274087255959</v>
      </c>
      <c r="AN124">
        <v>0.22400206549722551</v>
      </c>
      <c r="AO124">
        <v>0.92868946063997593</v>
      </c>
      <c r="AP124">
        <v>0.56786815389867751</v>
      </c>
      <c r="AQ124">
        <v>-0.52486557418804092</v>
      </c>
    </row>
    <row r="125" spans="1:43" x14ac:dyDescent="0.3">
      <c r="A125">
        <v>936</v>
      </c>
      <c r="B125">
        <v>2023</v>
      </c>
      <c r="C125" t="s">
        <v>190</v>
      </c>
      <c r="D125">
        <v>17.333333333333329</v>
      </c>
      <c r="E125">
        <v>15.685612796685289</v>
      </c>
      <c r="F125">
        <v>1.6477205366480361</v>
      </c>
      <c r="G125">
        <v>0.74214335880641291</v>
      </c>
      <c r="H125">
        <v>7.0439321793116877E-2</v>
      </c>
      <c r="I125">
        <v>-0.44804330528374681</v>
      </c>
      <c r="J125">
        <v>5.2480696001905053E-2</v>
      </c>
      <c r="K125">
        <v>0.30213081591089108</v>
      </c>
      <c r="L125">
        <v>0.48384423611705751</v>
      </c>
      <c r="M125">
        <v>0.47516195714794729</v>
      </c>
      <c r="N125">
        <v>6.7054343725220664E-2</v>
      </c>
      <c r="O125">
        <v>-0.19873355618919711</v>
      </c>
      <c r="P125">
        <v>-0.71803210296025899</v>
      </c>
      <c r="Q125">
        <v>1.9052497423687671</v>
      </c>
      <c r="R125">
        <v>0.74214335880641291</v>
      </c>
      <c r="S125">
        <v>9.113751274705443</v>
      </c>
      <c r="T125">
        <v>2.210259888524568E-2</v>
      </c>
      <c r="U125">
        <v>9.0916486758201973</v>
      </c>
      <c r="V125">
        <v>7.0439321793116877E-2</v>
      </c>
      <c r="W125">
        <v>4.6286620780019438</v>
      </c>
      <c r="X125">
        <v>9.4936803620183419E-2</v>
      </c>
      <c r="Y125">
        <v>4.5337252743817604</v>
      </c>
      <c r="Z125">
        <v>-0.44804330528374681</v>
      </c>
      <c r="AA125">
        <v>-5.2480696001905053E-2</v>
      </c>
      <c r="AB125">
        <v>-0.36105429762281449</v>
      </c>
      <c r="AC125">
        <v>-0.24320733419896781</v>
      </c>
      <c r="AD125">
        <v>0.90995721612746816</v>
      </c>
      <c r="AE125">
        <v>0.66375444566028097</v>
      </c>
      <c r="AF125">
        <v>0.31414175744661987</v>
      </c>
      <c r="AG125">
        <v>0.29558445016905061</v>
      </c>
      <c r="AH125">
        <v>0.47066306102083949</v>
      </c>
      <c r="AI125">
        <v>0.24896448627808579</v>
      </c>
      <c r="AJ125">
        <v>-0.31854267886384752</v>
      </c>
      <c r="AK125">
        <v>1.108253724968973</v>
      </c>
      <c r="AL125">
        <v>0.63577482533871643</v>
      </c>
      <c r="AM125">
        <v>-6.7054343725220664E-2</v>
      </c>
      <c r="AN125">
        <v>-0.19873355618919711</v>
      </c>
      <c r="AO125">
        <v>-0.37798379475975652</v>
      </c>
      <c r="AP125">
        <v>-1.0580804111607609</v>
      </c>
      <c r="AQ125">
        <v>1.9052497423687671</v>
      </c>
    </row>
    <row r="126" spans="1:43" x14ac:dyDescent="0.3">
      <c r="A126">
        <v>939</v>
      </c>
      <c r="B126">
        <v>2023</v>
      </c>
      <c r="C126" t="s">
        <v>191</v>
      </c>
      <c r="D126">
        <v>18.333333333333329</v>
      </c>
      <c r="E126">
        <v>18.271247618815678</v>
      </c>
      <c r="F126">
        <v>6.2085714517650097E-2</v>
      </c>
      <c r="G126">
        <v>0.89792078832604771</v>
      </c>
      <c r="H126">
        <v>-0.541328572844746</v>
      </c>
      <c r="I126">
        <v>-0.43057934518963942</v>
      </c>
      <c r="J126">
        <v>-8.0728987731925994E-2</v>
      </c>
      <c r="K126">
        <v>0.30213081591089108</v>
      </c>
      <c r="L126">
        <v>1.305177017346314</v>
      </c>
      <c r="M126">
        <v>0.54663758069508794</v>
      </c>
      <c r="N126">
        <v>1.0544129285655619</v>
      </c>
      <c r="O126">
        <v>0.29858725654969359</v>
      </c>
      <c r="P126">
        <v>-0.56131901906943449</v>
      </c>
      <c r="Q126">
        <v>1.9052497423687671</v>
      </c>
      <c r="R126">
        <v>0.89792078832604771</v>
      </c>
      <c r="S126">
        <v>9.113751274705443</v>
      </c>
      <c r="T126">
        <v>2.210259888524568E-2</v>
      </c>
      <c r="U126">
        <v>9.0916486758201973</v>
      </c>
      <c r="V126">
        <v>-0.541328572844746</v>
      </c>
      <c r="W126">
        <v>4.6286620780019438</v>
      </c>
      <c r="X126">
        <v>9.4936803620183419E-2</v>
      </c>
      <c r="Y126">
        <v>4.5337252743817604</v>
      </c>
      <c r="Z126">
        <v>-0.43057934518963942</v>
      </c>
      <c r="AA126">
        <v>8.0728987731925994E-2</v>
      </c>
      <c r="AB126">
        <v>-0.36105429762281449</v>
      </c>
      <c r="AC126">
        <v>-0.24320733419896781</v>
      </c>
      <c r="AD126">
        <v>1.3730769125172031</v>
      </c>
      <c r="AE126">
        <v>0.97869793770872615</v>
      </c>
      <c r="AF126">
        <v>1.0915992671492329</v>
      </c>
      <c r="AG126">
        <v>1.353196737003191</v>
      </c>
      <c r="AH126">
        <v>1.471754502181525</v>
      </c>
      <c r="AI126">
        <v>1.5627367475180021</v>
      </c>
      <c r="AJ126">
        <v>5.722134126886773E-4</v>
      </c>
      <c r="AK126">
        <v>0.90439398152833528</v>
      </c>
      <c r="AL126">
        <v>0.73494654714424001</v>
      </c>
      <c r="AM126">
        <v>-1.0544129285655619</v>
      </c>
      <c r="AN126">
        <v>0.29858725654969359</v>
      </c>
      <c r="AO126">
        <v>-0.34294663776610429</v>
      </c>
      <c r="AP126">
        <v>-0.77969140037276463</v>
      </c>
      <c r="AQ126">
        <v>1.9052497423687671</v>
      </c>
    </row>
    <row r="127" spans="1:43" x14ac:dyDescent="0.3">
      <c r="A127">
        <v>941</v>
      </c>
      <c r="B127">
        <v>2023</v>
      </c>
      <c r="C127" t="s">
        <v>192</v>
      </c>
      <c r="D127">
        <v>16.666666666666671</v>
      </c>
      <c r="E127">
        <v>16.087485023834549</v>
      </c>
      <c r="F127">
        <v>0.57918164283212548</v>
      </c>
      <c r="G127">
        <v>0.67588637181394284</v>
      </c>
      <c r="H127">
        <v>-0.52764381290893125</v>
      </c>
      <c r="I127">
        <v>-0.34893533174968738</v>
      </c>
      <c r="J127">
        <v>-4.5757152973388032E-2</v>
      </c>
      <c r="K127">
        <v>0.30213081591089108</v>
      </c>
      <c r="L127">
        <v>0.81863645970255738</v>
      </c>
      <c r="M127">
        <v>0.49704847215686632</v>
      </c>
      <c r="N127">
        <v>0.37235509751149798</v>
      </c>
      <c r="O127">
        <v>-3.6890932886026101E-2</v>
      </c>
      <c r="P127">
        <v>-0.43445853818878799</v>
      </c>
      <c r="Q127">
        <v>1.9052497423687671</v>
      </c>
      <c r="R127">
        <v>0.67588637181394284</v>
      </c>
      <c r="S127">
        <v>9.113751274705443</v>
      </c>
      <c r="T127">
        <v>2.210259888524568E-2</v>
      </c>
      <c r="U127">
        <v>9.0916486758201973</v>
      </c>
      <c r="V127">
        <v>-0.52764381290893125</v>
      </c>
      <c r="W127">
        <v>4.6286620780019438</v>
      </c>
      <c r="X127">
        <v>9.4936803620183419E-2</v>
      </c>
      <c r="Y127">
        <v>4.5337252743817604</v>
      </c>
      <c r="Z127">
        <v>-0.34893533174968738</v>
      </c>
      <c r="AA127">
        <v>4.5757152973388032E-2</v>
      </c>
      <c r="AB127">
        <v>-0.36105429762281449</v>
      </c>
      <c r="AC127">
        <v>-0.24320733419896781</v>
      </c>
      <c r="AD127">
        <v>1.0622670609552389</v>
      </c>
      <c r="AE127">
        <v>0.96920597569806555</v>
      </c>
      <c r="AF127">
        <v>0.37418732743426297</v>
      </c>
      <c r="AG127">
        <v>0.82770207080537028</v>
      </c>
      <c r="AH127">
        <v>1.03041283595561</v>
      </c>
      <c r="AI127">
        <v>0.64804348736679596</v>
      </c>
      <c r="AJ127">
        <v>1.247574520406261E-2</v>
      </c>
      <c r="AK127">
        <v>0.84878836959835158</v>
      </c>
      <c r="AL127">
        <v>0.62988130166818457</v>
      </c>
      <c r="AM127">
        <v>-0.37235509751149798</v>
      </c>
      <c r="AN127">
        <v>-3.6890932886026101E-2</v>
      </c>
      <c r="AO127">
        <v>-0.22425937300315121</v>
      </c>
      <c r="AP127">
        <v>-0.64465770337442485</v>
      </c>
      <c r="AQ127">
        <v>1.9052497423687671</v>
      </c>
    </row>
    <row r="128" spans="1:43" x14ac:dyDescent="0.3">
      <c r="A128">
        <v>942</v>
      </c>
      <c r="B128">
        <v>2023</v>
      </c>
      <c r="C128" t="s">
        <v>193</v>
      </c>
      <c r="D128">
        <v>11.66666666666667</v>
      </c>
      <c r="E128">
        <v>12.2182091375845</v>
      </c>
      <c r="F128">
        <v>-0.55154247091783404</v>
      </c>
      <c r="G128">
        <v>0.21106000705613459</v>
      </c>
      <c r="H128">
        <v>-0.1898458332747438</v>
      </c>
      <c r="I128">
        <v>0.13407414455308761</v>
      </c>
      <c r="J128">
        <v>-6.5885513950069918E-2</v>
      </c>
      <c r="K128">
        <v>0.30213081591089108</v>
      </c>
      <c r="L128">
        <v>-0.32282667720947772</v>
      </c>
      <c r="M128">
        <v>0.45734182621480179</v>
      </c>
      <c r="N128">
        <v>0.34401705320701143</v>
      </c>
      <c r="O128">
        <v>-0.36832176365333019</v>
      </c>
      <c r="P128">
        <v>0.61664184746101713</v>
      </c>
      <c r="Q128">
        <v>-0.52486557418804092</v>
      </c>
      <c r="R128">
        <v>0.21106000705613459</v>
      </c>
      <c r="S128">
        <v>9.113751274705443</v>
      </c>
      <c r="T128">
        <v>2.210259888524568E-2</v>
      </c>
      <c r="U128">
        <v>9.0916486758201973</v>
      </c>
      <c r="V128">
        <v>-0.1898458332747438</v>
      </c>
      <c r="W128">
        <v>4.6286620780019438</v>
      </c>
      <c r="X128">
        <v>9.4936803620183419E-2</v>
      </c>
      <c r="Y128">
        <v>4.5337252743817604</v>
      </c>
      <c r="Z128">
        <v>0.13407414455308761</v>
      </c>
      <c r="AA128">
        <v>6.5885513950069918E-2</v>
      </c>
      <c r="AB128">
        <v>-0.36105429762281449</v>
      </c>
      <c r="AC128">
        <v>-0.24320733419896781</v>
      </c>
      <c r="AD128">
        <v>-0.561942820937261</v>
      </c>
      <c r="AE128">
        <v>6.4887212667701977E-2</v>
      </c>
      <c r="AF128">
        <v>-0.2333096653808916</v>
      </c>
      <c r="AG128">
        <v>-0.22730173397338399</v>
      </c>
      <c r="AH128">
        <v>-0.32432908649205189</v>
      </c>
      <c r="AI128">
        <v>-0.65496396914097976</v>
      </c>
      <c r="AJ128">
        <v>0.20303249413376109</v>
      </c>
      <c r="AK128">
        <v>0.82379059450223158</v>
      </c>
      <c r="AL128">
        <v>0.34520239000841291</v>
      </c>
      <c r="AM128">
        <v>-0.34401705320701143</v>
      </c>
      <c r="AN128">
        <v>-0.36832176365333019</v>
      </c>
      <c r="AO128">
        <v>0.73936982665453255</v>
      </c>
      <c r="AP128">
        <v>0.49391386826750172</v>
      </c>
      <c r="AQ128">
        <v>-0.52486557418804092</v>
      </c>
    </row>
    <row r="129" spans="1:43" x14ac:dyDescent="0.3">
      <c r="A129">
        <v>943</v>
      </c>
      <c r="B129">
        <v>2023</v>
      </c>
      <c r="C129" t="s">
        <v>194</v>
      </c>
      <c r="D129">
        <v>8.5</v>
      </c>
      <c r="E129">
        <v>10.063331992391049</v>
      </c>
      <c r="F129">
        <v>-1.563331992391054</v>
      </c>
      <c r="G129">
        <v>0.20983095102762389</v>
      </c>
      <c r="H129">
        <v>-1.423970333887197</v>
      </c>
      <c r="I129">
        <v>-7.4882137972907339E-2</v>
      </c>
      <c r="J129">
        <v>0.16617254724365521</v>
      </c>
      <c r="K129">
        <v>0.30213081591089108</v>
      </c>
      <c r="L129">
        <v>3.7814605261496238E-3</v>
      </c>
      <c r="M129">
        <v>0.2178648998503552</v>
      </c>
      <c r="N129">
        <v>-4.2186038828937192E-2</v>
      </c>
      <c r="O129">
        <v>-1.5878568778246831</v>
      </c>
      <c r="P129">
        <v>0.2894657361701618</v>
      </c>
      <c r="Q129">
        <v>-0.52486557418804092</v>
      </c>
      <c r="R129">
        <v>0.20983095102762389</v>
      </c>
      <c r="S129">
        <v>9.113751274705443</v>
      </c>
      <c r="T129">
        <v>2.210259888524568E-2</v>
      </c>
      <c r="U129">
        <v>9.0916486758201973</v>
      </c>
      <c r="V129">
        <v>-1.423970333887197</v>
      </c>
      <c r="W129">
        <v>4.6286620780019438</v>
      </c>
      <c r="X129">
        <v>9.4936803620183419E-2</v>
      </c>
      <c r="Y129">
        <v>4.5337252743817604</v>
      </c>
      <c r="Z129">
        <v>-7.4882137972907339E-2</v>
      </c>
      <c r="AA129">
        <v>-0.16617254724365521</v>
      </c>
      <c r="AB129">
        <v>-0.36105429762281449</v>
      </c>
      <c r="AC129">
        <v>-0.24320733419896781</v>
      </c>
      <c r="AD129">
        <v>8.3239433959500064E-2</v>
      </c>
      <c r="AE129">
        <v>0.27441553533761143</v>
      </c>
      <c r="AF129">
        <v>-3.6280907312700637E-2</v>
      </c>
      <c r="AG129">
        <v>-9.7615313629302203E-2</v>
      </c>
      <c r="AH129">
        <v>1.1660915338088671E-2</v>
      </c>
      <c r="AI129">
        <v>-0.21273090053629959</v>
      </c>
      <c r="AJ129">
        <v>-0.59934072880562428</v>
      </c>
      <c r="AK129">
        <v>0.9227091830839087</v>
      </c>
      <c r="AL129">
        <v>0.3302262452727811</v>
      </c>
      <c r="AM129">
        <v>4.2186038828937192E-2</v>
      </c>
      <c r="AN129">
        <v>-1.5878568778246831</v>
      </c>
      <c r="AO129">
        <v>0.4398230215141839</v>
      </c>
      <c r="AP129">
        <v>0.13910845082613971</v>
      </c>
      <c r="AQ129">
        <v>-0.52486557418804092</v>
      </c>
    </row>
    <row r="130" spans="1:43" x14ac:dyDescent="0.3">
      <c r="A130">
        <v>944</v>
      </c>
      <c r="B130">
        <v>2023</v>
      </c>
      <c r="C130" t="s">
        <v>195</v>
      </c>
      <c r="D130">
        <v>13.66666666666667</v>
      </c>
      <c r="E130">
        <v>13.558356636155651</v>
      </c>
      <c r="F130">
        <v>0.1083100305110207</v>
      </c>
      <c r="G130">
        <v>0.66526685475970426</v>
      </c>
      <c r="H130">
        <v>0.31526693828288838</v>
      </c>
      <c r="I130">
        <v>-7.6453894381377022E-2</v>
      </c>
      <c r="J130">
        <v>-0.35884379148272127</v>
      </c>
      <c r="K130">
        <v>0.30213081591089108</v>
      </c>
      <c r="L130">
        <v>0.1163972963961836</v>
      </c>
      <c r="M130">
        <v>0.19773742286584209</v>
      </c>
      <c r="N130">
        <v>-0.41441458548728111</v>
      </c>
      <c r="O130">
        <v>-2.622297473445083E-2</v>
      </c>
      <c r="P130">
        <v>0.17437575396797561</v>
      </c>
      <c r="Q130">
        <v>-0.52486557418804092</v>
      </c>
      <c r="R130">
        <v>0.66526685475970426</v>
      </c>
      <c r="S130">
        <v>9.113751274705443</v>
      </c>
      <c r="T130">
        <v>2.210259888524568E-2</v>
      </c>
      <c r="U130">
        <v>9.0916486758201973</v>
      </c>
      <c r="V130">
        <v>0.31526693828288838</v>
      </c>
      <c r="W130">
        <v>4.6286620780019438</v>
      </c>
      <c r="X130">
        <v>9.4936803620183419E-2</v>
      </c>
      <c r="Y130">
        <v>4.5337252743817604</v>
      </c>
      <c r="Z130">
        <v>-7.6453894381377022E-2</v>
      </c>
      <c r="AA130">
        <v>0.35884379148272127</v>
      </c>
      <c r="AB130">
        <v>-0.36105429762281449</v>
      </c>
      <c r="AC130">
        <v>-0.24320733419896781</v>
      </c>
      <c r="AD130">
        <v>-0.20270065377888299</v>
      </c>
      <c r="AE130">
        <v>0.66197951615144168</v>
      </c>
      <c r="AF130">
        <v>0.2703760481691137</v>
      </c>
      <c r="AG130">
        <v>-5.1026852876782762E-2</v>
      </c>
      <c r="AH130">
        <v>7.8229162173097874E-2</v>
      </c>
      <c r="AI130">
        <v>-5.8473441460885789E-2</v>
      </c>
      <c r="AJ130">
        <v>-0.40467412889953552</v>
      </c>
      <c r="AK130">
        <v>1.0726133327527221</v>
      </c>
      <c r="AL130">
        <v>-7.472693525566039E-2</v>
      </c>
      <c r="AM130">
        <v>0.41441458548728111</v>
      </c>
      <c r="AN130">
        <v>-2.622297473445083E-2</v>
      </c>
      <c r="AO130">
        <v>0.41947292016315862</v>
      </c>
      <c r="AP130">
        <v>-7.0721412227207445E-2</v>
      </c>
      <c r="AQ130">
        <v>-0.52486557418804092</v>
      </c>
    </row>
    <row r="131" spans="1:43" x14ac:dyDescent="0.3">
      <c r="A131">
        <v>946</v>
      </c>
      <c r="B131">
        <v>2023</v>
      </c>
      <c r="C131" t="s">
        <v>196</v>
      </c>
      <c r="D131">
        <v>17.333333333333329</v>
      </c>
      <c r="E131">
        <v>17.584674037069391</v>
      </c>
      <c r="F131">
        <v>-0.25134070373606221</v>
      </c>
      <c r="G131">
        <v>0.83299029328936769</v>
      </c>
      <c r="H131">
        <v>-0.19968471196755999</v>
      </c>
      <c r="I131">
        <v>-0.25262159183068511</v>
      </c>
      <c r="J131">
        <v>-5.7967722665403308E-2</v>
      </c>
      <c r="K131">
        <v>0.30213081591089108</v>
      </c>
      <c r="L131">
        <v>1.02000624741304</v>
      </c>
      <c r="M131">
        <v>0.50294119211019794</v>
      </c>
      <c r="N131">
        <v>0.57536106783785401</v>
      </c>
      <c r="O131">
        <v>0.36410791588791408</v>
      </c>
      <c r="P131">
        <v>-0.57281270053460398</v>
      </c>
      <c r="Q131">
        <v>1.9052497423687671</v>
      </c>
      <c r="R131">
        <v>0.83299029328936769</v>
      </c>
      <c r="S131">
        <v>9.113751274705443</v>
      </c>
      <c r="T131">
        <v>2.210259888524568E-2</v>
      </c>
      <c r="U131">
        <v>9.0916486758201973</v>
      </c>
      <c r="V131">
        <v>-0.19968471196755999</v>
      </c>
      <c r="W131">
        <v>4.6286620780019438</v>
      </c>
      <c r="X131">
        <v>9.4936803620183419E-2</v>
      </c>
      <c r="Y131">
        <v>4.5337252743817604</v>
      </c>
      <c r="Z131">
        <v>-0.25262159183068511</v>
      </c>
      <c r="AA131">
        <v>5.7967722665403308E-2</v>
      </c>
      <c r="AB131">
        <v>-0.36105429762281449</v>
      </c>
      <c r="AC131">
        <v>-0.24320733419896781</v>
      </c>
      <c r="AD131">
        <v>1.145510717165189</v>
      </c>
      <c r="AE131">
        <v>1.104377387039027</v>
      </c>
      <c r="AF131">
        <v>0.72402511427333394</v>
      </c>
      <c r="AG131">
        <v>1.076723076457242</v>
      </c>
      <c r="AH131">
        <v>1.306564394603859</v>
      </c>
      <c r="AI131">
        <v>0.76283679493958745</v>
      </c>
      <c r="AJ131">
        <v>0.27084503524419817</v>
      </c>
      <c r="AK131">
        <v>0.60046063679530881</v>
      </c>
      <c r="AL131">
        <v>0.63751790429108679</v>
      </c>
      <c r="AM131">
        <v>-0.57536106783785401</v>
      </c>
      <c r="AN131">
        <v>0.36410791588791408</v>
      </c>
      <c r="AO131">
        <v>-0.32573224310340682</v>
      </c>
      <c r="AP131">
        <v>-0.8198931579658012</v>
      </c>
      <c r="AQ131">
        <v>1.9052497423687671</v>
      </c>
    </row>
    <row r="132" spans="1:43" x14ac:dyDescent="0.3">
      <c r="A132">
        <v>948</v>
      </c>
      <c r="B132">
        <v>2023</v>
      </c>
      <c r="C132" t="s">
        <v>197</v>
      </c>
      <c r="D132">
        <v>7.6666666666666661</v>
      </c>
      <c r="E132">
        <v>10.113154764936059</v>
      </c>
      <c r="F132">
        <v>-2.4464880982693908</v>
      </c>
      <c r="G132">
        <v>-0.36060106265308828</v>
      </c>
      <c r="H132">
        <v>-0.91394201842805789</v>
      </c>
      <c r="I132">
        <v>0.16729932863212679</v>
      </c>
      <c r="J132">
        <v>-0.95559722714968787</v>
      </c>
      <c r="K132">
        <v>0.30213081591089108</v>
      </c>
      <c r="L132">
        <v>-0.2415269742769858</v>
      </c>
      <c r="M132">
        <v>0.3012138370342437</v>
      </c>
      <c r="N132">
        <v>0.31517892576773993</v>
      </c>
      <c r="O132">
        <v>-1.296123782239605</v>
      </c>
      <c r="P132">
        <v>0.42299751734886909</v>
      </c>
      <c r="Q132">
        <v>-0.52486557418804092</v>
      </c>
      <c r="R132">
        <v>-0.36060106265308828</v>
      </c>
      <c r="S132">
        <v>9.113751274705443</v>
      </c>
      <c r="T132">
        <v>2.210259888524568E-2</v>
      </c>
      <c r="U132">
        <v>9.0916486758201973</v>
      </c>
      <c r="V132">
        <v>-0.91394201842805789</v>
      </c>
      <c r="W132">
        <v>4.6286620780019438</v>
      </c>
      <c r="X132">
        <v>9.4936803620183419E-2</v>
      </c>
      <c r="Y132">
        <v>4.5337252743817604</v>
      </c>
      <c r="Z132">
        <v>0.16729932863212679</v>
      </c>
      <c r="AA132">
        <v>0.95559722714968787</v>
      </c>
      <c r="AB132">
        <v>-0.36105429762281449</v>
      </c>
      <c r="AC132">
        <v>-0.24320733419896781</v>
      </c>
      <c r="AD132">
        <v>2.618584756762659E-2</v>
      </c>
      <c r="AE132">
        <v>0.73310665744532189</v>
      </c>
      <c r="AF132">
        <v>-0.76521403174075797</v>
      </c>
      <c r="AG132">
        <v>-0.37308535607947341</v>
      </c>
      <c r="AH132">
        <v>-0.29577458241269461</v>
      </c>
      <c r="AI132">
        <v>-0.77438038044193724</v>
      </c>
      <c r="AJ132">
        <v>0.1508323747202206</v>
      </c>
      <c r="AK132">
        <v>0.43026126378112989</v>
      </c>
      <c r="AL132">
        <v>0.32254787260138063</v>
      </c>
      <c r="AM132">
        <v>-0.31517892576773993</v>
      </c>
      <c r="AN132">
        <v>-1.296123782239605</v>
      </c>
      <c r="AO132">
        <v>0.49491046508603798</v>
      </c>
      <c r="AP132">
        <v>0.35108456961170031</v>
      </c>
      <c r="AQ132">
        <v>-0.52486557418804092</v>
      </c>
    </row>
    <row r="133" spans="1:43" x14ac:dyDescent="0.3">
      <c r="A133">
        <v>960</v>
      </c>
      <c r="B133">
        <v>2023</v>
      </c>
      <c r="C133" t="s">
        <v>198</v>
      </c>
      <c r="D133">
        <v>14.66666666666667</v>
      </c>
      <c r="E133">
        <v>15.127714139310971</v>
      </c>
      <c r="F133">
        <v>-0.46104747264430479</v>
      </c>
      <c r="G133">
        <v>0.65047864455184412</v>
      </c>
      <c r="H133">
        <v>-0.17041076749886061</v>
      </c>
      <c r="I133">
        <v>-6.2570046106561639E-2</v>
      </c>
      <c r="J133">
        <v>0.20402531328890261</v>
      </c>
      <c r="K133">
        <v>0.30213081591089108</v>
      </c>
      <c r="L133">
        <v>0.38503727485722161</v>
      </c>
      <c r="M133">
        <v>0.72779133106203553</v>
      </c>
      <c r="N133">
        <v>-0.10494647224446189</v>
      </c>
      <c r="O133">
        <v>0.2293295791438304</v>
      </c>
      <c r="P133">
        <v>-1.138584334725673</v>
      </c>
      <c r="Q133">
        <v>1.9052497423687671</v>
      </c>
      <c r="R133">
        <v>0.65047864455184412</v>
      </c>
      <c r="S133">
        <v>9.113751274705443</v>
      </c>
      <c r="T133">
        <v>2.210259888524568E-2</v>
      </c>
      <c r="U133">
        <v>9.0916486758201973</v>
      </c>
      <c r="V133">
        <v>-0.17041076749886061</v>
      </c>
      <c r="W133">
        <v>4.6286620780019438</v>
      </c>
      <c r="X133">
        <v>9.4936803620183419E-2</v>
      </c>
      <c r="Y133">
        <v>4.5337252743817604</v>
      </c>
      <c r="Z133">
        <v>-6.2570046106561639E-2</v>
      </c>
      <c r="AA133">
        <v>-0.20402531328890261</v>
      </c>
      <c r="AB133">
        <v>-0.36105429762281449</v>
      </c>
      <c r="AC133">
        <v>-0.24320733419896781</v>
      </c>
      <c r="AD133">
        <v>0.53490411189451614</v>
      </c>
      <c r="AE133">
        <v>0.7812258989364852</v>
      </c>
      <c r="AF133">
        <v>0.50085663717017681</v>
      </c>
      <c r="AG133">
        <v>0.18752091232398521</v>
      </c>
      <c r="AH133">
        <v>0.33304757741349889</v>
      </c>
      <c r="AI133">
        <v>-2.7331488595332749E-2</v>
      </c>
      <c r="AJ133">
        <v>0.32312033485852643</v>
      </c>
      <c r="AK133">
        <v>1.3668115703526069</v>
      </c>
      <c r="AL133">
        <v>0.4934420879749738</v>
      </c>
      <c r="AM133">
        <v>0.10494647224446189</v>
      </c>
      <c r="AN133">
        <v>0.2293295791438304</v>
      </c>
      <c r="AO133">
        <v>-1.0099495308889539</v>
      </c>
      <c r="AP133">
        <v>-1.2672191385623921</v>
      </c>
      <c r="AQ133">
        <v>1.9052497423687671</v>
      </c>
    </row>
    <row r="134" spans="1:43" x14ac:dyDescent="0.3">
      <c r="A134">
        <v>961</v>
      </c>
      <c r="B134">
        <v>2023</v>
      </c>
      <c r="C134" t="s">
        <v>199</v>
      </c>
      <c r="D134">
        <v>17.333333333333329</v>
      </c>
      <c r="E134">
        <v>15.89977368765253</v>
      </c>
      <c r="F134">
        <v>1.4335596456807951</v>
      </c>
      <c r="G134">
        <v>0.95719461168259379</v>
      </c>
      <c r="H134">
        <v>-0.27366463848520611</v>
      </c>
      <c r="I134">
        <v>-0.22764812889611161</v>
      </c>
      <c r="J134">
        <v>0.2704966020498118</v>
      </c>
      <c r="K134">
        <v>0.30213081591089108</v>
      </c>
      <c r="L134">
        <v>0.83308672927879235</v>
      </c>
      <c r="M134">
        <v>0.59959385539781163</v>
      </c>
      <c r="N134">
        <v>-0.28447631763229742</v>
      </c>
      <c r="O134">
        <v>0.68794833279464251</v>
      </c>
      <c r="P134">
        <v>-2.480670301656541</v>
      </c>
      <c r="Q134">
        <v>1.9052497423687671</v>
      </c>
      <c r="R134">
        <v>0.95719461168259379</v>
      </c>
      <c r="S134">
        <v>9.113751274705443</v>
      </c>
      <c r="T134">
        <v>2.210259888524568E-2</v>
      </c>
      <c r="U134">
        <v>9.0916486758201973</v>
      </c>
      <c r="V134">
        <v>-0.27366463848520611</v>
      </c>
      <c r="W134">
        <v>4.6286620780019438</v>
      </c>
      <c r="X134">
        <v>9.4936803620183419E-2</v>
      </c>
      <c r="Y134">
        <v>4.5337252743817604</v>
      </c>
      <c r="Z134">
        <v>-0.22764812889611161</v>
      </c>
      <c r="AA134">
        <v>-0.2704966020498118</v>
      </c>
      <c r="AB134">
        <v>-0.36105429762281449</v>
      </c>
      <c r="AC134">
        <v>-0.24320733419896781</v>
      </c>
      <c r="AD134">
        <v>0.96803103896963338</v>
      </c>
      <c r="AE134">
        <v>0.99264948531922292</v>
      </c>
      <c r="AF134">
        <v>0.97162646823174093</v>
      </c>
      <c r="AG134">
        <v>0.593916866591365</v>
      </c>
      <c r="AH134">
        <v>0.92054984234498693</v>
      </c>
      <c r="AI134">
        <v>0.55174667421580481</v>
      </c>
      <c r="AJ134">
        <v>-2.303436963462533E-2</v>
      </c>
      <c r="AK134">
        <v>1.191497141048133</v>
      </c>
      <c r="AL134">
        <v>0.63031879477992736</v>
      </c>
      <c r="AM134">
        <v>0.28447631763229742</v>
      </c>
      <c r="AN134">
        <v>0.68794833279464251</v>
      </c>
      <c r="AO134">
        <v>-1.180250502118751</v>
      </c>
      <c r="AP134">
        <v>-3.7810901011943301</v>
      </c>
      <c r="AQ134">
        <v>1.9052497423687671</v>
      </c>
    </row>
    <row r="135" spans="1:43" x14ac:dyDescent="0.3">
      <c r="A135">
        <v>962</v>
      </c>
      <c r="B135">
        <v>2023</v>
      </c>
      <c r="C135" t="s">
        <v>200</v>
      </c>
      <c r="D135">
        <v>11</v>
      </c>
      <c r="E135">
        <v>10.68107606689804</v>
      </c>
      <c r="F135">
        <v>0.31892393310195821</v>
      </c>
      <c r="G135">
        <v>-5.7674287906446527E-2</v>
      </c>
      <c r="H135">
        <v>-1.046057357953651</v>
      </c>
      <c r="I135">
        <v>-0.33819499629181138</v>
      </c>
      <c r="J135">
        <v>0.1045282493141209</v>
      </c>
      <c r="K135">
        <v>0.30213081591089108</v>
      </c>
      <c r="L135">
        <v>-0.21272653013669579</v>
      </c>
      <c r="M135">
        <v>3.123570571559595E-2</v>
      </c>
      <c r="N135">
        <v>0.20065988790196179</v>
      </c>
      <c r="O135">
        <v>-0.19208709498930651</v>
      </c>
      <c r="P135">
        <v>0.45743456176842129</v>
      </c>
      <c r="Q135">
        <v>-0.52486557418804092</v>
      </c>
      <c r="R135">
        <v>-5.7674287906446527E-2</v>
      </c>
      <c r="S135">
        <v>9.113751274705443</v>
      </c>
      <c r="T135">
        <v>2.210259888524568E-2</v>
      </c>
      <c r="U135">
        <v>9.0916486758201973</v>
      </c>
      <c r="V135">
        <v>-1.046057357953651</v>
      </c>
      <c r="W135">
        <v>4.6286620780019438</v>
      </c>
      <c r="X135">
        <v>9.4936803620183419E-2</v>
      </c>
      <c r="Y135">
        <v>4.5337252743817604</v>
      </c>
      <c r="Z135">
        <v>-0.33819499629181138</v>
      </c>
      <c r="AA135">
        <v>-0.1045282493141209</v>
      </c>
      <c r="AB135">
        <v>-0.36105429762281449</v>
      </c>
      <c r="AC135">
        <v>-0.24320733419896781</v>
      </c>
      <c r="AD135">
        <v>-0.15285419225778671</v>
      </c>
      <c r="AE135">
        <v>0.22054311555372899</v>
      </c>
      <c r="AF135">
        <v>-0.32569875677937749</v>
      </c>
      <c r="AG135">
        <v>-9.2653879010657261E-2</v>
      </c>
      <c r="AH135">
        <v>-0.42117767685037838</v>
      </c>
      <c r="AI135">
        <v>-0.50451779147570419</v>
      </c>
      <c r="AJ135">
        <v>-0.33613484584815168</v>
      </c>
      <c r="AK135">
        <v>0.12113036184990029</v>
      </c>
      <c r="AL135">
        <v>0.30871160114503932</v>
      </c>
      <c r="AM135">
        <v>-0.20065988790196179</v>
      </c>
      <c r="AN135">
        <v>-0.19208709498930651</v>
      </c>
      <c r="AO135">
        <v>0.70450146688229354</v>
      </c>
      <c r="AP135">
        <v>0.21036765665454901</v>
      </c>
      <c r="AQ135">
        <v>-0.52486557418804092</v>
      </c>
    </row>
    <row r="136" spans="1:43" x14ac:dyDescent="0.3">
      <c r="A136">
        <v>963</v>
      </c>
      <c r="B136">
        <v>2023</v>
      </c>
      <c r="C136" t="s">
        <v>201</v>
      </c>
      <c r="D136">
        <v>8</v>
      </c>
      <c r="E136">
        <v>10.843424917809079</v>
      </c>
      <c r="F136">
        <v>-2.8434249178090791</v>
      </c>
      <c r="G136">
        <v>-0.1182368195850519</v>
      </c>
      <c r="H136">
        <v>-0.75387660332412731</v>
      </c>
      <c r="I136">
        <v>-0.12797257665899381</v>
      </c>
      <c r="J136">
        <v>0.28030321583371171</v>
      </c>
      <c r="K136">
        <v>0.30213081591089108</v>
      </c>
      <c r="L136">
        <v>-0.66542903698974853</v>
      </c>
      <c r="M136">
        <v>0.65282834329158279</v>
      </c>
      <c r="N136">
        <v>0.8075107719636283</v>
      </c>
      <c r="O136">
        <v>-0.25475003462874141</v>
      </c>
      <c r="P136">
        <v>0.62204241019146989</v>
      </c>
      <c r="Q136">
        <v>-0.52486557418804092</v>
      </c>
      <c r="R136">
        <v>-0.1182368195850519</v>
      </c>
      <c r="S136">
        <v>9.113751274705443</v>
      </c>
      <c r="T136">
        <v>2.210259888524568E-2</v>
      </c>
      <c r="U136">
        <v>9.0916486758201973</v>
      </c>
      <c r="V136">
        <v>-0.75387660332412731</v>
      </c>
      <c r="W136">
        <v>4.6286620780019438</v>
      </c>
      <c r="X136">
        <v>9.4936803620183419E-2</v>
      </c>
      <c r="Y136">
        <v>4.5337252743817604</v>
      </c>
      <c r="Z136">
        <v>-0.12797257665899381</v>
      </c>
      <c r="AA136">
        <v>-0.28030321583371171</v>
      </c>
      <c r="AB136">
        <v>-0.36105429762281449</v>
      </c>
      <c r="AC136">
        <v>-0.24320733419896781</v>
      </c>
      <c r="AD136">
        <v>-0.63579811948056919</v>
      </c>
      <c r="AE136">
        <v>-0.28153089377613361</v>
      </c>
      <c r="AF136">
        <v>-1.08549500150107</v>
      </c>
      <c r="AG136">
        <v>-0.7276469794324153</v>
      </c>
      <c r="AH136">
        <v>-0.50849264819410112</v>
      </c>
      <c r="AI136">
        <v>-0.7536105795542023</v>
      </c>
      <c r="AJ136">
        <v>0.51746115389453529</v>
      </c>
      <c r="AK136">
        <v>0.87716868191869946</v>
      </c>
      <c r="AL136">
        <v>0.56385519406151374</v>
      </c>
      <c r="AM136">
        <v>-0.8075107719636283</v>
      </c>
      <c r="AN136">
        <v>-0.25475003462874141</v>
      </c>
      <c r="AO136">
        <v>0.77569269982236622</v>
      </c>
      <c r="AP136">
        <v>0.46839212056057339</v>
      </c>
      <c r="AQ136">
        <v>-0.52486557418804092</v>
      </c>
    </row>
    <row r="137" spans="1:43" x14ac:dyDescent="0.3">
      <c r="A137">
        <v>964</v>
      </c>
      <c r="B137">
        <v>2023</v>
      </c>
      <c r="C137" t="s">
        <v>202</v>
      </c>
      <c r="D137">
        <v>16.333333333333329</v>
      </c>
      <c r="E137">
        <v>16.422255329288841</v>
      </c>
      <c r="F137">
        <v>-8.8921995955516309E-2</v>
      </c>
      <c r="G137">
        <v>0.65900126646576973</v>
      </c>
      <c r="H137">
        <v>1.01166455465675</v>
      </c>
      <c r="I137">
        <v>4.0860257550788898E-2</v>
      </c>
      <c r="J137">
        <v>-0.15788452497334851</v>
      </c>
      <c r="K137">
        <v>0.30213081591089108</v>
      </c>
      <c r="L137">
        <v>0.4383431308978511</v>
      </c>
      <c r="M137">
        <v>0.32472930097859543</v>
      </c>
      <c r="N137">
        <v>0.2369714799666322</v>
      </c>
      <c r="O137">
        <v>0.14993410877937929</v>
      </c>
      <c r="P137">
        <v>0.34615431285896658</v>
      </c>
      <c r="Q137">
        <v>-0.52486557418804092</v>
      </c>
      <c r="R137">
        <v>0.65900126646576973</v>
      </c>
      <c r="S137">
        <v>9.113751274705443</v>
      </c>
      <c r="T137">
        <v>2.210259888524568E-2</v>
      </c>
      <c r="U137">
        <v>9.0916486758201973</v>
      </c>
      <c r="V137">
        <v>1.01166455465675</v>
      </c>
      <c r="W137">
        <v>4.6286620780019438</v>
      </c>
      <c r="X137">
        <v>9.4936803620183419E-2</v>
      </c>
      <c r="Y137">
        <v>4.5337252743817604</v>
      </c>
      <c r="Z137">
        <v>4.0860257550788898E-2</v>
      </c>
      <c r="AA137">
        <v>0.15788452497334851</v>
      </c>
      <c r="AB137">
        <v>-0.36105429762281449</v>
      </c>
      <c r="AC137">
        <v>-0.24320733419896781</v>
      </c>
      <c r="AD137">
        <v>0.29576941724197492</v>
      </c>
      <c r="AE137">
        <v>0.5674425588135209</v>
      </c>
      <c r="AF137">
        <v>0.37041179253272988</v>
      </c>
      <c r="AG137">
        <v>0.51298570459368298</v>
      </c>
      <c r="AH137">
        <v>0.25828779158120629</v>
      </c>
      <c r="AI137">
        <v>0.62516152062399111</v>
      </c>
      <c r="AJ137">
        <v>-0.30774179001735902</v>
      </c>
      <c r="AK137">
        <v>1.00545759371562</v>
      </c>
      <c r="AL137">
        <v>0.27647209923752469</v>
      </c>
      <c r="AM137">
        <v>-0.2369714799666322</v>
      </c>
      <c r="AN137">
        <v>0.14993410877937929</v>
      </c>
      <c r="AO137">
        <v>0.47096169566636248</v>
      </c>
      <c r="AP137">
        <v>0.2213469300515708</v>
      </c>
      <c r="AQ137">
        <v>-0.52486557418804092</v>
      </c>
    </row>
    <row r="138" spans="1:43" x14ac:dyDescent="0.3">
      <c r="A138">
        <v>968</v>
      </c>
      <c r="B138">
        <v>2023</v>
      </c>
      <c r="C138" t="s">
        <v>203</v>
      </c>
      <c r="D138">
        <v>13</v>
      </c>
      <c r="E138">
        <v>14.178186758767289</v>
      </c>
      <c r="F138">
        <v>-1.178186758767287</v>
      </c>
      <c r="G138">
        <v>0.51937182679612393</v>
      </c>
      <c r="H138">
        <v>0.57306195900023427</v>
      </c>
      <c r="I138">
        <v>9.5435132844874856E-2</v>
      </c>
      <c r="J138">
        <v>-0.1581707102005051</v>
      </c>
      <c r="K138">
        <v>0.30213081591089108</v>
      </c>
      <c r="L138">
        <v>0.17150643625160891</v>
      </c>
      <c r="M138">
        <v>-0.17922964659381899</v>
      </c>
      <c r="N138">
        <v>0.16412603666627559</v>
      </c>
      <c r="O138">
        <v>-0.6450938561094719</v>
      </c>
      <c r="P138">
        <v>0.33028411849899791</v>
      </c>
      <c r="Q138">
        <v>-0.52486557418804092</v>
      </c>
      <c r="R138">
        <v>0.51937182679612393</v>
      </c>
      <c r="S138">
        <v>9.113751274705443</v>
      </c>
      <c r="T138">
        <v>2.210259888524568E-2</v>
      </c>
      <c r="U138">
        <v>9.0916486758201973</v>
      </c>
      <c r="V138">
        <v>0.57306195900023427</v>
      </c>
      <c r="W138">
        <v>4.6286620780019438</v>
      </c>
      <c r="X138">
        <v>9.4936803620183419E-2</v>
      </c>
      <c r="Y138">
        <v>4.5337252743817604</v>
      </c>
      <c r="Z138">
        <v>9.5435132844874856E-2</v>
      </c>
      <c r="AA138">
        <v>0.1581707102005051</v>
      </c>
      <c r="AB138">
        <v>-0.36105429762281449</v>
      </c>
      <c r="AC138">
        <v>-0.24320733419896781</v>
      </c>
      <c r="AD138">
        <v>0.39138139448300091</v>
      </c>
      <c r="AE138">
        <v>0.55874119252306875</v>
      </c>
      <c r="AF138">
        <v>-0.2010082460771484</v>
      </c>
      <c r="AG138">
        <v>7.3086480806411391E-2</v>
      </c>
      <c r="AH138">
        <v>0.31801951514726301</v>
      </c>
      <c r="AI138">
        <v>-0.1111817193729423</v>
      </c>
      <c r="AJ138">
        <v>-0.84650816892840408</v>
      </c>
      <c r="AK138">
        <v>0.1349080134705341</v>
      </c>
      <c r="AL138">
        <v>0.17391121567641291</v>
      </c>
      <c r="AM138">
        <v>-0.16412603666627559</v>
      </c>
      <c r="AN138">
        <v>-0.6450938561094719</v>
      </c>
      <c r="AO138">
        <v>0.40169585136625058</v>
      </c>
      <c r="AP138">
        <v>0.25887238563174508</v>
      </c>
      <c r="AQ138">
        <v>-0.52486557418804092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Q138"/>
  <sheetViews>
    <sheetView workbookViewId="0">
      <selection activeCell="I18" sqref="I18"/>
    </sheetView>
  </sheetViews>
  <sheetFormatPr defaultRowHeight="14.4" x14ac:dyDescent="0.3"/>
  <sheetData>
    <row r="1" spans="1:43" x14ac:dyDescent="0.3">
      <c r="A1" t="s">
        <v>210</v>
      </c>
      <c r="B1" t="s">
        <v>211</v>
      </c>
      <c r="C1" t="s">
        <v>0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  <c r="AE1" t="s">
        <v>239</v>
      </c>
      <c r="AF1" t="s">
        <v>240</v>
      </c>
      <c r="AG1" t="s">
        <v>241</v>
      </c>
      <c r="AH1" t="s">
        <v>242</v>
      </c>
      <c r="AI1" t="s">
        <v>243</v>
      </c>
      <c r="AJ1" t="s">
        <v>244</v>
      </c>
      <c r="AK1" t="s">
        <v>245</v>
      </c>
      <c r="AL1" t="s">
        <v>246</v>
      </c>
      <c r="AM1" t="s">
        <v>247</v>
      </c>
      <c r="AN1" t="s">
        <v>248</v>
      </c>
      <c r="AO1" t="s">
        <v>249</v>
      </c>
      <c r="AP1" t="s">
        <v>250</v>
      </c>
      <c r="AQ1" t="s">
        <v>251</v>
      </c>
    </row>
    <row r="2" spans="1:43" x14ac:dyDescent="0.3">
      <c r="A2">
        <v>111</v>
      </c>
      <c r="B2">
        <v>2024</v>
      </c>
      <c r="C2" t="s">
        <v>10</v>
      </c>
      <c r="D2">
        <v>21.333333333333329</v>
      </c>
      <c r="E2">
        <v>18.820344257477419</v>
      </c>
      <c r="F2">
        <v>2.5129890758559128</v>
      </c>
      <c r="G2">
        <v>1.69039901515184</v>
      </c>
      <c r="H2">
        <v>2.867653988333152</v>
      </c>
      <c r="I2">
        <v>-0.39573874480189519</v>
      </c>
      <c r="J2">
        <v>0.28553086598310579</v>
      </c>
      <c r="K2">
        <v>0.30213081591089108</v>
      </c>
      <c r="L2">
        <v>0.82855756119354007</v>
      </c>
      <c r="M2">
        <v>-0.53474057138737896</v>
      </c>
      <c r="N2">
        <v>-1.785642541067908</v>
      </c>
      <c r="O2">
        <v>-0.18443202683690349</v>
      </c>
      <c r="P2">
        <v>-2.4592715359402599</v>
      </c>
      <c r="Q2">
        <v>1.9052497423687671</v>
      </c>
      <c r="R2">
        <v>1.69039901515184</v>
      </c>
      <c r="S2">
        <v>9.2051621882940804</v>
      </c>
      <c r="T2">
        <v>0.1086075550332026</v>
      </c>
      <c r="U2">
        <v>9.0965546332608778</v>
      </c>
      <c r="V2">
        <v>2.867653988333152</v>
      </c>
      <c r="W2">
        <v>4.6722959822409997</v>
      </c>
      <c r="X2">
        <v>0.1099156368821657</v>
      </c>
      <c r="Y2">
        <v>4.5623803453588341</v>
      </c>
      <c r="Z2">
        <v>-0.39573874480189519</v>
      </c>
      <c r="AA2">
        <v>-0.28553086598310579</v>
      </c>
      <c r="AB2">
        <v>-0.36105429762281449</v>
      </c>
      <c r="AC2">
        <v>-0.24320733419896781</v>
      </c>
      <c r="AD2">
        <v>0.81618166449696727</v>
      </c>
      <c r="AE2">
        <v>-0.15540861457515259</v>
      </c>
      <c r="AF2">
        <v>1.196381170667248</v>
      </c>
      <c r="AG2">
        <v>1.2381494972013289</v>
      </c>
      <c r="AH2">
        <v>0.91084590313541414</v>
      </c>
      <c r="AI2">
        <v>0.96519574623543503</v>
      </c>
      <c r="AJ2">
        <v>-1.271927865118641</v>
      </c>
      <c r="AK2">
        <v>3.9784466652624369E-2</v>
      </c>
      <c r="AL2">
        <v>-0.37207831569611988</v>
      </c>
      <c r="AM2">
        <v>1.785642541067908</v>
      </c>
      <c r="AN2">
        <v>-0.18443202683690349</v>
      </c>
      <c r="AO2">
        <v>-2.788872227512222</v>
      </c>
      <c r="AP2">
        <v>-2.1296708443682979</v>
      </c>
      <c r="AQ2">
        <v>1.9052497423687671</v>
      </c>
    </row>
    <row r="3" spans="1:43" x14ac:dyDescent="0.3">
      <c r="A3">
        <v>112</v>
      </c>
      <c r="B3">
        <v>2024</v>
      </c>
      <c r="C3" t="s">
        <v>15</v>
      </c>
      <c r="D3">
        <v>19.333333333333329</v>
      </c>
      <c r="E3">
        <v>19.152892668639449</v>
      </c>
      <c r="F3">
        <v>0.1804406646938794</v>
      </c>
      <c r="G3">
        <v>1.3155084322200741</v>
      </c>
      <c r="H3">
        <v>1.779792055300313</v>
      </c>
      <c r="I3">
        <v>-0.87804966270090579</v>
      </c>
      <c r="J3">
        <v>0.27187029114016348</v>
      </c>
      <c r="K3">
        <v>0.30213081591089108</v>
      </c>
      <c r="L3">
        <v>1.0991730695809541</v>
      </c>
      <c r="M3">
        <v>0.1027622953240289</v>
      </c>
      <c r="N3">
        <v>-1.1995728894961979</v>
      </c>
      <c r="O3">
        <v>-0.10773910587085141</v>
      </c>
      <c r="P3">
        <v>-0.65049409560468896</v>
      </c>
      <c r="Q3">
        <v>1.9052497423687671</v>
      </c>
      <c r="R3">
        <v>1.3155084322200741</v>
      </c>
      <c r="S3">
        <v>9.2051621882940804</v>
      </c>
      <c r="T3">
        <v>0.1086075550332026</v>
      </c>
      <c r="U3">
        <v>9.0965546332608778</v>
      </c>
      <c r="V3">
        <v>1.779792055300313</v>
      </c>
      <c r="W3">
        <v>4.6722959822409997</v>
      </c>
      <c r="X3">
        <v>0.1099156368821657</v>
      </c>
      <c r="Y3">
        <v>4.5623803453588341</v>
      </c>
      <c r="Z3">
        <v>-0.87804966270090579</v>
      </c>
      <c r="AA3">
        <v>-0.27187029114016348</v>
      </c>
      <c r="AB3">
        <v>-0.36105429762281449</v>
      </c>
      <c r="AC3">
        <v>-0.24320733419896781</v>
      </c>
      <c r="AD3">
        <v>1.267547364049759</v>
      </c>
      <c r="AE3">
        <v>0.26915693062328749</v>
      </c>
      <c r="AF3">
        <v>0.99717106829337931</v>
      </c>
      <c r="AG3">
        <v>1.4217017657343669</v>
      </c>
      <c r="AH3">
        <v>1.2429961547473261</v>
      </c>
      <c r="AI3">
        <v>1.3964651340376031</v>
      </c>
      <c r="AJ3">
        <v>-0.68675024225470238</v>
      </c>
      <c r="AK3">
        <v>0.73312209671135276</v>
      </c>
      <c r="AL3">
        <v>0.26191503151543638</v>
      </c>
      <c r="AM3">
        <v>1.1995728894961979</v>
      </c>
      <c r="AN3">
        <v>-0.10773910587085141</v>
      </c>
      <c r="AO3">
        <v>-0.78352578349834312</v>
      </c>
      <c r="AP3">
        <v>-0.5174624077110348</v>
      </c>
      <c r="AQ3">
        <v>1.9052497423687671</v>
      </c>
    </row>
    <row r="4" spans="1:43" x14ac:dyDescent="0.3">
      <c r="A4">
        <v>122</v>
      </c>
      <c r="B4">
        <v>2024</v>
      </c>
      <c r="C4" t="s">
        <v>18</v>
      </c>
      <c r="D4">
        <v>21</v>
      </c>
      <c r="E4">
        <v>18.672103491068821</v>
      </c>
      <c r="F4">
        <v>2.3278965089311789</v>
      </c>
      <c r="G4">
        <v>1.378746738225179</v>
      </c>
      <c r="H4">
        <v>0.76743390398749523</v>
      </c>
      <c r="I4">
        <v>-1.0563130353615069</v>
      </c>
      <c r="J4">
        <v>0.24752546781670781</v>
      </c>
      <c r="K4">
        <v>0.30213081591089108</v>
      </c>
      <c r="L4">
        <v>1.233462943901114</v>
      </c>
      <c r="M4">
        <v>0.7196668400912235</v>
      </c>
      <c r="N4">
        <v>-0.63175627234414244</v>
      </c>
      <c r="O4">
        <v>0.47774429920433042</v>
      </c>
      <c r="P4">
        <v>-1.8007154544988999</v>
      </c>
      <c r="Q4">
        <v>1.9052497423687671</v>
      </c>
      <c r="R4">
        <v>1.378746738225179</v>
      </c>
      <c r="S4">
        <v>9.2051621882940804</v>
      </c>
      <c r="T4">
        <v>0.1086075550332026</v>
      </c>
      <c r="U4">
        <v>9.0965546332608778</v>
      </c>
      <c r="V4">
        <v>0.76743390398749523</v>
      </c>
      <c r="W4">
        <v>4.6722959822409997</v>
      </c>
      <c r="X4">
        <v>0.1099156368821657</v>
      </c>
      <c r="Y4">
        <v>4.5623803453588341</v>
      </c>
      <c r="Z4">
        <v>-1.0563130353615069</v>
      </c>
      <c r="AA4">
        <v>-0.24752546781670781</v>
      </c>
      <c r="AB4">
        <v>-0.36105429762281449</v>
      </c>
      <c r="AC4">
        <v>-0.24320733419896781</v>
      </c>
      <c r="AD4">
        <v>1.381950241729794</v>
      </c>
      <c r="AE4">
        <v>0.55060539699136535</v>
      </c>
      <c r="AF4">
        <v>1.372222327811224</v>
      </c>
      <c r="AG4">
        <v>1.2364995398019329</v>
      </c>
      <c r="AH4">
        <v>1.682622761288457</v>
      </c>
      <c r="AI4">
        <v>1.1768773957839109</v>
      </c>
      <c r="AJ4">
        <v>-0.2269230741706626</v>
      </c>
      <c r="AK4">
        <v>1.813471485766452</v>
      </c>
      <c r="AL4">
        <v>0.57245210867788088</v>
      </c>
      <c r="AM4">
        <v>0.63175627234414244</v>
      </c>
      <c r="AN4">
        <v>0.47774429920433042</v>
      </c>
      <c r="AO4">
        <v>-1.7596579204197149</v>
      </c>
      <c r="AP4">
        <v>-1.8417729885780849</v>
      </c>
      <c r="AQ4">
        <v>1.9052497423687671</v>
      </c>
    </row>
    <row r="5" spans="1:43" x14ac:dyDescent="0.3">
      <c r="A5">
        <v>124</v>
      </c>
      <c r="B5">
        <v>2024</v>
      </c>
      <c r="C5" t="s">
        <v>20</v>
      </c>
      <c r="D5">
        <v>19.333333333333329</v>
      </c>
      <c r="E5">
        <v>17.644543769898249</v>
      </c>
      <c r="F5">
        <v>1.688789563435076</v>
      </c>
      <c r="G5">
        <v>1.365493802485388</v>
      </c>
      <c r="H5">
        <v>0.8913551267545603</v>
      </c>
      <c r="I5">
        <v>-0.77684601395555353</v>
      </c>
      <c r="J5">
        <v>0.3317783986916143</v>
      </c>
      <c r="K5">
        <v>0.30213081591089108</v>
      </c>
      <c r="L5">
        <v>1.0532288020410681</v>
      </c>
      <c r="M5">
        <v>0.49367798484259651</v>
      </c>
      <c r="N5">
        <v>-1.2962000640952209</v>
      </c>
      <c r="O5">
        <v>0.22347190030423819</v>
      </c>
      <c r="P5">
        <v>-1.615385958335541</v>
      </c>
      <c r="Q5">
        <v>1.9052497423687671</v>
      </c>
      <c r="R5">
        <v>1.365493802485388</v>
      </c>
      <c r="S5">
        <v>9.2051621882940804</v>
      </c>
      <c r="T5">
        <v>0.1086075550332026</v>
      </c>
      <c r="U5">
        <v>9.0965546332608778</v>
      </c>
      <c r="V5">
        <v>0.8913551267545603</v>
      </c>
      <c r="W5">
        <v>4.6722959822409997</v>
      </c>
      <c r="X5">
        <v>0.1099156368821657</v>
      </c>
      <c r="Y5">
        <v>4.5623803453588341</v>
      </c>
      <c r="Z5">
        <v>-0.77684601395555353</v>
      </c>
      <c r="AA5">
        <v>-0.3317783986916143</v>
      </c>
      <c r="AB5">
        <v>-0.36105429762281449</v>
      </c>
      <c r="AC5">
        <v>-0.24320733419896781</v>
      </c>
      <c r="AD5">
        <v>1.482071991429702</v>
      </c>
      <c r="AE5">
        <v>0.1051943576358926</v>
      </c>
      <c r="AF5">
        <v>1.0083565740444549</v>
      </c>
      <c r="AG5">
        <v>1.112187332486857</v>
      </c>
      <c r="AH5">
        <v>1.256885874444654</v>
      </c>
      <c r="AI5">
        <v>1.3546766822048479</v>
      </c>
      <c r="AJ5">
        <v>-0.65755526428217459</v>
      </c>
      <c r="AK5">
        <v>1.6964851983529261</v>
      </c>
      <c r="AL5">
        <v>0.442104020457038</v>
      </c>
      <c r="AM5">
        <v>1.2962000640952209</v>
      </c>
      <c r="AN5">
        <v>0.22347190030423819</v>
      </c>
      <c r="AO5">
        <v>-1.508951805326892</v>
      </c>
      <c r="AP5">
        <v>-1.7218201113441891</v>
      </c>
      <c r="AQ5">
        <v>1.9052497423687671</v>
      </c>
    </row>
    <row r="6" spans="1:43" x14ac:dyDescent="0.3">
      <c r="A6">
        <v>128</v>
      </c>
      <c r="B6">
        <v>2024</v>
      </c>
      <c r="C6" t="s">
        <v>23</v>
      </c>
      <c r="D6">
        <v>22</v>
      </c>
      <c r="E6">
        <v>23.04029275434667</v>
      </c>
      <c r="F6">
        <v>-1.04029275434667</v>
      </c>
      <c r="G6">
        <v>1.545482788745745</v>
      </c>
      <c r="H6">
        <v>0.6575983822416035</v>
      </c>
      <c r="I6">
        <v>-0.56164636569591531</v>
      </c>
      <c r="J6">
        <v>0.40355365366249252</v>
      </c>
      <c r="K6">
        <v>0.30213081591089108</v>
      </c>
      <c r="L6">
        <v>1.79281389083965</v>
      </c>
      <c r="M6">
        <v>1.291657474830272</v>
      </c>
      <c r="N6">
        <v>0.73891603530894467</v>
      </c>
      <c r="O6">
        <v>1.3560211302505649</v>
      </c>
      <c r="P6">
        <v>0.54374185056738633</v>
      </c>
      <c r="Q6">
        <v>1.9052497423687671</v>
      </c>
      <c r="R6">
        <v>1.545482788745745</v>
      </c>
      <c r="S6">
        <v>9.2051621882940804</v>
      </c>
      <c r="T6">
        <v>0.1086075550332026</v>
      </c>
      <c r="U6">
        <v>9.0965546332608778</v>
      </c>
      <c r="V6">
        <v>0.6575983822416035</v>
      </c>
      <c r="W6">
        <v>4.6722959822409997</v>
      </c>
      <c r="X6">
        <v>0.1099156368821657</v>
      </c>
      <c r="Y6">
        <v>4.5623803453588341</v>
      </c>
      <c r="Z6">
        <v>-0.56164636569591531</v>
      </c>
      <c r="AA6">
        <v>-0.40355365366249252</v>
      </c>
      <c r="AB6">
        <v>-0.36105429762281449</v>
      </c>
      <c r="AC6">
        <v>-0.24320733419896781</v>
      </c>
      <c r="AD6">
        <v>1.916056571820252</v>
      </c>
      <c r="AE6">
        <v>0.88426567112827603</v>
      </c>
      <c r="AF6">
        <v>1.825545956006511</v>
      </c>
      <c r="AG6">
        <v>1.9067083042134541</v>
      </c>
      <c r="AH6">
        <v>2.0346627465546478</v>
      </c>
      <c r="AI6">
        <v>2.1896440953147569</v>
      </c>
      <c r="AJ6">
        <v>1.105270083786041</v>
      </c>
      <c r="AK6">
        <v>1.8466368507454629</v>
      </c>
      <c r="AL6">
        <v>0.9230654899593137</v>
      </c>
      <c r="AM6">
        <v>-0.73891603530894467</v>
      </c>
      <c r="AN6">
        <v>1.3560211302505649</v>
      </c>
      <c r="AO6">
        <v>0.54212982598556558</v>
      </c>
      <c r="AP6">
        <v>0.54535387514920719</v>
      </c>
      <c r="AQ6">
        <v>1.9052497423687671</v>
      </c>
    </row>
    <row r="7" spans="1:43" x14ac:dyDescent="0.3">
      <c r="A7">
        <v>132</v>
      </c>
      <c r="B7">
        <v>2024</v>
      </c>
      <c r="C7" t="s">
        <v>26</v>
      </c>
      <c r="D7">
        <v>19.333333333333329</v>
      </c>
      <c r="E7">
        <v>17.962133918415049</v>
      </c>
      <c r="F7">
        <v>1.37119941491828</v>
      </c>
      <c r="G7">
        <v>1.215826219959437</v>
      </c>
      <c r="H7">
        <v>1.705468197381325</v>
      </c>
      <c r="I7">
        <v>-0.90442024244300789</v>
      </c>
      <c r="J7">
        <v>0.41152868199259002</v>
      </c>
      <c r="K7">
        <v>0.30213081591089108</v>
      </c>
      <c r="L7">
        <v>0.80220623391074675</v>
      </c>
      <c r="M7">
        <v>0.46899731573668058</v>
      </c>
      <c r="N7">
        <v>-1.5307668367057901</v>
      </c>
      <c r="O7">
        <v>0.14174887543398881</v>
      </c>
      <c r="P7">
        <v>-1.4125590619686741</v>
      </c>
      <c r="Q7">
        <v>1.9052497423687671</v>
      </c>
      <c r="R7">
        <v>1.215826219959437</v>
      </c>
      <c r="S7">
        <v>9.2051621882940804</v>
      </c>
      <c r="T7">
        <v>0.1086075550332026</v>
      </c>
      <c r="U7">
        <v>9.0965546332608778</v>
      </c>
      <c r="V7">
        <v>1.705468197381325</v>
      </c>
      <c r="W7">
        <v>4.6722959822409997</v>
      </c>
      <c r="X7">
        <v>0.1099156368821657</v>
      </c>
      <c r="Y7">
        <v>4.5623803453588341</v>
      </c>
      <c r="Z7">
        <v>-0.90442024244300789</v>
      </c>
      <c r="AA7">
        <v>-0.41152868199259002</v>
      </c>
      <c r="AB7">
        <v>-0.36105429762281449</v>
      </c>
      <c r="AC7">
        <v>-0.24320733419896781</v>
      </c>
      <c r="AD7">
        <v>1.1017518483244959</v>
      </c>
      <c r="AE7">
        <v>-0.33139979459329838</v>
      </c>
      <c r="AF7">
        <v>1.015139564866649</v>
      </c>
      <c r="AG7">
        <v>0.99957513843350698</v>
      </c>
      <c r="AH7">
        <v>0.92903135686408489</v>
      </c>
      <c r="AI7">
        <v>1.0991392895690411</v>
      </c>
      <c r="AJ7">
        <v>-0.81425586279051321</v>
      </c>
      <c r="AK7">
        <v>1.8149565021087961</v>
      </c>
      <c r="AL7">
        <v>0.40629130789175888</v>
      </c>
      <c r="AM7">
        <v>1.5307668367057901</v>
      </c>
      <c r="AN7">
        <v>0.14174887543398881</v>
      </c>
      <c r="AO7">
        <v>-1.4770768691863569</v>
      </c>
      <c r="AP7">
        <v>-1.348041254750991</v>
      </c>
      <c r="AQ7">
        <v>1.9052497423687671</v>
      </c>
    </row>
    <row r="8" spans="1:43" x14ac:dyDescent="0.3">
      <c r="A8">
        <v>134</v>
      </c>
      <c r="B8">
        <v>2024</v>
      </c>
      <c r="C8" t="s">
        <v>28</v>
      </c>
      <c r="D8">
        <v>22</v>
      </c>
      <c r="E8">
        <v>21.437265220708831</v>
      </c>
      <c r="F8">
        <v>0.56273477929116567</v>
      </c>
      <c r="G8">
        <v>1.363679819428965</v>
      </c>
      <c r="H8">
        <v>1.9107651223407791</v>
      </c>
      <c r="I8">
        <v>-1.1472566075515711</v>
      </c>
      <c r="J8">
        <v>0.31544676172854391</v>
      </c>
      <c r="K8">
        <v>0.30213081591089108</v>
      </c>
      <c r="L8">
        <v>1.301273441953797</v>
      </c>
      <c r="M8">
        <v>0.74100088707711109</v>
      </c>
      <c r="N8">
        <v>-0.15045403750990219</v>
      </c>
      <c r="O8">
        <v>1.0035517929225191</v>
      </c>
      <c r="P8">
        <v>-1.548078367757745</v>
      </c>
      <c r="Q8">
        <v>1.9052497423687671</v>
      </c>
      <c r="R8">
        <v>1.363679819428965</v>
      </c>
      <c r="S8">
        <v>9.2051621882940804</v>
      </c>
      <c r="T8">
        <v>0.1086075550332026</v>
      </c>
      <c r="U8">
        <v>9.0965546332608778</v>
      </c>
      <c r="V8">
        <v>1.9107651223407791</v>
      </c>
      <c r="W8">
        <v>4.6722959822409997</v>
      </c>
      <c r="X8">
        <v>0.1099156368821657</v>
      </c>
      <c r="Y8">
        <v>4.5623803453588341</v>
      </c>
      <c r="Z8">
        <v>-1.1472566075515711</v>
      </c>
      <c r="AA8">
        <v>-0.31544676172854391</v>
      </c>
      <c r="AB8">
        <v>-0.36105429762281449</v>
      </c>
      <c r="AC8">
        <v>-0.24320733419896781</v>
      </c>
      <c r="AD8">
        <v>1.592211699258091</v>
      </c>
      <c r="AE8">
        <v>0.108580562136146</v>
      </c>
      <c r="AF8">
        <v>1.4083937272837781</v>
      </c>
      <c r="AG8">
        <v>1.4064671205385471</v>
      </c>
      <c r="AH8">
        <v>1.626615444517453</v>
      </c>
      <c r="AI8">
        <v>1.6653720979887709</v>
      </c>
      <c r="AJ8">
        <v>0.198571802220362</v>
      </c>
      <c r="AK8">
        <v>1.432234790323641</v>
      </c>
      <c r="AL8">
        <v>0.59219606868733032</v>
      </c>
      <c r="AM8">
        <v>0.15045403750990219</v>
      </c>
      <c r="AN8">
        <v>1.0035517929225191</v>
      </c>
      <c r="AO8">
        <v>-1.615650116356097</v>
      </c>
      <c r="AP8">
        <v>-1.480506619159393</v>
      </c>
      <c r="AQ8">
        <v>1.9052497423687671</v>
      </c>
    </row>
    <row r="9" spans="1:43" x14ac:dyDescent="0.3">
      <c r="A9">
        <v>136</v>
      </c>
      <c r="B9">
        <v>2024</v>
      </c>
      <c r="C9" t="s">
        <v>30</v>
      </c>
      <c r="D9">
        <v>13.66666666666667</v>
      </c>
      <c r="E9">
        <v>16.562748412610141</v>
      </c>
      <c r="F9">
        <v>-2.896081745943468</v>
      </c>
      <c r="G9">
        <v>1.110575596190297</v>
      </c>
      <c r="H9">
        <v>1.555619527453151</v>
      </c>
      <c r="I9">
        <v>-0.99833268784907059</v>
      </c>
      <c r="J9">
        <v>0.3703370882971817</v>
      </c>
      <c r="K9">
        <v>0.30213081591089108</v>
      </c>
      <c r="L9">
        <v>0.54514429009264853</v>
      </c>
      <c r="M9">
        <v>0.25016370861074688</v>
      </c>
      <c r="N9">
        <v>-2.1469248235537339</v>
      </c>
      <c r="O9">
        <v>0.39983587755191707</v>
      </c>
      <c r="P9">
        <v>-0.87889348317112748</v>
      </c>
      <c r="Q9">
        <v>1.9052497423687671</v>
      </c>
      <c r="R9">
        <v>1.110575596190297</v>
      </c>
      <c r="S9">
        <v>9.2051621882940804</v>
      </c>
      <c r="T9">
        <v>0.1086075550332026</v>
      </c>
      <c r="U9">
        <v>9.0965546332608778</v>
      </c>
      <c r="V9">
        <v>1.555619527453151</v>
      </c>
      <c r="W9">
        <v>4.6722959822409997</v>
      </c>
      <c r="X9">
        <v>0.1099156368821657</v>
      </c>
      <c r="Y9">
        <v>4.5623803453588341</v>
      </c>
      <c r="Z9">
        <v>-0.99833268784907059</v>
      </c>
      <c r="AA9">
        <v>-0.3703370882971817</v>
      </c>
      <c r="AB9">
        <v>-0.36105429762281449</v>
      </c>
      <c r="AC9">
        <v>-0.24320733419896781</v>
      </c>
      <c r="AD9">
        <v>1.013018556198592</v>
      </c>
      <c r="AE9">
        <v>0.33052135794753162</v>
      </c>
      <c r="AF9">
        <v>0.55040967933170881</v>
      </c>
      <c r="AG9">
        <v>0.41451203827670929</v>
      </c>
      <c r="AH9">
        <v>0.541546445453707</v>
      </c>
      <c r="AI9">
        <v>0.42085766334764219</v>
      </c>
      <c r="AJ9">
        <v>-0.69020853149093297</v>
      </c>
      <c r="AK9">
        <v>1.461192608999345</v>
      </c>
      <c r="AL9">
        <v>-2.049295167617092E-2</v>
      </c>
      <c r="AM9">
        <v>2.1469248235537339</v>
      </c>
      <c r="AN9">
        <v>0.39983587755191707</v>
      </c>
      <c r="AO9">
        <v>-0.96366768197182506</v>
      </c>
      <c r="AP9">
        <v>-0.79411928437042978</v>
      </c>
      <c r="AQ9">
        <v>1.9052497423687671</v>
      </c>
    </row>
    <row r="10" spans="1:43" x14ac:dyDescent="0.3">
      <c r="A10">
        <v>137</v>
      </c>
      <c r="B10">
        <v>2024</v>
      </c>
      <c r="C10" t="s">
        <v>33</v>
      </c>
      <c r="D10">
        <v>22</v>
      </c>
      <c r="E10">
        <v>20.99073306964732</v>
      </c>
      <c r="F10">
        <v>1.00926693035268</v>
      </c>
      <c r="G10">
        <v>2.0533351053524971</v>
      </c>
      <c r="H10">
        <v>-0.13348895383221021</v>
      </c>
      <c r="I10">
        <v>-0.50558705379383062</v>
      </c>
      <c r="J10">
        <v>0.35738243701455907</v>
      </c>
      <c r="K10">
        <v>0.30213081591089108</v>
      </c>
      <c r="L10">
        <v>1.72860949703705</v>
      </c>
      <c r="M10">
        <v>0.94338414752919786</v>
      </c>
      <c r="N10">
        <v>0.88241211259587904</v>
      </c>
      <c r="O10">
        <v>1.164954767041261</v>
      </c>
      <c r="P10">
        <v>-1.523082806555726</v>
      </c>
      <c r="Q10">
        <v>1.9052497423687671</v>
      </c>
      <c r="R10">
        <v>2.0533351053524971</v>
      </c>
      <c r="S10">
        <v>9.2051621882940804</v>
      </c>
      <c r="T10">
        <v>0.1086075550332026</v>
      </c>
      <c r="U10">
        <v>9.0965546332608778</v>
      </c>
      <c r="V10">
        <v>-0.13348895383221021</v>
      </c>
      <c r="W10">
        <v>4.6722959822409997</v>
      </c>
      <c r="X10">
        <v>0.1099156368821657</v>
      </c>
      <c r="Y10">
        <v>4.5623803453588341</v>
      </c>
      <c r="Z10">
        <v>-0.50558705379383062</v>
      </c>
      <c r="AA10">
        <v>-0.35738243701455907</v>
      </c>
      <c r="AB10">
        <v>-0.36105429762281449</v>
      </c>
      <c r="AC10">
        <v>-0.24320733419896781</v>
      </c>
      <c r="AD10">
        <v>1.665511596354128</v>
      </c>
      <c r="AE10">
        <v>1.250294642796216</v>
      </c>
      <c r="AF10">
        <v>1.969848083353684</v>
      </c>
      <c r="AG10">
        <v>1.8002715989268669</v>
      </c>
      <c r="AH10">
        <v>1.773202921686367</v>
      </c>
      <c r="AI10">
        <v>1.9125281391050399</v>
      </c>
      <c r="AJ10">
        <v>0.39396514406739769</v>
      </c>
      <c r="AK10">
        <v>1.5256258180754829</v>
      </c>
      <c r="AL10">
        <v>0.91056148044471319</v>
      </c>
      <c r="AM10">
        <v>-0.88241211259587904</v>
      </c>
      <c r="AN10">
        <v>1.164954767041261</v>
      </c>
      <c r="AO10">
        <v>-2.3929401412122582</v>
      </c>
      <c r="AP10">
        <v>-0.65322547189919489</v>
      </c>
      <c r="AQ10">
        <v>1.9052497423687671</v>
      </c>
    </row>
    <row r="11" spans="1:43" x14ac:dyDescent="0.3">
      <c r="A11">
        <v>138</v>
      </c>
      <c r="B11">
        <v>2024</v>
      </c>
      <c r="C11" t="s">
        <v>36</v>
      </c>
      <c r="D11">
        <v>22</v>
      </c>
      <c r="E11">
        <v>21.428570079330729</v>
      </c>
      <c r="F11">
        <v>0.57142992066926723</v>
      </c>
      <c r="G11">
        <v>1.506845116209941</v>
      </c>
      <c r="H11">
        <v>1.206245609335123</v>
      </c>
      <c r="I11">
        <v>-0.65756716651280012</v>
      </c>
      <c r="J11">
        <v>0.25490904667734832</v>
      </c>
      <c r="K11">
        <v>0.30213081591089108</v>
      </c>
      <c r="L11">
        <v>1.4922353840535569</v>
      </c>
      <c r="M11">
        <v>0.68207643737897961</v>
      </c>
      <c r="N11">
        <v>0.3960256992246573</v>
      </c>
      <c r="O11">
        <v>1.3544564963883341</v>
      </c>
      <c r="P11">
        <v>-2.0337931611166402</v>
      </c>
      <c r="Q11">
        <v>1.9052497423687671</v>
      </c>
      <c r="R11">
        <v>1.506845116209941</v>
      </c>
      <c r="S11">
        <v>9.2051621882940804</v>
      </c>
      <c r="T11">
        <v>0.1086075550332026</v>
      </c>
      <c r="U11">
        <v>9.0965546332608778</v>
      </c>
      <c r="V11">
        <v>1.206245609335123</v>
      </c>
      <c r="W11">
        <v>4.6722959822409997</v>
      </c>
      <c r="X11">
        <v>0.1099156368821657</v>
      </c>
      <c r="Y11">
        <v>4.5623803453588341</v>
      </c>
      <c r="Z11">
        <v>-0.65756716651280012</v>
      </c>
      <c r="AA11">
        <v>-0.25490904667734832</v>
      </c>
      <c r="AB11">
        <v>-0.36105429762281449</v>
      </c>
      <c r="AC11">
        <v>-0.24320733419896781</v>
      </c>
      <c r="AD11">
        <v>1.6527831918700071</v>
      </c>
      <c r="AE11">
        <v>0.47421965098316132</v>
      </c>
      <c r="AF11">
        <v>1.642456409072673</v>
      </c>
      <c r="AG11">
        <v>1.6651936219230929</v>
      </c>
      <c r="AH11">
        <v>1.714080254513713</v>
      </c>
      <c r="AI11">
        <v>1.8046791759586951</v>
      </c>
      <c r="AJ11">
        <v>0.20839534845661159</v>
      </c>
      <c r="AK11">
        <v>1.160229296951006</v>
      </c>
      <c r="AL11">
        <v>0.67760466672932163</v>
      </c>
      <c r="AM11">
        <v>-0.3960256992246573</v>
      </c>
      <c r="AN11">
        <v>1.3544564963883341</v>
      </c>
      <c r="AO11">
        <v>-1.8820074581797921</v>
      </c>
      <c r="AP11">
        <v>-2.185578864053487</v>
      </c>
      <c r="AQ11">
        <v>1.9052497423687671</v>
      </c>
    </row>
    <row r="12" spans="1:43" x14ac:dyDescent="0.3">
      <c r="A12">
        <v>142</v>
      </c>
      <c r="B12">
        <v>2024</v>
      </c>
      <c r="C12" t="s">
        <v>38</v>
      </c>
      <c r="D12">
        <v>22</v>
      </c>
      <c r="E12">
        <v>23.42385042643274</v>
      </c>
      <c r="F12">
        <v>-1.423850426432743</v>
      </c>
      <c r="G12">
        <v>1.6942979342613991</v>
      </c>
      <c r="H12">
        <v>0.72559302079185872</v>
      </c>
      <c r="I12">
        <v>-0.73506348943040167</v>
      </c>
      <c r="J12">
        <v>0.32141849346854501</v>
      </c>
      <c r="K12">
        <v>0.30213081591089108</v>
      </c>
      <c r="L12">
        <v>1.697291123218519</v>
      </c>
      <c r="M12">
        <v>2.3874043234235889</v>
      </c>
      <c r="N12">
        <v>0.42591955772625301</v>
      </c>
      <c r="O12">
        <v>1.7740628503502951</v>
      </c>
      <c r="P12">
        <v>0.41772846528540608</v>
      </c>
      <c r="Q12">
        <v>1.9052497423687671</v>
      </c>
      <c r="R12">
        <v>1.6942979342613991</v>
      </c>
      <c r="S12">
        <v>9.2051621882940804</v>
      </c>
      <c r="T12">
        <v>0.1086075550332026</v>
      </c>
      <c r="U12">
        <v>9.0965546332608778</v>
      </c>
      <c r="V12">
        <v>0.72559302079185872</v>
      </c>
      <c r="W12">
        <v>4.6722959822409997</v>
      </c>
      <c r="X12">
        <v>0.1099156368821657</v>
      </c>
      <c r="Y12">
        <v>4.5623803453588341</v>
      </c>
      <c r="Z12">
        <v>-0.73506348943040167</v>
      </c>
      <c r="AA12">
        <v>-0.32141849346854501</v>
      </c>
      <c r="AB12">
        <v>-0.36105429762281449</v>
      </c>
      <c r="AC12">
        <v>-0.24320733419896781</v>
      </c>
      <c r="AD12">
        <v>1.953684201501384</v>
      </c>
      <c r="AE12">
        <v>1.0459816045271939</v>
      </c>
      <c r="AF12">
        <v>1.7460731083293339</v>
      </c>
      <c r="AG12">
        <v>1.605793999302807</v>
      </c>
      <c r="AH12">
        <v>1.9755249877191481</v>
      </c>
      <c r="AI12">
        <v>1.8566888379312421</v>
      </c>
      <c r="AJ12">
        <v>3.2693572235247368</v>
      </c>
      <c r="AK12">
        <v>2.6662008699034132</v>
      </c>
      <c r="AL12">
        <v>1.2266548768426171</v>
      </c>
      <c r="AM12">
        <v>-0.42591955772625301</v>
      </c>
      <c r="AN12">
        <v>1.7740628503502951</v>
      </c>
      <c r="AO12">
        <v>0.2680149552163798</v>
      </c>
      <c r="AP12">
        <v>0.56744197535443242</v>
      </c>
      <c r="AQ12">
        <v>1.9052497423687671</v>
      </c>
    </row>
    <row r="13" spans="1:43" x14ac:dyDescent="0.3">
      <c r="A13">
        <v>144</v>
      </c>
      <c r="B13">
        <v>2024</v>
      </c>
      <c r="C13" t="s">
        <v>40</v>
      </c>
      <c r="D13">
        <v>22</v>
      </c>
      <c r="E13">
        <v>21.829395595017999</v>
      </c>
      <c r="F13">
        <v>0.17060440498200441</v>
      </c>
      <c r="G13">
        <v>1.3762471429252701</v>
      </c>
      <c r="H13">
        <v>0.8413900303116143</v>
      </c>
      <c r="I13">
        <v>-0.63538793719328368</v>
      </c>
      <c r="J13">
        <v>0.33673894262899551</v>
      </c>
      <c r="K13">
        <v>0.30213081591089108</v>
      </c>
      <c r="L13">
        <v>1.5488989226393679</v>
      </c>
      <c r="M13">
        <v>0.93910845561963463</v>
      </c>
      <c r="N13">
        <v>0.69624227447395326</v>
      </c>
      <c r="O13">
        <v>0.95035424160666304</v>
      </c>
      <c r="P13">
        <v>-0.21019516019835341</v>
      </c>
      <c r="Q13">
        <v>1.9052497423687671</v>
      </c>
      <c r="R13">
        <v>1.3762471429252701</v>
      </c>
      <c r="S13">
        <v>9.2051621882940804</v>
      </c>
      <c r="T13">
        <v>0.1086075550332026</v>
      </c>
      <c r="U13">
        <v>9.0965546332608778</v>
      </c>
      <c r="V13">
        <v>0.8413900303116143</v>
      </c>
      <c r="W13">
        <v>4.6722959822409997</v>
      </c>
      <c r="X13">
        <v>0.1099156368821657</v>
      </c>
      <c r="Y13">
        <v>4.5623803453588341</v>
      </c>
      <c r="Z13">
        <v>-0.63538793719328368</v>
      </c>
      <c r="AA13">
        <v>-0.33673894262899551</v>
      </c>
      <c r="AB13">
        <v>-0.36105429762281449</v>
      </c>
      <c r="AC13">
        <v>-0.24320733419896781</v>
      </c>
      <c r="AD13">
        <v>1.7336721205294441</v>
      </c>
      <c r="AE13">
        <v>0.68527621804373251</v>
      </c>
      <c r="AF13">
        <v>1.668284344936144</v>
      </c>
      <c r="AG13">
        <v>1.6073433636442149</v>
      </c>
      <c r="AH13">
        <v>1.735401540186468</v>
      </c>
      <c r="AI13">
        <v>1.863415948496207</v>
      </c>
      <c r="AJ13">
        <v>0.5649499807253846</v>
      </c>
      <c r="AK13">
        <v>1.499390529360743</v>
      </c>
      <c r="AL13">
        <v>0.75298485677277638</v>
      </c>
      <c r="AM13">
        <v>-0.69624227447395326</v>
      </c>
      <c r="AN13">
        <v>0.95035424160666304</v>
      </c>
      <c r="AO13">
        <v>-0.20848548089138619</v>
      </c>
      <c r="AP13">
        <v>-0.21190483950532049</v>
      </c>
      <c r="AQ13">
        <v>1.9052497423687671</v>
      </c>
    </row>
    <row r="14" spans="1:43" x14ac:dyDescent="0.3">
      <c r="A14">
        <v>146</v>
      </c>
      <c r="B14">
        <v>2024</v>
      </c>
      <c r="C14" t="s">
        <v>42</v>
      </c>
      <c r="D14">
        <v>22</v>
      </c>
      <c r="E14">
        <v>23.119995600435541</v>
      </c>
      <c r="F14">
        <v>-1.1199956004355409</v>
      </c>
      <c r="G14">
        <v>1.8387797354168249</v>
      </c>
      <c r="H14">
        <v>1.071467101809173</v>
      </c>
      <c r="I14">
        <v>-0.7137137982153553</v>
      </c>
      <c r="J14">
        <v>0.68143950923156249</v>
      </c>
      <c r="K14">
        <v>0.30213081591089108</v>
      </c>
      <c r="L14">
        <v>1.6539223494989359</v>
      </c>
      <c r="M14">
        <v>0.55009776707668612</v>
      </c>
      <c r="N14">
        <v>0.57033245409362665</v>
      </c>
      <c r="O14">
        <v>1.0693827928615121</v>
      </c>
      <c r="P14">
        <v>1.435645184134565</v>
      </c>
      <c r="Q14">
        <v>1.9052497423687671</v>
      </c>
      <c r="R14">
        <v>1.8387797354168249</v>
      </c>
      <c r="S14">
        <v>9.2051621882940804</v>
      </c>
      <c r="T14">
        <v>0.1086075550332026</v>
      </c>
      <c r="U14">
        <v>9.0965546332608778</v>
      </c>
      <c r="V14">
        <v>1.071467101809173</v>
      </c>
      <c r="W14">
        <v>4.6722959822409997</v>
      </c>
      <c r="X14">
        <v>0.1099156368821657</v>
      </c>
      <c r="Y14">
        <v>4.5623803453588341</v>
      </c>
      <c r="Z14">
        <v>-0.7137137982153553</v>
      </c>
      <c r="AA14">
        <v>-0.68143950923156249</v>
      </c>
      <c r="AB14">
        <v>-0.36105429762281449</v>
      </c>
      <c r="AC14">
        <v>-0.24320733419896781</v>
      </c>
      <c r="AD14">
        <v>1.6403166662608279</v>
      </c>
      <c r="AE14">
        <v>1.139123888440881</v>
      </c>
      <c r="AF14">
        <v>1.742929105034297</v>
      </c>
      <c r="AG14">
        <v>1.722114261597125</v>
      </c>
      <c r="AH14">
        <v>1.775233828314986</v>
      </c>
      <c r="AI14">
        <v>1.903816347345499</v>
      </c>
      <c r="AJ14">
        <v>0.65015420828469228</v>
      </c>
      <c r="AK14">
        <v>0.25502933538456452</v>
      </c>
      <c r="AL14">
        <v>0.74510975756080167</v>
      </c>
      <c r="AM14">
        <v>-0.57033245409362665</v>
      </c>
      <c r="AN14">
        <v>1.0693827928615121</v>
      </c>
      <c r="AO14">
        <v>1.3839696013635061</v>
      </c>
      <c r="AP14">
        <v>1.487320766905625</v>
      </c>
      <c r="AQ14">
        <v>1.9052497423687671</v>
      </c>
    </row>
    <row r="15" spans="1:43" x14ac:dyDescent="0.3">
      <c r="A15">
        <v>156</v>
      </c>
      <c r="B15">
        <v>2024</v>
      </c>
      <c r="C15" t="s">
        <v>43</v>
      </c>
      <c r="D15">
        <v>21.666666666666671</v>
      </c>
      <c r="E15">
        <v>19.700851456256618</v>
      </c>
      <c r="F15">
        <v>1.965815210410053</v>
      </c>
      <c r="G15">
        <v>1.3422622878139241</v>
      </c>
      <c r="H15">
        <v>1.526568237049609</v>
      </c>
      <c r="I15">
        <v>-0.68105619283937446</v>
      </c>
      <c r="J15">
        <v>0.36642589019270833</v>
      </c>
      <c r="K15">
        <v>0.30213081591089108</v>
      </c>
      <c r="L15">
        <v>1.3396778496451791</v>
      </c>
      <c r="M15">
        <v>0.6569770517830632</v>
      </c>
      <c r="N15">
        <v>-1.4794805329939451</v>
      </c>
      <c r="O15">
        <v>2.8707311602387622E-2</v>
      </c>
      <c r="P15">
        <v>-0.46524383089061638</v>
      </c>
      <c r="Q15">
        <v>1.9052497423687671</v>
      </c>
      <c r="R15">
        <v>1.3422622878139241</v>
      </c>
      <c r="S15">
        <v>9.2051621882940804</v>
      </c>
      <c r="T15">
        <v>0.1086075550332026</v>
      </c>
      <c r="U15">
        <v>9.0965546332608778</v>
      </c>
      <c r="V15">
        <v>1.526568237049609</v>
      </c>
      <c r="W15">
        <v>4.6722959822409997</v>
      </c>
      <c r="X15">
        <v>0.1099156368821657</v>
      </c>
      <c r="Y15">
        <v>4.5623803453588341</v>
      </c>
      <c r="Z15">
        <v>-0.68105619283937446</v>
      </c>
      <c r="AA15">
        <v>-0.36642589019270833</v>
      </c>
      <c r="AB15">
        <v>-0.36105429762281449</v>
      </c>
      <c r="AC15">
        <v>-0.24320733419896781</v>
      </c>
      <c r="AD15">
        <v>1.489044516475011</v>
      </c>
      <c r="AE15">
        <v>0.67921739087288102</v>
      </c>
      <c r="AF15">
        <v>1.6505673231106861</v>
      </c>
      <c r="AG15">
        <v>1.249391638612908</v>
      </c>
      <c r="AH15">
        <v>1.4487990050177999</v>
      </c>
      <c r="AI15">
        <v>1.5210472237817909</v>
      </c>
      <c r="AJ15">
        <v>0.12965661816503971</v>
      </c>
      <c r="AK15">
        <v>1.096951100585579</v>
      </c>
      <c r="AL15">
        <v>0.74432343659857092</v>
      </c>
      <c r="AM15">
        <v>1.4794805329939451</v>
      </c>
      <c r="AN15">
        <v>2.8707311602387622E-2</v>
      </c>
      <c r="AO15">
        <v>-0.53199284707121153</v>
      </c>
      <c r="AP15">
        <v>-0.39849481471002118</v>
      </c>
      <c r="AQ15">
        <v>1.9052497423687671</v>
      </c>
    </row>
    <row r="16" spans="1:43" x14ac:dyDescent="0.3">
      <c r="A16">
        <v>158</v>
      </c>
      <c r="B16">
        <v>2024</v>
      </c>
      <c r="C16" t="s">
        <v>46</v>
      </c>
      <c r="D16">
        <v>17.666666666666671</v>
      </c>
      <c r="E16">
        <v>18.357981667268579</v>
      </c>
      <c r="F16">
        <v>-0.69131500060191087</v>
      </c>
      <c r="G16">
        <v>0.94689996096829088</v>
      </c>
      <c r="H16">
        <v>1.8308749915870539</v>
      </c>
      <c r="I16">
        <v>-1.2033595793538909</v>
      </c>
      <c r="J16">
        <v>0.57413912806297684</v>
      </c>
      <c r="K16">
        <v>0.30213081591089108</v>
      </c>
      <c r="L16">
        <v>1.3951450814669999</v>
      </c>
      <c r="M16">
        <v>0.28281658636295692</v>
      </c>
      <c r="N16">
        <v>-4.0756560151033927</v>
      </c>
      <c r="O16">
        <v>0.63294046130761084</v>
      </c>
      <c r="P16">
        <v>0.84264257550335486</v>
      </c>
      <c r="Q16">
        <v>1.9052497423687671</v>
      </c>
      <c r="R16">
        <v>0.94689996096829088</v>
      </c>
      <c r="S16">
        <v>9.2051621882940804</v>
      </c>
      <c r="T16">
        <v>0.1086075550332026</v>
      </c>
      <c r="U16">
        <v>9.0965546332608778</v>
      </c>
      <c r="V16">
        <v>1.8308749915870539</v>
      </c>
      <c r="W16">
        <v>4.6722959822409997</v>
      </c>
      <c r="X16">
        <v>0.1099156368821657</v>
      </c>
      <c r="Y16">
        <v>4.5623803453588341</v>
      </c>
      <c r="Z16">
        <v>-1.2033595793538909</v>
      </c>
      <c r="AA16">
        <v>-0.57413912806297684</v>
      </c>
      <c r="AB16">
        <v>-0.36105429762281449</v>
      </c>
      <c r="AC16">
        <v>-0.24320733419896781</v>
      </c>
      <c r="AD16">
        <v>1.0662443463684079</v>
      </c>
      <c r="AE16">
        <v>1.3240234095803409</v>
      </c>
      <c r="AF16">
        <v>2.0246900604827651</v>
      </c>
      <c r="AG16">
        <v>1.211724741485992</v>
      </c>
      <c r="AH16">
        <v>1.5035008929526781</v>
      </c>
      <c r="AI16">
        <v>1.2406870379318129</v>
      </c>
      <c r="AJ16">
        <v>-0.49997756343131422</v>
      </c>
      <c r="AK16">
        <v>0.67388644483341786</v>
      </c>
      <c r="AL16">
        <v>0.67454087768676685</v>
      </c>
      <c r="AM16">
        <v>4.0756560151033927</v>
      </c>
      <c r="AN16">
        <v>0.63294046130761084</v>
      </c>
      <c r="AO16">
        <v>0.65655996027824093</v>
      </c>
      <c r="AP16">
        <v>1.0287251907284689</v>
      </c>
      <c r="AQ16">
        <v>1.9052497423687671</v>
      </c>
    </row>
    <row r="17" spans="1:43" x14ac:dyDescent="0.3">
      <c r="A17">
        <v>172</v>
      </c>
      <c r="B17">
        <v>2024</v>
      </c>
      <c r="C17" t="s">
        <v>48</v>
      </c>
      <c r="D17">
        <v>21</v>
      </c>
      <c r="E17">
        <v>20.019159894887022</v>
      </c>
      <c r="F17">
        <v>0.98084010511297848</v>
      </c>
      <c r="G17">
        <v>1.3246770943496899</v>
      </c>
      <c r="H17">
        <v>0.47395745296595848</v>
      </c>
      <c r="I17">
        <v>-1.017630363753059</v>
      </c>
      <c r="J17">
        <v>0.42179319213994049</v>
      </c>
      <c r="K17">
        <v>0.30213081591089108</v>
      </c>
      <c r="L17">
        <v>1.773061090225561</v>
      </c>
      <c r="M17">
        <v>0.8972282107603976</v>
      </c>
      <c r="N17">
        <v>-0.66954033141679115</v>
      </c>
      <c r="O17">
        <v>9.2676267936742593E-2</v>
      </c>
      <c r="P17">
        <v>-0.71324048285885278</v>
      </c>
      <c r="Q17">
        <v>1.9052497423687671</v>
      </c>
      <c r="R17">
        <v>1.3246770943496899</v>
      </c>
      <c r="S17">
        <v>9.2051621882940804</v>
      </c>
      <c r="T17">
        <v>0.1086075550332026</v>
      </c>
      <c r="U17">
        <v>9.0965546332608778</v>
      </c>
      <c r="V17">
        <v>0.47395745296595848</v>
      </c>
      <c r="W17">
        <v>4.6722959822409997</v>
      </c>
      <c r="X17">
        <v>0.1099156368821657</v>
      </c>
      <c r="Y17">
        <v>4.5623803453588341</v>
      </c>
      <c r="Z17">
        <v>-1.017630363753059</v>
      </c>
      <c r="AA17">
        <v>-0.42179319213994049</v>
      </c>
      <c r="AB17">
        <v>-0.36105429762281449</v>
      </c>
      <c r="AC17">
        <v>-0.24320733419896781</v>
      </c>
      <c r="AD17">
        <v>1.87090101564654</v>
      </c>
      <c r="AE17">
        <v>0.96091133901709658</v>
      </c>
      <c r="AF17">
        <v>1.7166061849387071</v>
      </c>
      <c r="AG17">
        <v>1.9446480744631851</v>
      </c>
      <c r="AH17">
        <v>2.0529409062122261</v>
      </c>
      <c r="AI17">
        <v>2.0923590210756138</v>
      </c>
      <c r="AJ17">
        <v>-3.7719568855141328E-2</v>
      </c>
      <c r="AK17">
        <v>1.969480702620457</v>
      </c>
      <c r="AL17">
        <v>0.75992349851587704</v>
      </c>
      <c r="AM17">
        <v>0.66954033141679115</v>
      </c>
      <c r="AN17">
        <v>9.2676267936742593E-2</v>
      </c>
      <c r="AO17">
        <v>-0.75738500965482214</v>
      </c>
      <c r="AP17">
        <v>-0.66909595606288352</v>
      </c>
      <c r="AQ17">
        <v>1.9052497423687671</v>
      </c>
    </row>
    <row r="18" spans="1:43" x14ac:dyDescent="0.3">
      <c r="A18">
        <v>174</v>
      </c>
      <c r="B18">
        <v>2024</v>
      </c>
      <c r="C18" t="s">
        <v>50</v>
      </c>
      <c r="D18">
        <v>12.66666666666667</v>
      </c>
      <c r="E18">
        <v>12.79165016905031</v>
      </c>
      <c r="F18">
        <v>-0.12498350238363901</v>
      </c>
      <c r="G18">
        <v>0.73979406577948326</v>
      </c>
      <c r="H18">
        <v>0.39577514455940788</v>
      </c>
      <c r="I18">
        <v>-0.64660853155374776</v>
      </c>
      <c r="J18">
        <v>0.4079609061607043</v>
      </c>
      <c r="K18">
        <v>0.30213081591089108</v>
      </c>
      <c r="L18">
        <v>0.21362142657096739</v>
      </c>
      <c r="M18">
        <v>0.5528406863023535</v>
      </c>
      <c r="N18">
        <v>-2.6877369514273961</v>
      </c>
      <c r="O18">
        <v>-0.5587027913692606</v>
      </c>
      <c r="P18">
        <v>-1.224907951028988</v>
      </c>
      <c r="Q18">
        <v>1.9052497423687671</v>
      </c>
      <c r="R18">
        <v>0.73979406577948326</v>
      </c>
      <c r="S18">
        <v>9.2051621882940804</v>
      </c>
      <c r="T18">
        <v>0.1086075550332026</v>
      </c>
      <c r="U18">
        <v>9.0965546332608778</v>
      </c>
      <c r="V18">
        <v>0.39577514455940788</v>
      </c>
      <c r="W18">
        <v>4.6722959822409997</v>
      </c>
      <c r="X18">
        <v>0.1099156368821657</v>
      </c>
      <c r="Y18">
        <v>4.5623803453588341</v>
      </c>
      <c r="Z18">
        <v>-0.64660853155374776</v>
      </c>
      <c r="AA18">
        <v>-0.4079609061607043</v>
      </c>
      <c r="AB18">
        <v>-0.36105429762281449</v>
      </c>
      <c r="AC18">
        <v>-0.24320733419896781</v>
      </c>
      <c r="AD18">
        <v>0.70149726702637083</v>
      </c>
      <c r="AE18">
        <v>0.12681480406661511</v>
      </c>
      <c r="AF18">
        <v>-0.13348329365798731</v>
      </c>
      <c r="AG18">
        <v>0.22893981488961079</v>
      </c>
      <c r="AH18">
        <v>0.1956218175676428</v>
      </c>
      <c r="AI18">
        <v>0.16233814953355191</v>
      </c>
      <c r="AJ18">
        <v>-5.6238958315826038E-2</v>
      </c>
      <c r="AK18">
        <v>1.642777107304825</v>
      </c>
      <c r="AL18">
        <v>7.1983909918060959E-2</v>
      </c>
      <c r="AM18">
        <v>2.6877369514273961</v>
      </c>
      <c r="AN18">
        <v>-0.5587027913692606</v>
      </c>
      <c r="AO18">
        <v>-1.1869119221168249</v>
      </c>
      <c r="AP18">
        <v>-1.2629039799411521</v>
      </c>
      <c r="AQ18">
        <v>1.9052497423687671</v>
      </c>
    </row>
    <row r="19" spans="1:43" x14ac:dyDescent="0.3">
      <c r="A19">
        <v>176</v>
      </c>
      <c r="B19">
        <v>2024</v>
      </c>
      <c r="C19" t="s">
        <v>52</v>
      </c>
      <c r="D19">
        <v>17.666666666666671</v>
      </c>
      <c r="E19">
        <v>17.128000879469489</v>
      </c>
      <c r="F19">
        <v>0.53866578719718561</v>
      </c>
      <c r="G19">
        <v>1.6949726711736</v>
      </c>
      <c r="H19">
        <v>-0.67166212401526681</v>
      </c>
      <c r="I19">
        <v>-0.35068172775909812</v>
      </c>
      <c r="J19">
        <v>5.9272825393088563E-2</v>
      </c>
      <c r="K19">
        <v>0.30213081591089108</v>
      </c>
      <c r="L19">
        <v>1.482979284085165</v>
      </c>
      <c r="M19">
        <v>0.37889877771462438</v>
      </c>
      <c r="N19">
        <v>-3.8796586470949593E-2</v>
      </c>
      <c r="O19">
        <v>0.27176865629955171</v>
      </c>
      <c r="P19">
        <v>0.39396457453493577</v>
      </c>
      <c r="Q19">
        <v>-0.52486557418804092</v>
      </c>
      <c r="R19">
        <v>1.6949726711736</v>
      </c>
      <c r="S19">
        <v>9.2051621882940804</v>
      </c>
      <c r="T19">
        <v>0.1086075550332026</v>
      </c>
      <c r="U19">
        <v>9.0965546332608778</v>
      </c>
      <c r="V19">
        <v>-0.67166212401526681</v>
      </c>
      <c r="W19">
        <v>4.6722959822409997</v>
      </c>
      <c r="X19">
        <v>0.1099156368821657</v>
      </c>
      <c r="Y19">
        <v>4.5623803453588341</v>
      </c>
      <c r="Z19">
        <v>-0.35068172775909812</v>
      </c>
      <c r="AA19">
        <v>-5.9272825393088563E-2</v>
      </c>
      <c r="AB19">
        <v>-0.36105429762281449</v>
      </c>
      <c r="AC19">
        <v>-0.24320733419896781</v>
      </c>
      <c r="AD19">
        <v>1.403035855810475</v>
      </c>
      <c r="AE19">
        <v>1.4097976301837749</v>
      </c>
      <c r="AF19">
        <v>1.5218122522311579</v>
      </c>
      <c r="AG19">
        <v>1.2124751425737339</v>
      </c>
      <c r="AH19">
        <v>1.628884583823847</v>
      </c>
      <c r="AI19">
        <v>1.721870239888003</v>
      </c>
      <c r="AJ19">
        <v>-0.17605113830437011</v>
      </c>
      <c r="AK19">
        <v>1.124588904734755</v>
      </c>
      <c r="AL19">
        <v>0.18815856671348849</v>
      </c>
      <c r="AM19">
        <v>3.8796586470949593E-2</v>
      </c>
      <c r="AN19">
        <v>0.27176865629955171</v>
      </c>
      <c r="AO19">
        <v>0.35933350614858178</v>
      </c>
      <c r="AP19">
        <v>0.42859564292128982</v>
      </c>
      <c r="AQ19">
        <v>-0.52486557418804092</v>
      </c>
    </row>
    <row r="20" spans="1:43" x14ac:dyDescent="0.3">
      <c r="A20">
        <v>178</v>
      </c>
      <c r="B20">
        <v>2024</v>
      </c>
      <c r="C20" t="s">
        <v>53</v>
      </c>
      <c r="D20">
        <v>19.666666666666671</v>
      </c>
      <c r="E20">
        <v>21.03568877639329</v>
      </c>
      <c r="F20">
        <v>-1.369022109726618</v>
      </c>
      <c r="G20">
        <v>1.892650658226255</v>
      </c>
      <c r="H20">
        <v>0.84591699961023847</v>
      </c>
      <c r="I20">
        <v>0.36791657021318519</v>
      </c>
      <c r="J20">
        <v>0.39424309427233067</v>
      </c>
      <c r="K20">
        <v>0.30213081591089108</v>
      </c>
      <c r="L20">
        <v>1.4550861557790129</v>
      </c>
      <c r="M20">
        <v>0.36492118474936752</v>
      </c>
      <c r="N20">
        <v>0.53571558820794984</v>
      </c>
      <c r="O20">
        <v>0.88298446952216936</v>
      </c>
      <c r="P20">
        <v>-1.511439461001223</v>
      </c>
      <c r="Q20">
        <v>1.9052497423687671</v>
      </c>
      <c r="R20">
        <v>1.892650658226255</v>
      </c>
      <c r="S20">
        <v>9.2051621882940804</v>
      </c>
      <c r="T20">
        <v>0.1086075550332026</v>
      </c>
      <c r="U20">
        <v>9.0965546332608778</v>
      </c>
      <c r="V20">
        <v>0.84591699961023847</v>
      </c>
      <c r="W20">
        <v>4.6722959822409997</v>
      </c>
      <c r="X20">
        <v>0.1099156368821657</v>
      </c>
      <c r="Y20">
        <v>4.5623803453588341</v>
      </c>
      <c r="Z20">
        <v>0.36791657021318519</v>
      </c>
      <c r="AA20">
        <v>-0.39424309427233067</v>
      </c>
      <c r="AB20">
        <v>-0.36105429762281449</v>
      </c>
      <c r="AC20">
        <v>-0.24320733419896781</v>
      </c>
      <c r="AD20">
        <v>1.635327873693198</v>
      </c>
      <c r="AE20">
        <v>0.81338160492645384</v>
      </c>
      <c r="AF20">
        <v>1.482645913680595</v>
      </c>
      <c r="AG20">
        <v>1.7491472006285671</v>
      </c>
      <c r="AH20">
        <v>1.5894662384476581</v>
      </c>
      <c r="AI20">
        <v>1.4605481032976051</v>
      </c>
      <c r="AJ20">
        <v>0.70726610081635755</v>
      </c>
      <c r="AK20">
        <v>-0.2484737055778847</v>
      </c>
      <c r="AL20">
        <v>0.63597115900962953</v>
      </c>
      <c r="AM20">
        <v>-0.53571558820794984</v>
      </c>
      <c r="AN20">
        <v>0.88298446952216936</v>
      </c>
      <c r="AO20">
        <v>-1.549413129200955</v>
      </c>
      <c r="AP20">
        <v>-1.473465792801492</v>
      </c>
      <c r="AQ20">
        <v>1.9052497423687671</v>
      </c>
    </row>
    <row r="21" spans="1:43" x14ac:dyDescent="0.3">
      <c r="A21">
        <v>181</v>
      </c>
      <c r="B21">
        <v>2024</v>
      </c>
      <c r="C21" t="s">
        <v>54</v>
      </c>
      <c r="D21">
        <v>17</v>
      </c>
      <c r="E21">
        <v>15.385637261005209</v>
      </c>
      <c r="F21">
        <v>1.614362738994785</v>
      </c>
      <c r="G21">
        <v>1.198815546560678</v>
      </c>
      <c r="H21">
        <v>-0.82133921593814407</v>
      </c>
      <c r="I21">
        <v>0.57499547702906373</v>
      </c>
      <c r="J21">
        <v>0.3823187098074719</v>
      </c>
      <c r="K21">
        <v>0.30213081591089108</v>
      </c>
      <c r="L21">
        <v>0.52806562710443328</v>
      </c>
      <c r="M21">
        <v>0.12735680068835731</v>
      </c>
      <c r="N21">
        <v>0.32995916064027592</v>
      </c>
      <c r="O21">
        <v>0.48219251448207812</v>
      </c>
      <c r="P21">
        <v>-0.28066461871772042</v>
      </c>
      <c r="Q21">
        <v>1.9052497423687671</v>
      </c>
      <c r="R21">
        <v>1.198815546560678</v>
      </c>
      <c r="S21">
        <v>9.2051621882940804</v>
      </c>
      <c r="T21">
        <v>0.1086075550332026</v>
      </c>
      <c r="U21">
        <v>9.0965546332608778</v>
      </c>
      <c r="V21">
        <v>-0.82133921593814407</v>
      </c>
      <c r="W21">
        <v>4.6722959822409997</v>
      </c>
      <c r="X21">
        <v>0.1099156368821657</v>
      </c>
      <c r="Y21">
        <v>4.5623803453588341</v>
      </c>
      <c r="Z21">
        <v>0.57499547702906373</v>
      </c>
      <c r="AA21">
        <v>-0.3823187098074719</v>
      </c>
      <c r="AB21">
        <v>-0.36105429762281449</v>
      </c>
      <c r="AC21">
        <v>-0.24320733419896781</v>
      </c>
      <c r="AD21">
        <v>0.85402316192596828</v>
      </c>
      <c r="AE21">
        <v>0.92763532158798934</v>
      </c>
      <c r="AF21">
        <v>0.35720310985129661</v>
      </c>
      <c r="AG21">
        <v>0.2427927508406677</v>
      </c>
      <c r="AH21">
        <v>0.65794197312454017</v>
      </c>
      <c r="AI21">
        <v>0.12879744529613771</v>
      </c>
      <c r="AJ21">
        <v>-0.40903458054521818</v>
      </c>
      <c r="AK21">
        <v>0.35766046482210112</v>
      </c>
      <c r="AL21">
        <v>0.4334445177881891</v>
      </c>
      <c r="AM21">
        <v>-0.32995916064027592</v>
      </c>
      <c r="AN21">
        <v>0.48219251448207812</v>
      </c>
      <c r="AO21">
        <v>-0.18440190361260991</v>
      </c>
      <c r="AP21">
        <v>-0.37692733382283089</v>
      </c>
      <c r="AQ21">
        <v>1.9052497423687671</v>
      </c>
    </row>
    <row r="22" spans="1:43" x14ac:dyDescent="0.3">
      <c r="A22">
        <v>182</v>
      </c>
      <c r="B22">
        <v>2024</v>
      </c>
      <c r="C22" t="s">
        <v>56</v>
      </c>
      <c r="D22">
        <v>16</v>
      </c>
      <c r="E22">
        <v>16.642880729147169</v>
      </c>
      <c r="F22">
        <v>-0.64288072914716921</v>
      </c>
      <c r="G22">
        <v>0.85849830360297608</v>
      </c>
      <c r="H22">
        <v>0.49110635599834579</v>
      </c>
      <c r="I22">
        <v>-0.55924507118297551</v>
      </c>
      <c r="J22">
        <v>0.4183971274443487</v>
      </c>
      <c r="K22">
        <v>0.30213081591089108</v>
      </c>
      <c r="L22">
        <v>0.80303542549617868</v>
      </c>
      <c r="M22">
        <v>0.65390693111360454</v>
      </c>
      <c r="N22">
        <v>-1.0246271395105591</v>
      </c>
      <c r="O22">
        <v>0.30952676272694529</v>
      </c>
      <c r="P22">
        <v>-1.123127118137772</v>
      </c>
      <c r="Q22">
        <v>1.9052497423687671</v>
      </c>
      <c r="R22">
        <v>0.85849830360297608</v>
      </c>
      <c r="S22">
        <v>9.2051621882940804</v>
      </c>
      <c r="T22">
        <v>0.1086075550332026</v>
      </c>
      <c r="U22">
        <v>9.0965546332608778</v>
      </c>
      <c r="V22">
        <v>0.49110635599834579</v>
      </c>
      <c r="W22">
        <v>4.6722959822409997</v>
      </c>
      <c r="X22">
        <v>0.1099156368821657</v>
      </c>
      <c r="Y22">
        <v>4.5623803453588341</v>
      </c>
      <c r="Z22">
        <v>-0.55924507118297551</v>
      </c>
      <c r="AA22">
        <v>-0.4183971274443487</v>
      </c>
      <c r="AB22">
        <v>-0.36105429762281449</v>
      </c>
      <c r="AC22">
        <v>-0.24320733419896781</v>
      </c>
      <c r="AD22">
        <v>1.228840575171473</v>
      </c>
      <c r="AE22">
        <v>0.60515168831758692</v>
      </c>
      <c r="AF22">
        <v>0.7270063986139057</v>
      </c>
      <c r="AG22">
        <v>0.5301466490378518</v>
      </c>
      <c r="AH22">
        <v>1.0298167152732181</v>
      </c>
      <c r="AI22">
        <v>0.69725052656303643</v>
      </c>
      <c r="AJ22">
        <v>0.46385767073295908</v>
      </c>
      <c r="AK22">
        <v>1.160229296951006</v>
      </c>
      <c r="AL22">
        <v>0.33763382565684869</v>
      </c>
      <c r="AM22">
        <v>1.0246271395105591</v>
      </c>
      <c r="AN22">
        <v>0.30952676272694529</v>
      </c>
      <c r="AO22">
        <v>-1.0538904628889689</v>
      </c>
      <c r="AP22">
        <v>-1.1923637733865751</v>
      </c>
      <c r="AQ22">
        <v>1.9052497423687671</v>
      </c>
    </row>
    <row r="23" spans="1:43" x14ac:dyDescent="0.3">
      <c r="A23">
        <v>184</v>
      </c>
      <c r="B23">
        <v>2024</v>
      </c>
      <c r="C23" t="s">
        <v>57</v>
      </c>
      <c r="D23">
        <v>16</v>
      </c>
      <c r="E23">
        <v>17.575033458591712</v>
      </c>
      <c r="F23">
        <v>-1.5750334585917121</v>
      </c>
      <c r="G23">
        <v>1.007941453844557</v>
      </c>
      <c r="H23">
        <v>1.3894110900078771</v>
      </c>
      <c r="I23">
        <v>-0.67350303009867307</v>
      </c>
      <c r="J23">
        <v>0.40437405131367471</v>
      </c>
      <c r="K23">
        <v>0.30213081591089108</v>
      </c>
      <c r="L23">
        <v>0.63766260414745901</v>
      </c>
      <c r="M23">
        <v>0.32350384009056798</v>
      </c>
      <c r="N23">
        <v>-1.211269278370892</v>
      </c>
      <c r="O23">
        <v>0.47729171916153629</v>
      </c>
      <c r="P23">
        <v>-0.55592819662087567</v>
      </c>
      <c r="Q23">
        <v>1.9052497423687671</v>
      </c>
      <c r="R23">
        <v>1.007941453844557</v>
      </c>
      <c r="S23">
        <v>9.2051621882940804</v>
      </c>
      <c r="T23">
        <v>0.1086075550332026</v>
      </c>
      <c r="U23">
        <v>9.0965546332608778</v>
      </c>
      <c r="V23">
        <v>1.3894110900078771</v>
      </c>
      <c r="W23">
        <v>4.6722959822409997</v>
      </c>
      <c r="X23">
        <v>0.1099156368821657</v>
      </c>
      <c r="Y23">
        <v>4.5623803453588341</v>
      </c>
      <c r="Z23">
        <v>-0.67350303009867307</v>
      </c>
      <c r="AA23">
        <v>-0.40437405131367471</v>
      </c>
      <c r="AB23">
        <v>-0.36105429762281449</v>
      </c>
      <c r="AC23">
        <v>-0.24320733419896781</v>
      </c>
      <c r="AD23">
        <v>1.1015052457172601</v>
      </c>
      <c r="AE23">
        <v>-4.4555542518349138E-2</v>
      </c>
      <c r="AF23">
        <v>0.91285420251016647</v>
      </c>
      <c r="AG23">
        <v>0.39218384812973828</v>
      </c>
      <c r="AH23">
        <v>0.87848937799494098</v>
      </c>
      <c r="AI23">
        <v>0.58549849305099755</v>
      </c>
      <c r="AJ23">
        <v>-0.42965901562795628</v>
      </c>
      <c r="AK23">
        <v>1.054875637552505</v>
      </c>
      <c r="AL23">
        <v>0.34529489834715521</v>
      </c>
      <c r="AM23">
        <v>1.211269278370892</v>
      </c>
      <c r="AN23">
        <v>0.47729171916153629</v>
      </c>
      <c r="AO23">
        <v>-0.60558019493546378</v>
      </c>
      <c r="AP23">
        <v>-0.50627619830628756</v>
      </c>
      <c r="AQ23">
        <v>1.9052497423687671</v>
      </c>
    </row>
    <row r="24" spans="1:43" x14ac:dyDescent="0.3">
      <c r="A24">
        <v>186</v>
      </c>
      <c r="B24">
        <v>2024</v>
      </c>
      <c r="C24" t="s">
        <v>59</v>
      </c>
      <c r="D24">
        <v>9.6666666666666661</v>
      </c>
      <c r="E24">
        <v>11.609816877899579</v>
      </c>
      <c r="F24">
        <v>-1.9431502112329111</v>
      </c>
      <c r="G24">
        <v>0.40308487646696411</v>
      </c>
      <c r="H24">
        <v>1.264606047471839</v>
      </c>
      <c r="I24">
        <v>0.37922448437412021</v>
      </c>
      <c r="J24">
        <v>-4.9513726057557328</v>
      </c>
      <c r="K24">
        <v>0.30213081591089108</v>
      </c>
      <c r="L24">
        <v>-0.8849121258135928</v>
      </c>
      <c r="M24">
        <v>-0.12501701809916879</v>
      </c>
      <c r="N24">
        <v>0.9450058516331421</v>
      </c>
      <c r="O24">
        <v>-8.851091948128488E-2</v>
      </c>
      <c r="P24">
        <v>-0.2156330200416211</v>
      </c>
      <c r="Q24">
        <v>-0.52486557418804092</v>
      </c>
      <c r="R24">
        <v>0.40308487646696411</v>
      </c>
      <c r="S24">
        <v>9.2051621882940804</v>
      </c>
      <c r="T24">
        <v>0.1086075550332026</v>
      </c>
      <c r="U24">
        <v>9.0965546332608778</v>
      </c>
      <c r="V24">
        <v>1.264606047471839</v>
      </c>
      <c r="W24">
        <v>4.6722959822409997</v>
      </c>
      <c r="X24">
        <v>0.1099156368821657</v>
      </c>
      <c r="Y24">
        <v>4.5623803453588341</v>
      </c>
      <c r="Z24">
        <v>0.37922448437412021</v>
      </c>
      <c r="AA24">
        <v>4.9513726057557328</v>
      </c>
      <c r="AB24">
        <v>-0.36105429762281449</v>
      </c>
      <c r="AC24">
        <v>-0.24320733419896781</v>
      </c>
      <c r="AD24">
        <v>-1.346093283145519</v>
      </c>
      <c r="AE24">
        <v>-1.209052498019676</v>
      </c>
      <c r="AF24">
        <v>-0.43159807297771341</v>
      </c>
      <c r="AG24">
        <v>-0.56989740839405911</v>
      </c>
      <c r="AH24">
        <v>-1.035121613062872</v>
      </c>
      <c r="AI24">
        <v>-0.71770987928171726</v>
      </c>
      <c r="AJ24">
        <v>-0.29398381327322343</v>
      </c>
      <c r="AK24">
        <v>-0.1104496866478214</v>
      </c>
      <c r="AL24">
        <v>2.938244562353836E-2</v>
      </c>
      <c r="AM24">
        <v>-0.9450058516331421</v>
      </c>
      <c r="AN24">
        <v>-8.851091948128488E-2</v>
      </c>
      <c r="AO24">
        <v>-0.27782382920956378</v>
      </c>
      <c r="AP24">
        <v>-0.15344221087367849</v>
      </c>
      <c r="AQ24">
        <v>-0.52486557418804092</v>
      </c>
    </row>
    <row r="25" spans="1:43" x14ac:dyDescent="0.3">
      <c r="A25">
        <v>193</v>
      </c>
      <c r="B25">
        <v>2024</v>
      </c>
      <c r="C25" t="s">
        <v>63</v>
      </c>
      <c r="D25">
        <v>22</v>
      </c>
      <c r="E25">
        <v>21.321040745833059</v>
      </c>
      <c r="F25">
        <v>0.67895925416694425</v>
      </c>
      <c r="G25">
        <v>1.482138392618662</v>
      </c>
      <c r="H25">
        <v>1.410269881448271</v>
      </c>
      <c r="I25">
        <v>-0.47891085475008149</v>
      </c>
      <c r="J25">
        <v>0.26923738705032269</v>
      </c>
      <c r="K25">
        <v>0.30213081591089108</v>
      </c>
      <c r="L25">
        <v>1.498328395151761</v>
      </c>
      <c r="M25">
        <v>0.34292969153611202</v>
      </c>
      <c r="N25">
        <v>0.20377151629617979</v>
      </c>
      <c r="O25">
        <v>0.20746349764769251</v>
      </c>
      <c r="P25">
        <v>-0.74792483458464842</v>
      </c>
      <c r="Q25">
        <v>1.9052497423687671</v>
      </c>
      <c r="R25">
        <v>1.482138392618662</v>
      </c>
      <c r="S25">
        <v>9.2051621882940804</v>
      </c>
      <c r="T25">
        <v>0.1086075550332026</v>
      </c>
      <c r="U25">
        <v>9.0965546332608778</v>
      </c>
      <c r="V25">
        <v>1.410269881448271</v>
      </c>
      <c r="W25">
        <v>4.6722959822409997</v>
      </c>
      <c r="X25">
        <v>0.1099156368821657</v>
      </c>
      <c r="Y25">
        <v>4.5623803453588341</v>
      </c>
      <c r="Z25">
        <v>-0.47891085475008149</v>
      </c>
      <c r="AA25">
        <v>-0.26923738705032269</v>
      </c>
      <c r="AB25">
        <v>-0.36105429762281449</v>
      </c>
      <c r="AC25">
        <v>-0.24320733419896781</v>
      </c>
      <c r="AD25">
        <v>1.498565995903081</v>
      </c>
      <c r="AE25">
        <v>0.91361879350733843</v>
      </c>
      <c r="AF25">
        <v>1.7073710308516541</v>
      </c>
      <c r="AG25">
        <v>1.6657648054937311</v>
      </c>
      <c r="AH25">
        <v>1.459116312524446</v>
      </c>
      <c r="AI25">
        <v>1.7455334326303169</v>
      </c>
      <c r="AJ25">
        <v>-0.1080381166584992</v>
      </c>
      <c r="AK25">
        <v>0.60145064769020462</v>
      </c>
      <c r="AL25">
        <v>0.53537654357663089</v>
      </c>
      <c r="AM25">
        <v>-0.20377151629617979</v>
      </c>
      <c r="AN25">
        <v>0.20746349764769251</v>
      </c>
      <c r="AO25">
        <v>-0.93328164414287407</v>
      </c>
      <c r="AP25">
        <v>-0.56256802502642278</v>
      </c>
      <c r="AQ25">
        <v>1.9052497423687671</v>
      </c>
    </row>
    <row r="26" spans="1:43" x14ac:dyDescent="0.3">
      <c r="A26">
        <v>196</v>
      </c>
      <c r="B26">
        <v>2024</v>
      </c>
      <c r="C26" t="s">
        <v>65</v>
      </c>
      <c r="D26">
        <v>21.333333333333329</v>
      </c>
      <c r="E26">
        <v>20.1308033241306</v>
      </c>
      <c r="F26">
        <v>1.202530009202732</v>
      </c>
      <c r="G26">
        <v>1.258333135566821</v>
      </c>
      <c r="H26">
        <v>0.39840393112617972</v>
      </c>
      <c r="I26">
        <v>-0.55466078165827237</v>
      </c>
      <c r="J26">
        <v>0.28789666386093382</v>
      </c>
      <c r="K26">
        <v>0.30213081591089108</v>
      </c>
      <c r="L26">
        <v>1.681742860926025</v>
      </c>
      <c r="M26">
        <v>0.37468213655946508</v>
      </c>
      <c r="N26">
        <v>0.21688480738609911</v>
      </c>
      <c r="O26">
        <v>-0.43530360998685702</v>
      </c>
      <c r="P26">
        <v>7.2695331265055632E-2</v>
      </c>
      <c r="Q26">
        <v>1.9052497423687671</v>
      </c>
      <c r="R26">
        <v>1.258333135566821</v>
      </c>
      <c r="S26">
        <v>9.2051621882940804</v>
      </c>
      <c r="T26">
        <v>0.1086075550332026</v>
      </c>
      <c r="U26">
        <v>9.0965546332608778</v>
      </c>
      <c r="V26">
        <v>0.39840393112617972</v>
      </c>
      <c r="W26">
        <v>4.6722959822409997</v>
      </c>
      <c r="X26">
        <v>0.1099156368821657</v>
      </c>
      <c r="Y26">
        <v>4.5623803453588341</v>
      </c>
      <c r="Z26">
        <v>-0.55466078165827237</v>
      </c>
      <c r="AA26">
        <v>-0.28789666386093382</v>
      </c>
      <c r="AB26">
        <v>-0.36105429762281449</v>
      </c>
      <c r="AC26">
        <v>-0.24320733419896781</v>
      </c>
      <c r="AD26">
        <v>1.6915969146222269</v>
      </c>
      <c r="AE26">
        <v>1.343677595117881</v>
      </c>
      <c r="AF26">
        <v>1.75304612758087</v>
      </c>
      <c r="AG26">
        <v>1.80702636495859</v>
      </c>
      <c r="AH26">
        <v>1.6715347010007799</v>
      </c>
      <c r="AI26">
        <v>1.8235754622758049</v>
      </c>
      <c r="AJ26">
        <v>-7.1024397804058864E-2</v>
      </c>
      <c r="AK26">
        <v>0.7302345649345735</v>
      </c>
      <c r="AL26">
        <v>0.4648362425478807</v>
      </c>
      <c r="AM26">
        <v>-0.21688480738609911</v>
      </c>
      <c r="AN26">
        <v>-0.43530360998685702</v>
      </c>
      <c r="AO26">
        <v>-3.8930011959181242E-2</v>
      </c>
      <c r="AP26">
        <v>0.18432067448929251</v>
      </c>
      <c r="AQ26">
        <v>1.9052497423687671</v>
      </c>
    </row>
    <row r="27" spans="1:43" x14ac:dyDescent="0.3">
      <c r="A27">
        <v>199</v>
      </c>
      <c r="B27">
        <v>2024</v>
      </c>
      <c r="C27" t="s">
        <v>67</v>
      </c>
      <c r="D27">
        <v>10.33333333333333</v>
      </c>
      <c r="E27">
        <v>11.85326447505471</v>
      </c>
      <c r="F27">
        <v>-1.519931141721381</v>
      </c>
      <c r="G27">
        <v>-0.29314122613394172</v>
      </c>
      <c r="H27">
        <v>0.62794173632738537</v>
      </c>
      <c r="I27">
        <v>-1.023568110185056</v>
      </c>
      <c r="J27">
        <v>-1.3112958062390181E-2</v>
      </c>
      <c r="K27">
        <v>0.30213081591089108</v>
      </c>
      <c r="L27">
        <v>-0.28694899259449608</v>
      </c>
      <c r="M27">
        <v>-0.71909326063917745</v>
      </c>
      <c r="N27">
        <v>-0.49773399222174719</v>
      </c>
      <c r="O27">
        <v>8.484016776722185E-2</v>
      </c>
      <c r="P27">
        <v>0.20835830958341339</v>
      </c>
      <c r="Q27">
        <v>-0.52486557418804092</v>
      </c>
      <c r="R27">
        <v>-0.29314122613394172</v>
      </c>
      <c r="S27">
        <v>9.2051621882940804</v>
      </c>
      <c r="T27">
        <v>0.1086075550332026</v>
      </c>
      <c r="U27">
        <v>9.0965546332608778</v>
      </c>
      <c r="V27">
        <v>0.62794173632738537</v>
      </c>
      <c r="W27">
        <v>4.6722959822409997</v>
      </c>
      <c r="X27">
        <v>0.1099156368821657</v>
      </c>
      <c r="Y27">
        <v>4.5623803453588341</v>
      </c>
      <c r="Z27">
        <v>-1.023568110185056</v>
      </c>
      <c r="AA27">
        <v>1.3112958062390181E-2</v>
      </c>
      <c r="AB27">
        <v>-0.36105429762281449</v>
      </c>
      <c r="AC27">
        <v>-0.24320733419896781</v>
      </c>
      <c r="AD27">
        <v>0.5110098468800911</v>
      </c>
      <c r="AE27">
        <v>-0.78357963292315824</v>
      </c>
      <c r="AF27">
        <v>-0.60819820594426965</v>
      </c>
      <c r="AG27">
        <v>-0.3951637979445457</v>
      </c>
      <c r="AH27">
        <v>-0.1068571469143539</v>
      </c>
      <c r="AI27">
        <v>-0.33890501872074008</v>
      </c>
      <c r="AJ27">
        <v>-0.83701040356223433</v>
      </c>
      <c r="AK27">
        <v>-0.1827204819752184</v>
      </c>
      <c r="AL27">
        <v>-1.1375488963800791</v>
      </c>
      <c r="AM27">
        <v>0.49773399222174719</v>
      </c>
      <c r="AN27">
        <v>8.484016776722185E-2</v>
      </c>
      <c r="AO27">
        <v>0.1464685841931524</v>
      </c>
      <c r="AP27">
        <v>0.2702480349736745</v>
      </c>
      <c r="AQ27">
        <v>-0.52486557418804092</v>
      </c>
    </row>
    <row r="28" spans="1:43" x14ac:dyDescent="0.3">
      <c r="A28">
        <v>213</v>
      </c>
      <c r="B28">
        <v>2024</v>
      </c>
      <c r="C28" t="s">
        <v>69</v>
      </c>
      <c r="D28">
        <v>4.3333333333333321</v>
      </c>
      <c r="E28">
        <v>8.0058795020938813</v>
      </c>
      <c r="F28">
        <v>-3.6725461687605492</v>
      </c>
      <c r="G28">
        <v>0.28065986342083882</v>
      </c>
      <c r="H28">
        <v>0.86959293666525295</v>
      </c>
      <c r="I28">
        <v>-0.72013180354993989</v>
      </c>
      <c r="J28">
        <v>-6.8123118875173612</v>
      </c>
      <c r="K28">
        <v>-2.9016100375394962</v>
      </c>
      <c r="L28">
        <v>-0.26466683824310711</v>
      </c>
      <c r="M28">
        <v>0.14968235952891359</v>
      </c>
      <c r="N28">
        <v>-0.73910745194466809</v>
      </c>
      <c r="O28">
        <v>0.21952798850274671</v>
      </c>
      <c r="P28">
        <v>-7.3127426036151993E-2</v>
      </c>
      <c r="Q28">
        <v>-0.52486557418804092</v>
      </c>
      <c r="R28">
        <v>0.28065986342083882</v>
      </c>
      <c r="S28">
        <v>9.2051621882940804</v>
      </c>
      <c r="T28">
        <v>0.1086075550332026</v>
      </c>
      <c r="U28">
        <v>9.0965546332608778</v>
      </c>
      <c r="V28">
        <v>0.86959293666525295</v>
      </c>
      <c r="W28">
        <v>4.6722959822409997</v>
      </c>
      <c r="X28">
        <v>0.1099156368821657</v>
      </c>
      <c r="Y28">
        <v>4.5623803453588341</v>
      </c>
      <c r="Z28">
        <v>-0.72013180354993989</v>
      </c>
      <c r="AA28">
        <v>6.8123118875173612</v>
      </c>
      <c r="AB28">
        <v>2.7696665199223802</v>
      </c>
      <c r="AC28">
        <v>3.0335535551566122</v>
      </c>
      <c r="AD28">
        <v>0.26906868361776348</v>
      </c>
      <c r="AE28">
        <v>-0.24521764103834129</v>
      </c>
      <c r="AF28">
        <v>-0.14204595192623221</v>
      </c>
      <c r="AG28">
        <v>-0.59740209418019885</v>
      </c>
      <c r="AH28">
        <v>-0.39692214073011628</v>
      </c>
      <c r="AI28">
        <v>-0.47548188520151741</v>
      </c>
      <c r="AJ28">
        <v>4.8211400645113353E-2</v>
      </c>
      <c r="AK28">
        <v>0.17096091022632481</v>
      </c>
      <c r="AL28">
        <v>0.22987476771530249</v>
      </c>
      <c r="AM28">
        <v>0.73910745194466809</v>
      </c>
      <c r="AN28">
        <v>0.21952798850274671</v>
      </c>
      <c r="AO28">
        <v>-0.45301975397933419</v>
      </c>
      <c r="AP28">
        <v>0.30676490190703032</v>
      </c>
      <c r="AQ28">
        <v>-0.52486557418804092</v>
      </c>
    </row>
    <row r="29" spans="1:43" x14ac:dyDescent="0.3">
      <c r="A29">
        <v>218</v>
      </c>
      <c r="B29">
        <v>2024</v>
      </c>
      <c r="C29" t="s">
        <v>73</v>
      </c>
      <c r="D29">
        <v>5</v>
      </c>
      <c r="E29">
        <v>5.994394708666265</v>
      </c>
      <c r="F29">
        <v>-0.994394708666265</v>
      </c>
      <c r="G29">
        <v>-0.68151114855958139</v>
      </c>
      <c r="H29">
        <v>-0.49146729389416699</v>
      </c>
      <c r="I29">
        <v>-0.66577522775703057</v>
      </c>
      <c r="J29">
        <v>0.32187638983199529</v>
      </c>
      <c r="K29">
        <v>0.30213081591089108</v>
      </c>
      <c r="L29">
        <v>-1.134089379193356</v>
      </c>
      <c r="M29">
        <v>-0.66668813668822924</v>
      </c>
      <c r="N29">
        <v>-1.1085577589653171</v>
      </c>
      <c r="O29">
        <v>-0.17155289190481979</v>
      </c>
      <c r="P29">
        <v>-2.757493955571491</v>
      </c>
      <c r="Q29">
        <v>-0.52486557418804092</v>
      </c>
      <c r="R29">
        <v>-0.68151114855958139</v>
      </c>
      <c r="S29">
        <v>9.2051621882940804</v>
      </c>
      <c r="T29">
        <v>0.1086075550332026</v>
      </c>
      <c r="U29">
        <v>9.0965546332608778</v>
      </c>
      <c r="V29">
        <v>-0.49146729389416699</v>
      </c>
      <c r="W29">
        <v>4.6722959822409997</v>
      </c>
      <c r="X29">
        <v>0.1099156368821657</v>
      </c>
      <c r="Y29">
        <v>4.5623803453588341</v>
      </c>
      <c r="Z29">
        <v>-0.66577522775703057</v>
      </c>
      <c r="AA29">
        <v>-0.32187638983199529</v>
      </c>
      <c r="AB29">
        <v>-0.36105429762281449</v>
      </c>
      <c r="AC29">
        <v>-0.24320733419896781</v>
      </c>
      <c r="AD29">
        <v>-0.63148475617789213</v>
      </c>
      <c r="AE29">
        <v>-0.69802321722894445</v>
      </c>
      <c r="AF29">
        <v>-1.045722165029314</v>
      </c>
      <c r="AG29">
        <v>-1.776079860664733</v>
      </c>
      <c r="AH29">
        <v>-1.4925143407007559</v>
      </c>
      <c r="AI29">
        <v>-1.1607119353584989</v>
      </c>
      <c r="AJ29">
        <v>-1.6915586858482301</v>
      </c>
      <c r="AK29">
        <v>-1.5161138014095471E-2</v>
      </c>
      <c r="AL29">
        <v>-0.29334458620236181</v>
      </c>
      <c r="AM29">
        <v>1.1085577589653171</v>
      </c>
      <c r="AN29">
        <v>-0.17155289190481979</v>
      </c>
      <c r="AO29">
        <v>-2.8945638766035748</v>
      </c>
      <c r="AP29">
        <v>-2.6204240345394059</v>
      </c>
      <c r="AQ29">
        <v>-0.52486557418804092</v>
      </c>
    </row>
    <row r="30" spans="1:43" x14ac:dyDescent="0.3">
      <c r="A30">
        <v>223</v>
      </c>
      <c r="B30">
        <v>2024</v>
      </c>
      <c r="C30" t="s">
        <v>75</v>
      </c>
      <c r="D30">
        <v>11.33333333333333</v>
      </c>
      <c r="E30">
        <v>12.981160952857319</v>
      </c>
      <c r="F30">
        <v>-1.6478276195239909</v>
      </c>
      <c r="G30">
        <v>6.9808385685196608E-2</v>
      </c>
      <c r="H30">
        <v>1.51140970588829</v>
      </c>
      <c r="I30">
        <v>-0.49048072831242773</v>
      </c>
      <c r="J30">
        <v>1.2586475336273309E-2</v>
      </c>
      <c r="K30">
        <v>0.30213081591089108</v>
      </c>
      <c r="L30">
        <v>-0.48553159749378522</v>
      </c>
      <c r="M30">
        <v>-0.28900406328177608</v>
      </c>
      <c r="N30">
        <v>-0.81220293681241729</v>
      </c>
      <c r="O30">
        <v>-5.0739882195525617E-2</v>
      </c>
      <c r="P30">
        <v>0.54043256074649226</v>
      </c>
      <c r="Q30">
        <v>-0.52486557418804092</v>
      </c>
      <c r="R30">
        <v>6.9808385685196608E-2</v>
      </c>
      <c r="S30">
        <v>9.2051621882940804</v>
      </c>
      <c r="T30">
        <v>0.1086075550332026</v>
      </c>
      <c r="U30">
        <v>9.0965546332608778</v>
      </c>
      <c r="V30">
        <v>1.51140970588829</v>
      </c>
      <c r="W30">
        <v>4.6722959822409997</v>
      </c>
      <c r="X30">
        <v>0.1099156368821657</v>
      </c>
      <c r="Y30">
        <v>4.5623803453588341</v>
      </c>
      <c r="Z30">
        <v>-0.49048072831242773</v>
      </c>
      <c r="AA30">
        <v>-1.2586475336273309E-2</v>
      </c>
      <c r="AB30">
        <v>-0.36105429762281449</v>
      </c>
      <c r="AC30">
        <v>-0.24320733419896781</v>
      </c>
      <c r="AD30">
        <v>0.19369666992375431</v>
      </c>
      <c r="AE30">
        <v>-0.66737890884107898</v>
      </c>
      <c r="AF30">
        <v>-0.60602368900731074</v>
      </c>
      <c r="AG30">
        <v>-0.66621352705351911</v>
      </c>
      <c r="AH30">
        <v>-0.60695281254912947</v>
      </c>
      <c r="AI30">
        <v>-0.56031731743542701</v>
      </c>
      <c r="AJ30">
        <v>-0.95569488053896379</v>
      </c>
      <c r="AK30">
        <v>0.83162818075349032</v>
      </c>
      <c r="AL30">
        <v>-0.74294549005985488</v>
      </c>
      <c r="AM30">
        <v>0.81220293681241729</v>
      </c>
      <c r="AN30">
        <v>-5.0739882195525617E-2</v>
      </c>
      <c r="AO30">
        <v>0.22426344373520951</v>
      </c>
      <c r="AP30">
        <v>0.85660167775777507</v>
      </c>
      <c r="AQ30">
        <v>-0.52486557418804092</v>
      </c>
    </row>
    <row r="31" spans="1:43" x14ac:dyDescent="0.3">
      <c r="A31">
        <v>228</v>
      </c>
      <c r="B31">
        <v>2024</v>
      </c>
      <c r="C31" t="s">
        <v>76</v>
      </c>
      <c r="D31">
        <v>16.666666666666671</v>
      </c>
      <c r="E31">
        <v>15.91471669112136</v>
      </c>
      <c r="F31">
        <v>0.75194997554530829</v>
      </c>
      <c r="G31">
        <v>0.42932964678774632</v>
      </c>
      <c r="H31">
        <v>0.52646493426943874</v>
      </c>
      <c r="I31">
        <v>-0.52418617129405543</v>
      </c>
      <c r="J31">
        <v>-3.7833196570848551E-3</v>
      </c>
      <c r="K31">
        <v>0.30213081591089108</v>
      </c>
      <c r="L31">
        <v>0.66084981231862294</v>
      </c>
      <c r="M31">
        <v>2.181615183609379E-2</v>
      </c>
      <c r="N31">
        <v>0.45561893945321003</v>
      </c>
      <c r="O31">
        <v>-0.32302496679882309</v>
      </c>
      <c r="P31">
        <v>0.31022173048226093</v>
      </c>
      <c r="Q31">
        <v>-0.52486557418804092</v>
      </c>
      <c r="R31">
        <v>0.42932964678774632</v>
      </c>
      <c r="S31">
        <v>9.2051621882940804</v>
      </c>
      <c r="T31">
        <v>0.1086075550332026</v>
      </c>
      <c r="U31">
        <v>9.0965546332608778</v>
      </c>
      <c r="V31">
        <v>0.52646493426943874</v>
      </c>
      <c r="W31">
        <v>4.6722959822409997</v>
      </c>
      <c r="X31">
        <v>0.1099156368821657</v>
      </c>
      <c r="Y31">
        <v>4.5623803453588341</v>
      </c>
      <c r="Z31">
        <v>-0.52418617129405543</v>
      </c>
      <c r="AA31">
        <v>3.7833196570848551E-3</v>
      </c>
      <c r="AB31">
        <v>-0.36105429762281449</v>
      </c>
      <c r="AC31">
        <v>-0.24320733419896781</v>
      </c>
      <c r="AD31">
        <v>0.93318914582068779</v>
      </c>
      <c r="AE31">
        <v>0.10507883680006309</v>
      </c>
      <c r="AF31">
        <v>0.74632330050915152</v>
      </c>
      <c r="AG31">
        <v>0.57702995151205727</v>
      </c>
      <c r="AH31">
        <v>0.61900009310389803</v>
      </c>
      <c r="AI31">
        <v>0.98447754616588012</v>
      </c>
      <c r="AJ31">
        <v>6.2520698861691218E-2</v>
      </c>
      <c r="AK31">
        <v>-0.4531584580976023</v>
      </c>
      <c r="AL31">
        <v>0.45608621474419248</v>
      </c>
      <c r="AM31">
        <v>-0.45561893945321003</v>
      </c>
      <c r="AN31">
        <v>-0.32302496679882309</v>
      </c>
      <c r="AO31">
        <v>0.21770393021528589</v>
      </c>
      <c r="AP31">
        <v>0.40273953074923602</v>
      </c>
      <c r="AQ31">
        <v>-0.52486557418804092</v>
      </c>
    </row>
    <row r="32" spans="1:43" x14ac:dyDescent="0.3">
      <c r="A32">
        <v>233</v>
      </c>
      <c r="B32">
        <v>2024</v>
      </c>
      <c r="C32" t="s">
        <v>78</v>
      </c>
      <c r="D32">
        <v>12.66666666666667</v>
      </c>
      <c r="E32">
        <v>11.794115556246879</v>
      </c>
      <c r="F32">
        <v>0.8725511104197885</v>
      </c>
      <c r="G32">
        <v>-0.12401571769825551</v>
      </c>
      <c r="H32">
        <v>0.65053420883381574</v>
      </c>
      <c r="I32">
        <v>-0.19638764032765929</v>
      </c>
      <c r="J32">
        <v>-0.10196393158694619</v>
      </c>
      <c r="K32">
        <v>0.30213081591089108</v>
      </c>
      <c r="L32">
        <v>-0.54717886156225093</v>
      </c>
      <c r="M32">
        <v>-0.38881176852943672</v>
      </c>
      <c r="N32">
        <v>-8.852707598568578E-2</v>
      </c>
      <c r="O32">
        <v>-0.27306013007435431</v>
      </c>
      <c r="P32">
        <v>0.44392414197920238</v>
      </c>
      <c r="Q32">
        <v>-0.52486557418804092</v>
      </c>
      <c r="R32">
        <v>-0.12401571769825551</v>
      </c>
      <c r="S32">
        <v>9.2051621882940804</v>
      </c>
      <c r="T32">
        <v>0.1086075550332026</v>
      </c>
      <c r="U32">
        <v>9.0965546332608778</v>
      </c>
      <c r="V32">
        <v>0.65053420883381574</v>
      </c>
      <c r="W32">
        <v>4.6722959822409997</v>
      </c>
      <c r="X32">
        <v>0.1099156368821657</v>
      </c>
      <c r="Y32">
        <v>4.5623803453588341</v>
      </c>
      <c r="Z32">
        <v>-0.19638764032765929</v>
      </c>
      <c r="AA32">
        <v>0.10196393158694619</v>
      </c>
      <c r="AB32">
        <v>-0.36105429762281449</v>
      </c>
      <c r="AC32">
        <v>-0.24320733419896781</v>
      </c>
      <c r="AD32">
        <v>-0.1139160770399695</v>
      </c>
      <c r="AE32">
        <v>-1.2092474394301389</v>
      </c>
      <c r="AF32">
        <v>-0.47755081603482979</v>
      </c>
      <c r="AG32">
        <v>-0.31017075763987251</v>
      </c>
      <c r="AH32">
        <v>-0.72933002858631668</v>
      </c>
      <c r="AI32">
        <v>-0.44285805064237838</v>
      </c>
      <c r="AJ32">
        <v>-0.46261300363986491</v>
      </c>
      <c r="AK32">
        <v>-8.2894383406553501E-2</v>
      </c>
      <c r="AL32">
        <v>-0.62092791854189178</v>
      </c>
      <c r="AM32">
        <v>8.852707598568578E-2</v>
      </c>
      <c r="AN32">
        <v>-0.27306013007435431</v>
      </c>
      <c r="AO32">
        <v>0.1573603519822861</v>
      </c>
      <c r="AP32">
        <v>0.73048793197611872</v>
      </c>
      <c r="AQ32">
        <v>-0.52486557418804092</v>
      </c>
    </row>
    <row r="33" spans="1:43" x14ac:dyDescent="0.3">
      <c r="A33">
        <v>238</v>
      </c>
      <c r="B33">
        <v>2024</v>
      </c>
      <c r="C33" t="s">
        <v>80</v>
      </c>
      <c r="D33">
        <v>10.33333333333333</v>
      </c>
      <c r="E33">
        <v>13.933106764139801</v>
      </c>
      <c r="F33">
        <v>-3.5997734308064668</v>
      </c>
      <c r="G33">
        <v>0.49449611097814422</v>
      </c>
      <c r="H33">
        <v>-0.1217942850339272</v>
      </c>
      <c r="I33">
        <v>7.0287030309360274E-2</v>
      </c>
      <c r="J33">
        <v>0.4242734641086312</v>
      </c>
      <c r="K33">
        <v>0.30213081591089108</v>
      </c>
      <c r="L33">
        <v>0.62275775585523652</v>
      </c>
      <c r="M33">
        <v>-1.3345139972376769</v>
      </c>
      <c r="N33">
        <v>-4.7325782158672558E-2</v>
      </c>
      <c r="O33">
        <v>-5.5394991207122109E-2</v>
      </c>
      <c r="P33">
        <v>0.32899185231641692</v>
      </c>
      <c r="Q33">
        <v>-0.52486557418804092</v>
      </c>
      <c r="R33">
        <v>0.49449611097814422</v>
      </c>
      <c r="S33">
        <v>9.2051621882940804</v>
      </c>
      <c r="T33">
        <v>0.1086075550332026</v>
      </c>
      <c r="U33">
        <v>9.0965546332608778</v>
      </c>
      <c r="V33">
        <v>-0.1217942850339272</v>
      </c>
      <c r="W33">
        <v>4.6722959822409997</v>
      </c>
      <c r="X33">
        <v>0.1099156368821657</v>
      </c>
      <c r="Y33">
        <v>4.5623803453588341</v>
      </c>
      <c r="Z33">
        <v>7.0287030309360274E-2</v>
      </c>
      <c r="AA33">
        <v>-0.4242734641086312</v>
      </c>
      <c r="AB33">
        <v>-0.36105429762281449</v>
      </c>
      <c r="AC33">
        <v>-0.24320733419896781</v>
      </c>
      <c r="AD33">
        <v>0.95205097178832654</v>
      </c>
      <c r="AE33">
        <v>1.373758739431078</v>
      </c>
      <c r="AF33">
        <v>-2.4672104701054909E-2</v>
      </c>
      <c r="AG33">
        <v>0.34707884592201532</v>
      </c>
      <c r="AH33">
        <v>0.53889139076883941</v>
      </c>
      <c r="AI33">
        <v>0.54943869192221539</v>
      </c>
      <c r="AJ33">
        <v>-0.37254712309629101</v>
      </c>
      <c r="AK33">
        <v>-1.181228970385594</v>
      </c>
      <c r="AL33">
        <v>-2.449765898231147</v>
      </c>
      <c r="AM33">
        <v>4.7325782158672558E-2</v>
      </c>
      <c r="AN33">
        <v>-5.5394991207122109E-2</v>
      </c>
      <c r="AO33">
        <v>0.24711873077260271</v>
      </c>
      <c r="AP33">
        <v>0.41086497386023102</v>
      </c>
      <c r="AQ33">
        <v>-0.52486557418804092</v>
      </c>
    </row>
    <row r="34" spans="1:43" x14ac:dyDescent="0.3">
      <c r="A34">
        <v>243</v>
      </c>
      <c r="B34">
        <v>2024</v>
      </c>
      <c r="C34" t="s">
        <v>81</v>
      </c>
      <c r="D34">
        <v>10.33333333333333</v>
      </c>
      <c r="E34">
        <v>12.1383528830348</v>
      </c>
      <c r="F34">
        <v>-1.8050195497014729</v>
      </c>
      <c r="G34">
        <v>0.16001499651575321</v>
      </c>
      <c r="H34">
        <v>1.7825509715339419E-2</v>
      </c>
      <c r="I34">
        <v>0.48029715341876639</v>
      </c>
      <c r="J34">
        <v>-4.041502873313136E-2</v>
      </c>
      <c r="K34">
        <v>0.30213081591089108</v>
      </c>
      <c r="L34">
        <v>-5.8754813725127621E-2</v>
      </c>
      <c r="M34">
        <v>-0.87019957776203827</v>
      </c>
      <c r="N34">
        <v>-2.0626899240425961E-2</v>
      </c>
      <c r="O34">
        <v>-0.20130679700394069</v>
      </c>
      <c r="P34">
        <v>0.15348970236495191</v>
      </c>
      <c r="Q34">
        <v>-0.52486557418804092</v>
      </c>
      <c r="R34">
        <v>0.16001499651575321</v>
      </c>
      <c r="S34">
        <v>9.2051621882940804</v>
      </c>
      <c r="T34">
        <v>0.1086075550332026</v>
      </c>
      <c r="U34">
        <v>9.0965546332608778</v>
      </c>
      <c r="V34">
        <v>1.7825509715339419E-2</v>
      </c>
      <c r="W34">
        <v>4.6722959822409997</v>
      </c>
      <c r="X34">
        <v>0.1099156368821657</v>
      </c>
      <c r="Y34">
        <v>4.5623803453588341</v>
      </c>
      <c r="Z34">
        <v>0.48029715341876639</v>
      </c>
      <c r="AA34">
        <v>4.041502873313136E-2</v>
      </c>
      <c r="AB34">
        <v>-0.36105429762281449</v>
      </c>
      <c r="AC34">
        <v>-0.24320733419896781</v>
      </c>
      <c r="AD34">
        <v>6.7856232380663406E-2</v>
      </c>
      <c r="AE34">
        <v>0.66822245465439645</v>
      </c>
      <c r="AF34">
        <v>-0.26618913523616539</v>
      </c>
      <c r="AG34">
        <v>-8.5933800240308972E-2</v>
      </c>
      <c r="AH34">
        <v>-0.32241567923844261</v>
      </c>
      <c r="AI34">
        <v>-0.41406895467090848</v>
      </c>
      <c r="AJ34">
        <v>-0.23664638013919501</v>
      </c>
      <c r="AK34">
        <v>-1.074720298276381</v>
      </c>
      <c r="AL34">
        <v>-1.2992320548705381</v>
      </c>
      <c r="AM34">
        <v>2.0626899240425961E-2</v>
      </c>
      <c r="AN34">
        <v>-0.20130679700394069</v>
      </c>
      <c r="AO34">
        <v>6.8740919098215142E-2</v>
      </c>
      <c r="AP34">
        <v>0.23823848563168851</v>
      </c>
      <c r="AQ34">
        <v>-0.52486557418804092</v>
      </c>
    </row>
    <row r="35" spans="1:43" x14ac:dyDescent="0.3">
      <c r="A35">
        <v>248</v>
      </c>
      <c r="B35">
        <v>2024</v>
      </c>
      <c r="C35" t="s">
        <v>83</v>
      </c>
      <c r="D35">
        <v>5.6666666666666679</v>
      </c>
      <c r="E35">
        <v>7.9583795905500727</v>
      </c>
      <c r="F35">
        <v>-2.2917129238834049</v>
      </c>
      <c r="G35">
        <v>-0.2273250484631032</v>
      </c>
      <c r="H35">
        <v>1.8089318065123969E-2</v>
      </c>
      <c r="I35">
        <v>-0.63787655150669398</v>
      </c>
      <c r="J35">
        <v>0.60054448502196023</v>
      </c>
      <c r="K35">
        <v>-2.9016100375394962</v>
      </c>
      <c r="L35">
        <v>-0.82496176829785572</v>
      </c>
      <c r="M35">
        <v>0.41688477153766301</v>
      </c>
      <c r="N35">
        <v>0.1193408137066362</v>
      </c>
      <c r="O35">
        <v>0.47399435027832221</v>
      </c>
      <c r="P35">
        <v>-0.56253625935662721</v>
      </c>
      <c r="Q35">
        <v>-0.52486557418804092</v>
      </c>
      <c r="R35">
        <v>-0.2273250484631032</v>
      </c>
      <c r="S35">
        <v>9.2051621882940804</v>
      </c>
      <c r="T35">
        <v>0.1086075550332026</v>
      </c>
      <c r="U35">
        <v>9.0965546332608778</v>
      </c>
      <c r="V35">
        <v>1.8089318065123969E-2</v>
      </c>
      <c r="W35">
        <v>4.6722959822409997</v>
      </c>
      <c r="X35">
        <v>0.1099156368821657</v>
      </c>
      <c r="Y35">
        <v>4.5623803453588341</v>
      </c>
      <c r="Z35">
        <v>-0.63787655150669398</v>
      </c>
      <c r="AA35">
        <v>-0.60054448502196023</v>
      </c>
      <c r="AB35">
        <v>2.7696665199223802</v>
      </c>
      <c r="AC35">
        <v>3.0335535551566122</v>
      </c>
      <c r="AD35">
        <v>-0.26635686130521108</v>
      </c>
      <c r="AE35">
        <v>-0.90867425802207236</v>
      </c>
      <c r="AF35">
        <v>-0.60102833089467367</v>
      </c>
      <c r="AG35">
        <v>-1.0730858530437799</v>
      </c>
      <c r="AH35">
        <v>-1.1662272001042711</v>
      </c>
      <c r="AI35">
        <v>-0.93439810641712662</v>
      </c>
      <c r="AJ35">
        <v>0.16438987092892221</v>
      </c>
      <c r="AK35">
        <v>0.60978323938891132</v>
      </c>
      <c r="AL35">
        <v>0.47648120429515528</v>
      </c>
      <c r="AM35">
        <v>-0.1193408137066362</v>
      </c>
      <c r="AN35">
        <v>0.47399435027832221</v>
      </c>
      <c r="AO35">
        <v>-0.64290425229112347</v>
      </c>
      <c r="AP35">
        <v>-0.48216826642213112</v>
      </c>
      <c r="AQ35">
        <v>-0.52486557418804092</v>
      </c>
    </row>
    <row r="36" spans="1:43" x14ac:dyDescent="0.3">
      <c r="A36">
        <v>253</v>
      </c>
      <c r="B36">
        <v>2024</v>
      </c>
      <c r="C36" t="s">
        <v>84</v>
      </c>
      <c r="D36">
        <v>6.6666666666666679</v>
      </c>
      <c r="E36">
        <v>5.3411467228514242</v>
      </c>
      <c r="F36">
        <v>1.3255199438152441</v>
      </c>
      <c r="G36">
        <v>-0.39336162312118528</v>
      </c>
      <c r="H36">
        <v>-0.63955364248356028</v>
      </c>
      <c r="I36">
        <v>-0.2169514533384708</v>
      </c>
      <c r="J36">
        <v>0.43400376183195599</v>
      </c>
      <c r="K36">
        <v>-3.5248968317784541</v>
      </c>
      <c r="L36">
        <v>-0.62679651864956953</v>
      </c>
      <c r="M36">
        <v>-0.55562188265930124</v>
      </c>
      <c r="N36">
        <v>-0.818592887979115</v>
      </c>
      <c r="O36">
        <v>-0.1230751038923887</v>
      </c>
      <c r="P36">
        <v>-8.1926369434669466E-2</v>
      </c>
      <c r="Q36">
        <v>-0.52486557418804092</v>
      </c>
      <c r="R36">
        <v>-0.39336162312118528</v>
      </c>
      <c r="S36">
        <v>9.2051621882940804</v>
      </c>
      <c r="T36">
        <v>0.1086075550332026</v>
      </c>
      <c r="U36">
        <v>9.0965546332608778</v>
      </c>
      <c r="V36">
        <v>-0.63955364248356028</v>
      </c>
      <c r="W36">
        <v>4.6722959822409997</v>
      </c>
      <c r="X36">
        <v>0.1099156368821657</v>
      </c>
      <c r="Y36">
        <v>4.5623803453588341</v>
      </c>
      <c r="Z36">
        <v>-0.2169514533384708</v>
      </c>
      <c r="AA36">
        <v>-0.43400376183195599</v>
      </c>
      <c r="AB36">
        <v>2.7696665199223802</v>
      </c>
      <c r="AC36">
        <v>4.2801271436345276</v>
      </c>
      <c r="AD36">
        <v>-1.011926018262759</v>
      </c>
      <c r="AE36">
        <v>-3.3575046404343313E-2</v>
      </c>
      <c r="AF36">
        <v>-0.55957141013893064</v>
      </c>
      <c r="AG36">
        <v>-0.52943356175828693</v>
      </c>
      <c r="AH36">
        <v>-0.89492437713305562</v>
      </c>
      <c r="AI36">
        <v>-0.73134869820004189</v>
      </c>
      <c r="AJ36">
        <v>-0.5118810952226881</v>
      </c>
      <c r="AK36">
        <v>-0.21390582516443779</v>
      </c>
      <c r="AL36">
        <v>-0.94107872759077782</v>
      </c>
      <c r="AM36">
        <v>0.818592887979115</v>
      </c>
      <c r="AN36">
        <v>-0.1230751038923887</v>
      </c>
      <c r="AO36">
        <v>1.95673931220832E-2</v>
      </c>
      <c r="AP36">
        <v>-0.1834201319914221</v>
      </c>
      <c r="AQ36">
        <v>-0.52486557418804092</v>
      </c>
    </row>
    <row r="37" spans="1:43" x14ac:dyDescent="0.3">
      <c r="A37">
        <v>258</v>
      </c>
      <c r="B37">
        <v>2024</v>
      </c>
      <c r="C37" t="s">
        <v>86</v>
      </c>
      <c r="D37">
        <v>11.33333333333333</v>
      </c>
      <c r="E37">
        <v>10.881283771797809</v>
      </c>
      <c r="F37">
        <v>0.45204956153551912</v>
      </c>
      <c r="G37">
        <v>-0.3193269286489871</v>
      </c>
      <c r="H37">
        <v>-3.2356529866884108E-2</v>
      </c>
      <c r="I37">
        <v>0.18493792832717521</v>
      </c>
      <c r="J37">
        <v>3.5347740402795827E-2</v>
      </c>
      <c r="K37">
        <v>0.30213081591089108</v>
      </c>
      <c r="L37">
        <v>-0.88361184137446858</v>
      </c>
      <c r="M37">
        <v>-0.60342411466639889</v>
      </c>
      <c r="N37">
        <v>0.88146751111906285</v>
      </c>
      <c r="O37">
        <v>0.4729857433258095</v>
      </c>
      <c r="P37">
        <v>0.54389060528377164</v>
      </c>
      <c r="Q37">
        <v>-0.52486557418804092</v>
      </c>
      <c r="R37">
        <v>-0.3193269286489871</v>
      </c>
      <c r="S37">
        <v>9.2051621882940804</v>
      </c>
      <c r="T37">
        <v>0.1086075550332026</v>
      </c>
      <c r="U37">
        <v>9.0965546332608778</v>
      </c>
      <c r="V37">
        <v>-3.2356529866884108E-2</v>
      </c>
      <c r="W37">
        <v>4.6722959822409997</v>
      </c>
      <c r="X37">
        <v>0.1099156368821657</v>
      </c>
      <c r="Y37">
        <v>4.5623803453588341</v>
      </c>
      <c r="Z37">
        <v>0.18493792832717521</v>
      </c>
      <c r="AA37">
        <v>-3.5347740402795827E-2</v>
      </c>
      <c r="AB37">
        <v>-0.36105429762281449</v>
      </c>
      <c r="AC37">
        <v>-0.24320733419896781</v>
      </c>
      <c r="AD37">
        <v>-0.6653075040385249</v>
      </c>
      <c r="AE37">
        <v>-0.29337659281682099</v>
      </c>
      <c r="AF37">
        <v>-1.385899225131189</v>
      </c>
      <c r="AG37">
        <v>-0.68342534614770434</v>
      </c>
      <c r="AH37">
        <v>-1.1632487526441451</v>
      </c>
      <c r="AI37">
        <v>-1.1104136274684271</v>
      </c>
      <c r="AJ37">
        <v>0.1174273055035861</v>
      </c>
      <c r="AK37">
        <v>-1.4015063944999211</v>
      </c>
      <c r="AL37">
        <v>-0.52619325500286174</v>
      </c>
      <c r="AM37">
        <v>-0.88146751111906285</v>
      </c>
      <c r="AN37">
        <v>0.4729857433258095</v>
      </c>
      <c r="AO37">
        <v>0.48221794977235821</v>
      </c>
      <c r="AP37">
        <v>0.60556326079518508</v>
      </c>
      <c r="AQ37">
        <v>-0.52486557418804092</v>
      </c>
    </row>
    <row r="38" spans="1:43" x14ac:dyDescent="0.3">
      <c r="A38">
        <v>268</v>
      </c>
      <c r="B38">
        <v>2024</v>
      </c>
      <c r="C38" t="s">
        <v>87</v>
      </c>
      <c r="D38">
        <v>9.5</v>
      </c>
      <c r="E38">
        <v>8.6265754207006715</v>
      </c>
      <c r="F38">
        <v>0.87342457929932849</v>
      </c>
      <c r="G38">
        <v>-0.75267485772982123</v>
      </c>
      <c r="H38">
        <v>-0.61455564135395269</v>
      </c>
      <c r="I38">
        <v>8.9448704788081656E-3</v>
      </c>
      <c r="J38">
        <v>-5.8788120316585722E-2</v>
      </c>
      <c r="K38">
        <v>0.30213081591089108</v>
      </c>
      <c r="L38">
        <v>-1.083916887980775</v>
      </c>
      <c r="M38">
        <v>0.118741555485103</v>
      </c>
      <c r="N38">
        <v>0.30495500390102309</v>
      </c>
      <c r="O38">
        <v>-0.30293041289876488</v>
      </c>
      <c r="P38">
        <v>0.43484384620836197</v>
      </c>
      <c r="Q38">
        <v>-0.52486557418804092</v>
      </c>
      <c r="R38">
        <v>-0.75267485772982123</v>
      </c>
      <c r="S38">
        <v>9.2051621882940804</v>
      </c>
      <c r="T38">
        <v>0.1086075550332026</v>
      </c>
      <c r="U38">
        <v>9.0965546332608778</v>
      </c>
      <c r="V38">
        <v>-0.61455564135395269</v>
      </c>
      <c r="W38">
        <v>4.6722959822409997</v>
      </c>
      <c r="X38">
        <v>0.1099156368821657</v>
      </c>
      <c r="Y38">
        <v>4.5623803453588341</v>
      </c>
      <c r="Z38">
        <v>8.9448704788081656E-3</v>
      </c>
      <c r="AA38">
        <v>5.8788120316585722E-2</v>
      </c>
      <c r="AB38">
        <v>-0.36105429762281449</v>
      </c>
      <c r="AC38">
        <v>-0.24320733419896781</v>
      </c>
      <c r="AD38">
        <v>-0.86475445519372995</v>
      </c>
      <c r="AE38">
        <v>-0.72344020779552332</v>
      </c>
      <c r="AF38">
        <v>-1.056254519172952</v>
      </c>
      <c r="AG38">
        <v>-1.051814468126695</v>
      </c>
      <c r="AH38">
        <v>-1.394506926231089</v>
      </c>
      <c r="AI38">
        <v>-1.412730751364663</v>
      </c>
      <c r="AJ38">
        <v>0.28768540022062611</v>
      </c>
      <c r="AK38">
        <v>-0.40077038157603001</v>
      </c>
      <c r="AL38">
        <v>0.46930964781071288</v>
      </c>
      <c r="AM38">
        <v>-0.30495500390102309</v>
      </c>
      <c r="AN38">
        <v>-0.30293041289876488</v>
      </c>
      <c r="AO38">
        <v>0.51000530139212152</v>
      </c>
      <c r="AP38">
        <v>0.35968239102460242</v>
      </c>
      <c r="AQ38">
        <v>-0.52486557418804092</v>
      </c>
    </row>
    <row r="39" spans="1:43" x14ac:dyDescent="0.3">
      <c r="A39">
        <v>273</v>
      </c>
      <c r="B39">
        <v>2024</v>
      </c>
      <c r="C39" t="s">
        <v>89</v>
      </c>
      <c r="D39">
        <v>13.66666666666667</v>
      </c>
      <c r="E39">
        <v>12.304039347727491</v>
      </c>
      <c r="F39">
        <v>1.3626273189391771</v>
      </c>
      <c r="G39">
        <v>0.30889164886271819</v>
      </c>
      <c r="H39">
        <v>1.4276722868706819</v>
      </c>
      <c r="I39">
        <v>-0.81827925927882328</v>
      </c>
      <c r="J39">
        <v>7.6062358719609799E-2</v>
      </c>
      <c r="K39">
        <v>0.30213081591089108</v>
      </c>
      <c r="L39">
        <v>-0.84145676617463294</v>
      </c>
      <c r="M39">
        <v>-0.77149802468865059</v>
      </c>
      <c r="N39">
        <v>-7.2635665831141116E-3</v>
      </c>
      <c r="O39">
        <v>0.14220145547678301</v>
      </c>
      <c r="P39">
        <v>4.792963810900791E-2</v>
      </c>
      <c r="Q39">
        <v>-0.52486557418804092</v>
      </c>
      <c r="R39">
        <v>0.30889164886271819</v>
      </c>
      <c r="S39">
        <v>9.2051621882940804</v>
      </c>
      <c r="T39">
        <v>0.1086075550332026</v>
      </c>
      <c r="U39">
        <v>9.0965546332608778</v>
      </c>
      <c r="V39">
        <v>1.4276722868706819</v>
      </c>
      <c r="W39">
        <v>4.6722959822409997</v>
      </c>
      <c r="X39">
        <v>0.1099156368821657</v>
      </c>
      <c r="Y39">
        <v>4.5623803453588341</v>
      </c>
      <c r="Z39">
        <v>-0.81827925927882328</v>
      </c>
      <c r="AA39">
        <v>-7.6062358719609799E-2</v>
      </c>
      <c r="AB39">
        <v>-0.36105429762281449</v>
      </c>
      <c r="AC39">
        <v>-0.24320733419896781</v>
      </c>
      <c r="AD39">
        <v>-0.52076564133869685</v>
      </c>
      <c r="AE39">
        <v>-0.90189101894320656</v>
      </c>
      <c r="AF39">
        <v>-0.60139245722634638</v>
      </c>
      <c r="AG39">
        <v>-0.55203346878602721</v>
      </c>
      <c r="AH39">
        <v>-1.3697792366589501</v>
      </c>
      <c r="AI39">
        <v>-1.1028787740945709</v>
      </c>
      <c r="AJ39">
        <v>-0.27995017579286668</v>
      </c>
      <c r="AK39">
        <v>-0.39689283890435451</v>
      </c>
      <c r="AL39">
        <v>-1.637651059368731</v>
      </c>
      <c r="AM39">
        <v>7.2635665831141116E-3</v>
      </c>
      <c r="AN39">
        <v>0.14220145547678301</v>
      </c>
      <c r="AO39">
        <v>8.5990349834312002E-2</v>
      </c>
      <c r="AP39">
        <v>9.8689263837038223E-3</v>
      </c>
      <c r="AQ39">
        <v>-0.52486557418804092</v>
      </c>
    </row>
    <row r="40" spans="1:43" x14ac:dyDescent="0.3">
      <c r="A40">
        <v>278</v>
      </c>
      <c r="B40">
        <v>2024</v>
      </c>
      <c r="C40" t="s">
        <v>90</v>
      </c>
      <c r="D40">
        <v>8.3333333333333339</v>
      </c>
      <c r="E40">
        <v>6.1638915880022864</v>
      </c>
      <c r="F40">
        <v>2.1694417453310471</v>
      </c>
      <c r="G40">
        <v>-0.90661854680043352</v>
      </c>
      <c r="H40">
        <v>-0.9451021760439563</v>
      </c>
      <c r="I40">
        <v>7.0238348684563707E-3</v>
      </c>
      <c r="J40">
        <v>-0.14762001482599801</v>
      </c>
      <c r="K40">
        <v>-1.5000019768017181</v>
      </c>
      <c r="L40">
        <v>-1.440928388212793</v>
      </c>
      <c r="M40">
        <v>0.2366750245539222</v>
      </c>
      <c r="N40">
        <v>0.52507493039557906</v>
      </c>
      <c r="O40">
        <v>0.61795359646194326</v>
      </c>
      <c r="P40">
        <v>0.58976405347724581</v>
      </c>
      <c r="Q40">
        <v>-0.52486557418804092</v>
      </c>
      <c r="R40">
        <v>-0.90661854680043352</v>
      </c>
      <c r="S40">
        <v>9.2051621882940804</v>
      </c>
      <c r="T40">
        <v>0.1086075550332026</v>
      </c>
      <c r="U40">
        <v>9.0965546332608778</v>
      </c>
      <c r="V40">
        <v>-0.9451021760439563</v>
      </c>
      <c r="W40">
        <v>4.6722959822409997</v>
      </c>
      <c r="X40">
        <v>0.1099156368821657</v>
      </c>
      <c r="Y40">
        <v>4.5623803453588341</v>
      </c>
      <c r="Z40">
        <v>7.0238348684563707E-3</v>
      </c>
      <c r="AA40">
        <v>0.14762001482599801</v>
      </c>
      <c r="AB40">
        <v>2.7696665199223802</v>
      </c>
      <c r="AC40">
        <v>0.23033743368105569</v>
      </c>
      <c r="AD40">
        <v>-2.023821626387575</v>
      </c>
      <c r="AE40">
        <v>-0.1244983675964712</v>
      </c>
      <c r="AF40">
        <v>-1.5493088817328959</v>
      </c>
      <c r="AG40">
        <v>-1.471531487004051</v>
      </c>
      <c r="AH40">
        <v>-1.871939226175789</v>
      </c>
      <c r="AI40">
        <v>-1.6044707403799749</v>
      </c>
      <c r="AJ40">
        <v>0.57815663599707734</v>
      </c>
      <c r="AK40">
        <v>1.429168610905608E-2</v>
      </c>
      <c r="AL40">
        <v>0.1175767515556333</v>
      </c>
      <c r="AM40">
        <v>-0.52507493039557906</v>
      </c>
      <c r="AN40">
        <v>0.61795359646194326</v>
      </c>
      <c r="AO40">
        <v>0.74879009811792197</v>
      </c>
      <c r="AP40">
        <v>0.4307380088365696</v>
      </c>
      <c r="AQ40">
        <v>-0.52486557418804092</v>
      </c>
    </row>
    <row r="41" spans="1:43" x14ac:dyDescent="0.3">
      <c r="A41">
        <v>283</v>
      </c>
      <c r="B41">
        <v>2024</v>
      </c>
      <c r="C41" t="s">
        <v>92</v>
      </c>
      <c r="D41">
        <v>12.66666666666667</v>
      </c>
      <c r="E41">
        <v>11.928681225740601</v>
      </c>
      <c r="F41">
        <v>0.7379854409260691</v>
      </c>
      <c r="G41">
        <v>0.54699210685855526</v>
      </c>
      <c r="H41">
        <v>-0.17257378513523669</v>
      </c>
      <c r="I41">
        <v>0.21606743719492161</v>
      </c>
      <c r="J41">
        <v>0.61458664016777798</v>
      </c>
      <c r="K41">
        <v>0.30213081591089108</v>
      </c>
      <c r="L41">
        <v>-0.165712710474023</v>
      </c>
      <c r="M41">
        <v>-0.84842296845961329</v>
      </c>
      <c r="N41">
        <v>1.857406204744716E-2</v>
      </c>
      <c r="O41">
        <v>-3.3709941728101843E-2</v>
      </c>
      <c r="P41">
        <v>-0.15358323479659849</v>
      </c>
      <c r="Q41">
        <v>-0.52486557418804092</v>
      </c>
      <c r="R41">
        <v>0.54699210685855526</v>
      </c>
      <c r="S41">
        <v>9.2051621882940804</v>
      </c>
      <c r="T41">
        <v>0.1086075550332026</v>
      </c>
      <c r="U41">
        <v>9.0965546332608778</v>
      </c>
      <c r="V41">
        <v>-0.17257378513523669</v>
      </c>
      <c r="W41">
        <v>4.6722959822409997</v>
      </c>
      <c r="X41">
        <v>0.1099156368821657</v>
      </c>
      <c r="Y41">
        <v>4.5623803453588341</v>
      </c>
      <c r="Z41">
        <v>0.21606743719492161</v>
      </c>
      <c r="AA41">
        <v>-0.61458664016777798</v>
      </c>
      <c r="AB41">
        <v>-0.36105429762281449</v>
      </c>
      <c r="AC41">
        <v>-0.24320733419896781</v>
      </c>
      <c r="AD41">
        <v>0.32968709619477382</v>
      </c>
      <c r="AE41">
        <v>0.27754663132540791</v>
      </c>
      <c r="AF41">
        <v>-7.2180349931286358E-2</v>
      </c>
      <c r="AG41">
        <v>-0.41098697034169229</v>
      </c>
      <c r="AH41">
        <v>-0.40990959458447468</v>
      </c>
      <c r="AI41">
        <v>-0.70843307550686641</v>
      </c>
      <c r="AJ41">
        <v>-0.35014342326157882</v>
      </c>
      <c r="AK41">
        <v>-1.1280983856928499</v>
      </c>
      <c r="AL41">
        <v>-1.067027096424412</v>
      </c>
      <c r="AM41">
        <v>-1.857406204744716E-2</v>
      </c>
      <c r="AN41">
        <v>-3.3709941728101843E-2</v>
      </c>
      <c r="AO41">
        <v>-0.17454675762957811</v>
      </c>
      <c r="AP41">
        <v>-0.13261971196361891</v>
      </c>
      <c r="AQ41">
        <v>-0.52486557418804092</v>
      </c>
    </row>
    <row r="42" spans="1:43" x14ac:dyDescent="0.3">
      <c r="A42">
        <v>288</v>
      </c>
      <c r="B42">
        <v>2024</v>
      </c>
      <c r="C42" t="s">
        <v>93</v>
      </c>
      <c r="D42">
        <v>12.33333333333333</v>
      </c>
      <c r="E42">
        <v>10.29635398116976</v>
      </c>
      <c r="F42">
        <v>2.0369793521635748</v>
      </c>
      <c r="G42">
        <v>-0.28234126414432842</v>
      </c>
      <c r="H42">
        <v>-0.5201219927758165</v>
      </c>
      <c r="I42">
        <v>-0.27689649636149438</v>
      </c>
      <c r="J42">
        <v>5.5743207591490269E-2</v>
      </c>
      <c r="K42">
        <v>0.30213081591089108</v>
      </c>
      <c r="L42">
        <v>-0.60531441946583897</v>
      </c>
      <c r="M42">
        <v>-0.395174650737183</v>
      </c>
      <c r="N42">
        <v>0.36902120994626419</v>
      </c>
      <c r="O42">
        <v>3.8431317093278072E-2</v>
      </c>
      <c r="P42">
        <v>0.46806904514467962</v>
      </c>
      <c r="Q42">
        <v>-0.52486557418804092</v>
      </c>
      <c r="R42">
        <v>-0.28234126414432842</v>
      </c>
      <c r="S42">
        <v>9.2051621882940804</v>
      </c>
      <c r="T42">
        <v>0.1086075550332026</v>
      </c>
      <c r="U42">
        <v>9.0965546332608778</v>
      </c>
      <c r="V42">
        <v>-0.5201219927758165</v>
      </c>
      <c r="W42">
        <v>4.6722959822409997</v>
      </c>
      <c r="X42">
        <v>0.1099156368821657</v>
      </c>
      <c r="Y42">
        <v>4.5623803453588341</v>
      </c>
      <c r="Z42">
        <v>-0.27689649636149438</v>
      </c>
      <c r="AA42">
        <v>-5.5743207591490269E-2</v>
      </c>
      <c r="AB42">
        <v>-0.36105429762281449</v>
      </c>
      <c r="AC42">
        <v>-0.24320733419896781</v>
      </c>
      <c r="AD42">
        <v>-0.31506305855833427</v>
      </c>
      <c r="AE42">
        <v>-0.1298051059923907</v>
      </c>
      <c r="AF42">
        <v>-0.75452692390615916</v>
      </c>
      <c r="AG42">
        <v>-0.48890265308385661</v>
      </c>
      <c r="AH42">
        <v>-0.75503113041198167</v>
      </c>
      <c r="AI42">
        <v>-1.188557644842311</v>
      </c>
      <c r="AJ42">
        <v>-4.2330621170115573E-2</v>
      </c>
      <c r="AK42">
        <v>-0.86863303032222816</v>
      </c>
      <c r="AL42">
        <v>-0.27456030071920529</v>
      </c>
      <c r="AM42">
        <v>-0.36902120994626419</v>
      </c>
      <c r="AN42">
        <v>3.8431317093278072E-2</v>
      </c>
      <c r="AO42">
        <v>0.51023322970906482</v>
      </c>
      <c r="AP42">
        <v>0.42590486058029442</v>
      </c>
      <c r="AQ42">
        <v>-0.52486557418804092</v>
      </c>
    </row>
    <row r="43" spans="1:43" x14ac:dyDescent="0.3">
      <c r="A43">
        <v>293</v>
      </c>
      <c r="B43">
        <v>2024</v>
      </c>
      <c r="C43" t="s">
        <v>94</v>
      </c>
      <c r="D43">
        <v>14</v>
      </c>
      <c r="E43">
        <v>12.67138894710873</v>
      </c>
      <c r="F43">
        <v>1.3286110528912669</v>
      </c>
      <c r="G43">
        <v>-5.9598364125066902E-2</v>
      </c>
      <c r="H43">
        <v>0.46703898730304672</v>
      </c>
      <c r="I43">
        <v>-0.55160458864180351</v>
      </c>
      <c r="J43">
        <v>0.26731040652080151</v>
      </c>
      <c r="K43">
        <v>0.30213081591089108</v>
      </c>
      <c r="L43">
        <v>-0.54809909546631219</v>
      </c>
      <c r="M43">
        <v>-0.28234501953226121</v>
      </c>
      <c r="N43">
        <v>0.71952392263783516</v>
      </c>
      <c r="O43">
        <v>0.1017537305093557</v>
      </c>
      <c r="P43">
        <v>0.77963680175181849</v>
      </c>
      <c r="Q43">
        <v>-0.52486557418804092</v>
      </c>
      <c r="R43">
        <v>-5.9598364125066902E-2</v>
      </c>
      <c r="S43">
        <v>9.2051621882940804</v>
      </c>
      <c r="T43">
        <v>0.1086075550332026</v>
      </c>
      <c r="U43">
        <v>9.0965546332608778</v>
      </c>
      <c r="V43">
        <v>0.46703898730304672</v>
      </c>
      <c r="W43">
        <v>4.6722959822409997</v>
      </c>
      <c r="X43">
        <v>0.1099156368821657</v>
      </c>
      <c r="Y43">
        <v>4.5623803453588341</v>
      </c>
      <c r="Z43">
        <v>-0.55160458864180351</v>
      </c>
      <c r="AA43">
        <v>-0.26731040652080151</v>
      </c>
      <c r="AB43">
        <v>-0.36105429762281449</v>
      </c>
      <c r="AC43">
        <v>-0.24320733419896781</v>
      </c>
      <c r="AD43">
        <v>-0.1019012924900638</v>
      </c>
      <c r="AE43">
        <v>-0.82844864756457581</v>
      </c>
      <c r="AF43">
        <v>-0.57918075099430122</v>
      </c>
      <c r="AG43">
        <v>-0.22990096609240371</v>
      </c>
      <c r="AH43">
        <v>-0.67115382426925063</v>
      </c>
      <c r="AI43">
        <v>-0.87800909138727801</v>
      </c>
      <c r="AJ43">
        <v>2.2274231373382958E-2</v>
      </c>
      <c r="AK43">
        <v>-0.88067816287679446</v>
      </c>
      <c r="AL43">
        <v>1.1368872906628051E-2</v>
      </c>
      <c r="AM43">
        <v>-0.71952392263783516</v>
      </c>
      <c r="AN43">
        <v>0.1017537305093557</v>
      </c>
      <c r="AO43">
        <v>0.6056155531129801</v>
      </c>
      <c r="AP43">
        <v>0.95365805039065676</v>
      </c>
      <c r="AQ43">
        <v>-0.52486557418804092</v>
      </c>
    </row>
    <row r="44" spans="1:43" x14ac:dyDescent="0.3">
      <c r="A44">
        <v>298</v>
      </c>
      <c r="B44">
        <v>2024</v>
      </c>
      <c r="C44" t="s">
        <v>96</v>
      </c>
      <c r="D44">
        <v>14.66666666666667</v>
      </c>
      <c r="E44">
        <v>13.702080252912509</v>
      </c>
      <c r="F44">
        <v>0.96458641375416398</v>
      </c>
      <c r="G44">
        <v>0.69114495176532165</v>
      </c>
      <c r="H44">
        <v>-0.2072589706570559</v>
      </c>
      <c r="I44">
        <v>-0.63158952587281536</v>
      </c>
      <c r="J44">
        <v>-0.34833125413850152</v>
      </c>
      <c r="K44">
        <v>-1.3689834382906669</v>
      </c>
      <c r="L44">
        <v>0.97591836625735551</v>
      </c>
      <c r="M44">
        <v>-7.6325979359097851E-2</v>
      </c>
      <c r="N44">
        <v>-0.29558927618307618</v>
      </c>
      <c r="O44">
        <v>-7.9071392874436472E-2</v>
      </c>
      <c r="P44">
        <v>0.63138899014711425</v>
      </c>
      <c r="Q44">
        <v>-0.52486557418804092</v>
      </c>
      <c r="R44">
        <v>0.69114495176532165</v>
      </c>
      <c r="S44">
        <v>9.2051621882940804</v>
      </c>
      <c r="T44">
        <v>0.1086075550332026</v>
      </c>
      <c r="U44">
        <v>9.0965546332608778</v>
      </c>
      <c r="V44">
        <v>-0.2072589706570559</v>
      </c>
      <c r="W44">
        <v>4.6722959822409997</v>
      </c>
      <c r="X44">
        <v>0.1099156368821657</v>
      </c>
      <c r="Y44">
        <v>4.5623803453588341</v>
      </c>
      <c r="Z44">
        <v>-0.63158952587281536</v>
      </c>
      <c r="AA44">
        <v>0.34833125413850152</v>
      </c>
      <c r="AB44">
        <v>2.7696665199223802</v>
      </c>
      <c r="AC44">
        <v>-3.1699643341045733E-2</v>
      </c>
      <c r="AD44">
        <v>1.18810749849833</v>
      </c>
      <c r="AE44">
        <v>1.4968413766392941</v>
      </c>
      <c r="AF44">
        <v>0.43456174901519812</v>
      </c>
      <c r="AG44">
        <v>0.42225770374170629</v>
      </c>
      <c r="AH44">
        <v>0.8987445454852625</v>
      </c>
      <c r="AI44">
        <v>1.4149973241643421</v>
      </c>
      <c r="AJ44">
        <v>-7.4181966237139074E-2</v>
      </c>
      <c r="AK44">
        <v>-0.1220823146628475</v>
      </c>
      <c r="AL44">
        <v>-3.2713657177306989E-2</v>
      </c>
      <c r="AM44">
        <v>0.29558927618307618</v>
      </c>
      <c r="AN44">
        <v>-7.9071392874436472E-2</v>
      </c>
      <c r="AO44">
        <v>0.47087671033814799</v>
      </c>
      <c r="AP44">
        <v>0.79190126995608046</v>
      </c>
      <c r="AQ44">
        <v>-0.52486557418804092</v>
      </c>
    </row>
    <row r="45" spans="1:43" x14ac:dyDescent="0.3">
      <c r="A45">
        <v>299</v>
      </c>
      <c r="B45">
        <v>2024</v>
      </c>
      <c r="C45" t="s">
        <v>97</v>
      </c>
      <c r="D45">
        <v>1</v>
      </c>
      <c r="E45">
        <v>-1.2420703229824459</v>
      </c>
      <c r="F45">
        <v>2.2420703229824461</v>
      </c>
      <c r="G45">
        <v>-0.55532516277796196</v>
      </c>
      <c r="H45">
        <v>-2.72026930367878E-3</v>
      </c>
      <c r="I45">
        <v>-3.8135043436333662</v>
      </c>
      <c r="J45">
        <v>-6.8123118875173612</v>
      </c>
      <c r="K45">
        <v>-2.2733981083619978</v>
      </c>
      <c r="L45">
        <v>-2.179960594994482</v>
      </c>
      <c r="M45">
        <v>-0.69078785718420954</v>
      </c>
      <c r="N45">
        <v>-2.9525587536924611</v>
      </c>
      <c r="O45">
        <v>0.48192650825284411</v>
      </c>
      <c r="P45">
        <v>0.2277595741649249</v>
      </c>
      <c r="Q45">
        <v>-0.52486557418804092</v>
      </c>
      <c r="R45">
        <v>-0.55532516277796196</v>
      </c>
      <c r="S45">
        <v>9.2051621882940804</v>
      </c>
      <c r="T45">
        <v>0.1086075550332026</v>
      </c>
      <c r="U45">
        <v>9.0965546332608778</v>
      </c>
      <c r="V45">
        <v>-2.72026930367878E-3</v>
      </c>
      <c r="W45">
        <v>4.6722959822409997</v>
      </c>
      <c r="X45">
        <v>0.1099156368821657</v>
      </c>
      <c r="Y45">
        <v>4.5623803453588341</v>
      </c>
      <c r="Z45">
        <v>-3.8135043436333662</v>
      </c>
      <c r="AA45">
        <v>6.8123118875173612</v>
      </c>
      <c r="AB45">
        <v>2.7696665199223802</v>
      </c>
      <c r="AC45">
        <v>1.7771296968016159</v>
      </c>
      <c r="AD45">
        <v>-2.1347622471084908</v>
      </c>
      <c r="AE45">
        <v>-2.135280509570336</v>
      </c>
      <c r="AF45">
        <v>-2.0195700738249052</v>
      </c>
      <c r="AG45">
        <v>-2.5260681699962908</v>
      </c>
      <c r="AH45">
        <v>-2.502094842211962</v>
      </c>
      <c r="AI45">
        <v>-1.761987727254908</v>
      </c>
      <c r="AJ45">
        <v>-1.0970837781535561</v>
      </c>
      <c r="AK45">
        <v>-1.2723099727160121</v>
      </c>
      <c r="AL45">
        <v>0.29703017931693948</v>
      </c>
      <c r="AM45">
        <v>2.9525587536924611</v>
      </c>
      <c r="AN45">
        <v>0.48192650825284411</v>
      </c>
      <c r="AO45">
        <v>-0.48107137689624407</v>
      </c>
      <c r="AP45">
        <v>0.93659052522609387</v>
      </c>
      <c r="AQ45">
        <v>-0.52486557418804092</v>
      </c>
    </row>
    <row r="46" spans="1:43" x14ac:dyDescent="0.3">
      <c r="A46">
        <v>316</v>
      </c>
      <c r="B46">
        <v>2024</v>
      </c>
      <c r="C46" t="s">
        <v>99</v>
      </c>
      <c r="D46">
        <v>8</v>
      </c>
      <c r="E46">
        <v>9.2169038023317533</v>
      </c>
      <c r="F46">
        <v>-1.2169038023317531</v>
      </c>
      <c r="G46">
        <v>0.73770022464110008</v>
      </c>
      <c r="H46">
        <v>-1.472548146820206</v>
      </c>
      <c r="I46">
        <v>-0.50890520621171143</v>
      </c>
      <c r="J46">
        <v>0.41502014176390067</v>
      </c>
      <c r="K46">
        <v>-2.450093175317039</v>
      </c>
      <c r="L46">
        <v>0.78480037887282295</v>
      </c>
      <c r="M46">
        <v>-0.22986695933028739</v>
      </c>
      <c r="N46">
        <v>-1.2989783037329159</v>
      </c>
      <c r="O46">
        <v>-0.62530964281018675</v>
      </c>
      <c r="P46">
        <v>0.49340877685996071</v>
      </c>
      <c r="Q46">
        <v>-0.52486557418804092</v>
      </c>
      <c r="R46">
        <v>0.73770022464110008</v>
      </c>
      <c r="S46">
        <v>9.2051621882940804</v>
      </c>
      <c r="T46">
        <v>0.1086075550332026</v>
      </c>
      <c r="U46">
        <v>9.0965546332608778</v>
      </c>
      <c r="V46">
        <v>-1.472548146820206</v>
      </c>
      <c r="W46">
        <v>4.6722959822409997</v>
      </c>
      <c r="X46">
        <v>0.1099156368821657</v>
      </c>
      <c r="Y46">
        <v>4.5623803453588341</v>
      </c>
      <c r="Z46">
        <v>-0.50890520621171143</v>
      </c>
      <c r="AA46">
        <v>-0.41502014176390067</v>
      </c>
      <c r="AB46">
        <v>2.7696665199223802</v>
      </c>
      <c r="AC46">
        <v>2.1305198307116981</v>
      </c>
      <c r="AD46">
        <v>0.93294036088949372</v>
      </c>
      <c r="AE46">
        <v>1.489963073539277</v>
      </c>
      <c r="AF46">
        <v>0.33680520790889679</v>
      </c>
      <c r="AG46">
        <v>0.18367293879547189</v>
      </c>
      <c r="AH46">
        <v>0.65858336879546819</v>
      </c>
      <c r="AI46">
        <v>1.1068373233083311</v>
      </c>
      <c r="AJ46">
        <v>0.37268914724449997</v>
      </c>
      <c r="AK46">
        <v>-4.3953954873983202E-2</v>
      </c>
      <c r="AL46">
        <v>-1.0183360703613791</v>
      </c>
      <c r="AM46">
        <v>1.2989783037329159</v>
      </c>
      <c r="AN46">
        <v>-0.62530964281018675</v>
      </c>
      <c r="AO46">
        <v>0.53483406200441796</v>
      </c>
      <c r="AP46">
        <v>0.45198349171550328</v>
      </c>
      <c r="AQ46">
        <v>-0.52486557418804092</v>
      </c>
    </row>
    <row r="47" spans="1:43" x14ac:dyDescent="0.3">
      <c r="A47">
        <v>339</v>
      </c>
      <c r="B47">
        <v>2024</v>
      </c>
      <c r="C47" t="s">
        <v>100</v>
      </c>
      <c r="D47">
        <v>6.5</v>
      </c>
      <c r="E47">
        <v>5.7003241152205772</v>
      </c>
      <c r="F47">
        <v>0.79967588477942275</v>
      </c>
      <c r="G47">
        <v>-0.1386745440210039</v>
      </c>
      <c r="H47">
        <v>-1.8929014534259101</v>
      </c>
      <c r="I47">
        <v>7.5482558437357336E-2</v>
      </c>
      <c r="J47">
        <v>0.43839193531502402</v>
      </c>
      <c r="K47">
        <v>-3.1881896902688212</v>
      </c>
      <c r="L47">
        <v>-0.22331691151771349</v>
      </c>
      <c r="M47">
        <v>-0.1699523218063157</v>
      </c>
      <c r="N47">
        <v>-0.20521314076886599</v>
      </c>
      <c r="O47">
        <v>-0.35103320601859528</v>
      </c>
      <c r="P47">
        <v>0.13314971940188619</v>
      </c>
      <c r="Q47">
        <v>-0.52486557418804092</v>
      </c>
      <c r="R47">
        <v>-0.1386745440210039</v>
      </c>
      <c r="S47">
        <v>9.2051621882940804</v>
      </c>
      <c r="T47">
        <v>0.1086075550332026</v>
      </c>
      <c r="U47">
        <v>9.0965546332608778</v>
      </c>
      <c r="V47">
        <v>-1.8929014534259101</v>
      </c>
      <c r="W47">
        <v>4.6722959822409997</v>
      </c>
      <c r="X47">
        <v>0.1099156368821657</v>
      </c>
      <c r="Y47">
        <v>4.5623803453588341</v>
      </c>
      <c r="Z47">
        <v>7.5482558437357336E-2</v>
      </c>
      <c r="AA47">
        <v>-0.43839193531502402</v>
      </c>
      <c r="AB47">
        <v>2.7696665199223802</v>
      </c>
      <c r="AC47">
        <v>3.6067128606152621</v>
      </c>
      <c r="AD47">
        <v>-3.8192709188747558E-2</v>
      </c>
      <c r="AE47">
        <v>0.90333382909238968</v>
      </c>
      <c r="AF47">
        <v>-0.49802837061228289</v>
      </c>
      <c r="AG47">
        <v>-0.84605425861945172</v>
      </c>
      <c r="AH47">
        <v>-0.55405869022794296</v>
      </c>
      <c r="AI47">
        <v>-0.30690126955024549</v>
      </c>
      <c r="AJ47">
        <v>8.3947056086164082E-2</v>
      </c>
      <c r="AK47">
        <v>-0.35852991672714019</v>
      </c>
      <c r="AL47">
        <v>-0.235274104777971</v>
      </c>
      <c r="AM47">
        <v>0.20521314076886599</v>
      </c>
      <c r="AN47">
        <v>-0.35103320601859528</v>
      </c>
      <c r="AO47">
        <v>0.23243960501383359</v>
      </c>
      <c r="AP47">
        <v>3.3859833789938829E-2</v>
      </c>
      <c r="AQ47">
        <v>-0.52486557418804092</v>
      </c>
    </row>
    <row r="48" spans="1:43" x14ac:dyDescent="0.3">
      <c r="A48">
        <v>343</v>
      </c>
      <c r="B48">
        <v>2024</v>
      </c>
      <c r="C48" t="s">
        <v>101</v>
      </c>
      <c r="D48">
        <v>9.6666666666666661</v>
      </c>
      <c r="E48">
        <v>9.4122633030412768</v>
      </c>
      <c r="F48">
        <v>0.25440336362538929</v>
      </c>
      <c r="G48">
        <v>-0.1224028114885566</v>
      </c>
      <c r="H48">
        <v>-0.8896863748639593</v>
      </c>
      <c r="I48">
        <v>-0.89280670898042647</v>
      </c>
      <c r="J48">
        <v>-0.26249476500666191</v>
      </c>
      <c r="K48">
        <v>-1.79333950583215</v>
      </c>
      <c r="L48">
        <v>1.377560501022768E-2</v>
      </c>
      <c r="M48">
        <v>-6.6898634102265223E-2</v>
      </c>
      <c r="N48">
        <v>-0.1216992572597613</v>
      </c>
      <c r="O48">
        <v>0.18471811778269739</v>
      </c>
      <c r="P48">
        <v>0.66561152968839465</v>
      </c>
      <c r="Q48">
        <v>-0.52486557418804092</v>
      </c>
      <c r="R48">
        <v>-0.1224028114885566</v>
      </c>
      <c r="S48">
        <v>9.2051621882940804</v>
      </c>
      <c r="T48">
        <v>0.1086075550332026</v>
      </c>
      <c r="U48">
        <v>9.0965546332608778</v>
      </c>
      <c r="V48">
        <v>-0.8896863748639593</v>
      </c>
      <c r="W48">
        <v>4.6722959822409997</v>
      </c>
      <c r="X48">
        <v>0.1099156368821657</v>
      </c>
      <c r="Y48">
        <v>4.5623803453588341</v>
      </c>
      <c r="Z48">
        <v>-0.89280670898042647</v>
      </c>
      <c r="AA48">
        <v>0.26249476500666191</v>
      </c>
      <c r="AB48">
        <v>2.7696665199223802</v>
      </c>
      <c r="AC48">
        <v>0.81701249174192014</v>
      </c>
      <c r="AD48">
        <v>0.37781061295115298</v>
      </c>
      <c r="AE48">
        <v>0.53282601835197507</v>
      </c>
      <c r="AF48">
        <v>-0.15625370623019311</v>
      </c>
      <c r="AG48">
        <v>-0.22057703023485239</v>
      </c>
      <c r="AH48">
        <v>-0.20966694409660139</v>
      </c>
      <c r="AI48">
        <v>-0.24148532068011491</v>
      </c>
      <c r="AJ48">
        <v>0.6609801571981101</v>
      </c>
      <c r="AK48">
        <v>7.0804808026027843E-2</v>
      </c>
      <c r="AL48">
        <v>-0.93248086753093362</v>
      </c>
      <c r="AM48">
        <v>0.1216992572597613</v>
      </c>
      <c r="AN48">
        <v>0.18471811778269739</v>
      </c>
      <c r="AO48">
        <v>0.65714819670054769</v>
      </c>
      <c r="AP48">
        <v>0.67407486267624162</v>
      </c>
      <c r="AQ48">
        <v>-0.52486557418804092</v>
      </c>
    </row>
    <row r="49" spans="1:43" x14ac:dyDescent="0.3">
      <c r="A49">
        <v>366</v>
      </c>
      <c r="B49">
        <v>2024</v>
      </c>
      <c r="C49" t="s">
        <v>102</v>
      </c>
      <c r="D49">
        <v>4.3333333333333321</v>
      </c>
      <c r="E49">
        <v>3.9596203624998072</v>
      </c>
      <c r="F49">
        <v>0.37371297083352489</v>
      </c>
      <c r="G49">
        <v>-0.23380173972170309</v>
      </c>
      <c r="H49">
        <v>-1.7212073091884701</v>
      </c>
      <c r="I49">
        <v>-1.3028604919900679</v>
      </c>
      <c r="J49">
        <v>-3.9971929003853011</v>
      </c>
      <c r="K49">
        <v>-2.9016100375394962</v>
      </c>
      <c r="L49">
        <v>-0.44851907202948199</v>
      </c>
      <c r="M49">
        <v>-0.30170120891637042</v>
      </c>
      <c r="N49">
        <v>-0.81236963119067895</v>
      </c>
      <c r="O49">
        <v>0.41712443518665171</v>
      </c>
      <c r="P49">
        <v>0.70749731376603331</v>
      </c>
      <c r="Q49">
        <v>-0.52486557418804092</v>
      </c>
      <c r="R49">
        <v>-0.23380173972170309</v>
      </c>
      <c r="S49">
        <v>9.2051621882940804</v>
      </c>
      <c r="T49">
        <v>0.1086075550332026</v>
      </c>
      <c r="U49">
        <v>9.0965546332608778</v>
      </c>
      <c r="V49">
        <v>-1.7212073091884701</v>
      </c>
      <c r="W49">
        <v>4.6722959822409997</v>
      </c>
      <c r="X49">
        <v>0.1099156368821657</v>
      </c>
      <c r="Y49">
        <v>4.5623803453588341</v>
      </c>
      <c r="Z49">
        <v>-1.3028604919900679</v>
      </c>
      <c r="AA49">
        <v>3.9971929003853011</v>
      </c>
      <c r="AB49">
        <v>2.7696665199223802</v>
      </c>
      <c r="AC49">
        <v>3.0335535551566122</v>
      </c>
      <c r="AD49">
        <v>-9.1170805589348869E-2</v>
      </c>
      <c r="AE49">
        <v>0.53451671391802202</v>
      </c>
      <c r="AF49">
        <v>-0.8680683414904794</v>
      </c>
      <c r="AG49">
        <v>-1.38794559326915</v>
      </c>
      <c r="AH49">
        <v>-0.35078045955631532</v>
      </c>
      <c r="AI49">
        <v>-0.52766594618962126</v>
      </c>
      <c r="AJ49">
        <v>-0.42950865522638088</v>
      </c>
      <c r="AK49">
        <v>-0.2164633533095856</v>
      </c>
      <c r="AL49">
        <v>-0.25913161821314468</v>
      </c>
      <c r="AM49">
        <v>0.81236963119067895</v>
      </c>
      <c r="AN49">
        <v>0.41712443518665171</v>
      </c>
      <c r="AO49">
        <v>0.76428115106274241</v>
      </c>
      <c r="AP49">
        <v>0.6507134764693242</v>
      </c>
      <c r="AQ49">
        <v>-0.52486557418804092</v>
      </c>
    </row>
    <row r="50" spans="1:43" x14ac:dyDescent="0.3">
      <c r="A50">
        <v>369</v>
      </c>
      <c r="B50">
        <v>2024</v>
      </c>
      <c r="C50" t="s">
        <v>104</v>
      </c>
      <c r="D50">
        <v>12</v>
      </c>
      <c r="E50">
        <v>11.369355158658919</v>
      </c>
      <c r="F50">
        <v>0.63064484134107524</v>
      </c>
      <c r="G50">
        <v>0.49619857702623321</v>
      </c>
      <c r="H50">
        <v>-0.80751571866714311</v>
      </c>
      <c r="I50">
        <v>-1.277013831050789</v>
      </c>
      <c r="J50">
        <v>0.43932680705706889</v>
      </c>
      <c r="K50">
        <v>0.30213081591089108</v>
      </c>
      <c r="L50">
        <v>-0.1868898726970229</v>
      </c>
      <c r="M50">
        <v>-0.45525180478500632</v>
      </c>
      <c r="N50">
        <v>-0.18148697426295241</v>
      </c>
      <c r="O50">
        <v>1.0953738181762589</v>
      </c>
      <c r="P50">
        <v>0.38902731028016507</v>
      </c>
      <c r="Q50">
        <v>-0.52486557418804092</v>
      </c>
      <c r="R50">
        <v>0.49619857702623321</v>
      </c>
      <c r="S50">
        <v>9.2051621882940804</v>
      </c>
      <c r="T50">
        <v>0.1086075550332026</v>
      </c>
      <c r="U50">
        <v>9.0965546332608778</v>
      </c>
      <c r="V50">
        <v>-0.80751571866714311</v>
      </c>
      <c r="W50">
        <v>4.6722959822409997</v>
      </c>
      <c r="X50">
        <v>0.1099156368821657</v>
      </c>
      <c r="Y50">
        <v>4.5623803453588341</v>
      </c>
      <c r="Z50">
        <v>-1.277013831050789</v>
      </c>
      <c r="AA50">
        <v>-0.43932680705706889</v>
      </c>
      <c r="AB50">
        <v>-0.36105429762281449</v>
      </c>
      <c r="AC50">
        <v>-0.24320733419896781</v>
      </c>
      <c r="AD50">
        <v>0.29171029468038667</v>
      </c>
      <c r="AE50">
        <v>0.39226483801434142</v>
      </c>
      <c r="AF50">
        <v>-0.22449211868047569</v>
      </c>
      <c r="AG50">
        <v>-0.56450469549232063</v>
      </c>
      <c r="AH50">
        <v>-0.52644418114866864</v>
      </c>
      <c r="AI50">
        <v>-0.48987337355540039</v>
      </c>
      <c r="AJ50">
        <v>-0.55127552043540318</v>
      </c>
      <c r="AK50">
        <v>-0.1809054620012428</v>
      </c>
      <c r="AL50">
        <v>-0.63357443191837282</v>
      </c>
      <c r="AM50">
        <v>0.18148697426295241</v>
      </c>
      <c r="AN50">
        <v>1.0953738181762589</v>
      </c>
      <c r="AO50">
        <v>0.38832183425879041</v>
      </c>
      <c r="AP50">
        <v>0.3897327863015399</v>
      </c>
      <c r="AQ50">
        <v>-0.52486557418804092</v>
      </c>
    </row>
    <row r="51" spans="1:43" x14ac:dyDescent="0.3">
      <c r="A51">
        <v>419</v>
      </c>
      <c r="B51">
        <v>2024</v>
      </c>
      <c r="C51" t="s">
        <v>105</v>
      </c>
      <c r="D51">
        <v>8.6666666666666661</v>
      </c>
      <c r="E51">
        <v>9.593101522663634</v>
      </c>
      <c r="F51">
        <v>-0.92643485599696795</v>
      </c>
      <c r="G51">
        <v>0.87845181605201295</v>
      </c>
      <c r="H51">
        <v>-0.48988056033850008</v>
      </c>
      <c r="I51">
        <v>-0.34972120995392209</v>
      </c>
      <c r="J51">
        <v>0.65808679469558307</v>
      </c>
      <c r="K51">
        <v>0.30213081591089108</v>
      </c>
      <c r="L51">
        <v>-0.11510513385401799</v>
      </c>
      <c r="M51">
        <v>-1.7926739747794189</v>
      </c>
      <c r="N51">
        <v>-2.0928324978078172</v>
      </c>
      <c r="O51">
        <v>0.68115963215273101</v>
      </c>
      <c r="P51">
        <v>-0.21977070278447319</v>
      </c>
      <c r="Q51">
        <v>-0.52486557418804092</v>
      </c>
      <c r="R51">
        <v>0.87845181605201295</v>
      </c>
      <c r="S51">
        <v>9.2051621882940804</v>
      </c>
      <c r="T51">
        <v>0.1086075550332026</v>
      </c>
      <c r="U51">
        <v>9.0965546332608778</v>
      </c>
      <c r="V51">
        <v>-0.48988056033850008</v>
      </c>
      <c r="W51">
        <v>4.6722959822409997</v>
      </c>
      <c r="X51">
        <v>0.1099156368821657</v>
      </c>
      <c r="Y51">
        <v>4.5623803453588341</v>
      </c>
      <c r="Z51">
        <v>-0.34972120995392209</v>
      </c>
      <c r="AA51">
        <v>-0.65808679469558307</v>
      </c>
      <c r="AB51">
        <v>-0.36105429762281449</v>
      </c>
      <c r="AC51">
        <v>-0.24320733419896781</v>
      </c>
      <c r="AD51">
        <v>-1.5935699111269159</v>
      </c>
      <c r="AE51">
        <v>-0.37291750165361942</v>
      </c>
      <c r="AF51">
        <v>0.33189291611567251</v>
      </c>
      <c r="AG51">
        <v>0.77305575923548031</v>
      </c>
      <c r="AH51">
        <v>5.5091487079310719E-2</v>
      </c>
      <c r="AI51">
        <v>0.11581644722596381</v>
      </c>
      <c r="AJ51">
        <v>-1.689929781497832</v>
      </c>
      <c r="AK51">
        <v>-0.90419092163057102</v>
      </c>
      <c r="AL51">
        <v>-2.783901221209852</v>
      </c>
      <c r="AM51">
        <v>2.0928324978078172</v>
      </c>
      <c r="AN51">
        <v>0.68115963215273101</v>
      </c>
      <c r="AO51">
        <v>-0.1090842726532158</v>
      </c>
      <c r="AP51">
        <v>-0.33045713291573059</v>
      </c>
      <c r="AQ51">
        <v>-0.52486557418804092</v>
      </c>
    </row>
    <row r="52" spans="1:43" x14ac:dyDescent="0.3">
      <c r="A52">
        <v>423</v>
      </c>
      <c r="B52">
        <v>2024</v>
      </c>
      <c r="C52" t="s">
        <v>107</v>
      </c>
      <c r="D52">
        <v>15.33333333333333</v>
      </c>
      <c r="E52">
        <v>12.838866210968749</v>
      </c>
      <c r="F52">
        <v>2.494467122364576</v>
      </c>
      <c r="G52">
        <v>1.0831765306120431</v>
      </c>
      <c r="H52">
        <v>-0.62561731231212325</v>
      </c>
      <c r="I52">
        <v>0.11717776316203871</v>
      </c>
      <c r="J52">
        <v>0.42505570372952589</v>
      </c>
      <c r="K52">
        <v>-1.79333950583215</v>
      </c>
      <c r="L52">
        <v>0.57076968979633735</v>
      </c>
      <c r="M52">
        <v>0.8923570669049945</v>
      </c>
      <c r="N52">
        <v>-0.1955170844333112</v>
      </c>
      <c r="O52">
        <v>-0.88978448896069473</v>
      </c>
      <c r="P52">
        <v>-1.3039746031355179</v>
      </c>
      <c r="Q52">
        <v>1.9052497423687671</v>
      </c>
      <c r="R52">
        <v>1.0831765306120431</v>
      </c>
      <c r="S52">
        <v>9.2051621882940804</v>
      </c>
      <c r="T52">
        <v>0.1086075550332026</v>
      </c>
      <c r="U52">
        <v>9.0965546332608778</v>
      </c>
      <c r="V52">
        <v>-0.62561731231212325</v>
      </c>
      <c r="W52">
        <v>4.6722959822409997</v>
      </c>
      <c r="X52">
        <v>0.1099156368821657</v>
      </c>
      <c r="Y52">
        <v>4.5623803453588341</v>
      </c>
      <c r="Z52">
        <v>0.11717776316203871</v>
      </c>
      <c r="AA52">
        <v>-0.42505570372952589</v>
      </c>
      <c r="AB52">
        <v>2.7696665199223802</v>
      </c>
      <c r="AC52">
        <v>0.81701249174192014</v>
      </c>
      <c r="AD52">
        <v>0.81659303256302074</v>
      </c>
      <c r="AE52">
        <v>0.4233676197194054</v>
      </c>
      <c r="AF52">
        <v>0.63842356527618782</v>
      </c>
      <c r="AG52">
        <v>0.52948065361945529</v>
      </c>
      <c r="AH52">
        <v>0.6169907459936288</v>
      </c>
      <c r="AI52">
        <v>0.39976252160632569</v>
      </c>
      <c r="AJ52">
        <v>0.94836900474226871</v>
      </c>
      <c r="AK52">
        <v>1.225570016014131</v>
      </c>
      <c r="AL52">
        <v>0.5031321799585835</v>
      </c>
      <c r="AM52">
        <v>0.1955170844333112</v>
      </c>
      <c r="AN52">
        <v>-0.88978448896069473</v>
      </c>
      <c r="AO52">
        <v>-1.3346904897780201</v>
      </c>
      <c r="AP52">
        <v>-1.2732587164930149</v>
      </c>
      <c r="AQ52">
        <v>1.9052497423687671</v>
      </c>
    </row>
    <row r="53" spans="1:43" x14ac:dyDescent="0.3">
      <c r="A53">
        <v>433</v>
      </c>
      <c r="B53">
        <v>2024</v>
      </c>
      <c r="C53" t="s">
        <v>109</v>
      </c>
      <c r="D53">
        <v>6.6666666666666679</v>
      </c>
      <c r="E53">
        <v>9.3998258309346312</v>
      </c>
      <c r="F53">
        <v>-2.7331591642679629</v>
      </c>
      <c r="G53">
        <v>-0.30375772142649898</v>
      </c>
      <c r="H53">
        <v>0.43808047008513479</v>
      </c>
      <c r="I53">
        <v>-0.65123648097868614</v>
      </c>
      <c r="J53">
        <v>0.25574852334367443</v>
      </c>
      <c r="K53">
        <v>0.30213081591089108</v>
      </c>
      <c r="L53">
        <v>-1.6459670048334041</v>
      </c>
      <c r="M53">
        <v>0.276515480260832</v>
      </c>
      <c r="N53">
        <v>0.32201339527646877</v>
      </c>
      <c r="O53">
        <v>6.0206882580857143E-2</v>
      </c>
      <c r="P53">
        <v>0.90886381543237293</v>
      </c>
      <c r="Q53">
        <v>-0.52486557418804092</v>
      </c>
      <c r="R53">
        <v>-0.30375772142649898</v>
      </c>
      <c r="S53">
        <v>9.2051621882940804</v>
      </c>
      <c r="T53">
        <v>0.1086075550332026</v>
      </c>
      <c r="U53">
        <v>9.0965546332608778</v>
      </c>
      <c r="V53">
        <v>0.43808047008513479</v>
      </c>
      <c r="W53">
        <v>4.6722959822409997</v>
      </c>
      <c r="X53">
        <v>0.1099156368821657</v>
      </c>
      <c r="Y53">
        <v>4.5623803453588341</v>
      </c>
      <c r="Z53">
        <v>-0.65123648097868614</v>
      </c>
      <c r="AA53">
        <v>-0.25574852334367443</v>
      </c>
      <c r="AB53">
        <v>-0.36105429762281449</v>
      </c>
      <c r="AC53">
        <v>-0.24320733419896781</v>
      </c>
      <c r="AD53">
        <v>-1.266366441993634</v>
      </c>
      <c r="AE53">
        <v>-2.5249852358731331</v>
      </c>
      <c r="AF53">
        <v>-1.604961039949949</v>
      </c>
      <c r="AG53">
        <v>-1.517215766476733</v>
      </c>
      <c r="AH53">
        <v>-1.590005404705928</v>
      </c>
      <c r="AI53">
        <v>-1.372268140001049</v>
      </c>
      <c r="AJ53">
        <v>-0.56047256499842246</v>
      </c>
      <c r="AK53">
        <v>0.76975249982249949</v>
      </c>
      <c r="AL53">
        <v>0.62026650595841903</v>
      </c>
      <c r="AM53">
        <v>-0.32201339527646877</v>
      </c>
      <c r="AN53">
        <v>6.0206882580857143E-2</v>
      </c>
      <c r="AO53">
        <v>0.74777449191096645</v>
      </c>
      <c r="AP53">
        <v>1.0699531389537791</v>
      </c>
      <c r="AQ53">
        <v>-0.52486557418804092</v>
      </c>
    </row>
    <row r="54" spans="1:43" x14ac:dyDescent="0.3">
      <c r="A54">
        <v>436</v>
      </c>
      <c r="B54">
        <v>2024</v>
      </c>
      <c r="C54" t="s">
        <v>110</v>
      </c>
      <c r="D54">
        <v>16.333333333333329</v>
      </c>
      <c r="E54">
        <v>16.21412282264269</v>
      </c>
      <c r="F54">
        <v>0.1192105106906389</v>
      </c>
      <c r="G54">
        <v>1.338947091105501</v>
      </c>
      <c r="H54">
        <v>0.78538030100995992</v>
      </c>
      <c r="I54">
        <v>0.1168284839601566</v>
      </c>
      <c r="J54">
        <v>0.43648403380064671</v>
      </c>
      <c r="K54">
        <v>0.30213081591089108</v>
      </c>
      <c r="L54">
        <v>0.34566270471110172</v>
      </c>
      <c r="M54">
        <v>-7.8173569722148242E-2</v>
      </c>
      <c r="N54">
        <v>-0.26644554238365842</v>
      </c>
      <c r="O54">
        <v>0.73321926793241832</v>
      </c>
      <c r="P54">
        <v>1.085554972068719</v>
      </c>
      <c r="Q54">
        <v>-0.52486557418804092</v>
      </c>
      <c r="R54">
        <v>1.338947091105501</v>
      </c>
      <c r="S54">
        <v>9.2051621882940804</v>
      </c>
      <c r="T54">
        <v>0.1086075550332026</v>
      </c>
      <c r="U54">
        <v>9.0965546332608778</v>
      </c>
      <c r="V54">
        <v>0.78538030100995992</v>
      </c>
      <c r="W54">
        <v>4.6722959822409997</v>
      </c>
      <c r="X54">
        <v>0.1099156368821657</v>
      </c>
      <c r="Y54">
        <v>4.5623803453588341</v>
      </c>
      <c r="Z54">
        <v>0.1168284839601566</v>
      </c>
      <c r="AA54">
        <v>-0.43648403380064671</v>
      </c>
      <c r="AB54">
        <v>-0.36105429762281449</v>
      </c>
      <c r="AC54">
        <v>-0.24320733419896781</v>
      </c>
      <c r="AD54">
        <v>0.1704320053711669</v>
      </c>
      <c r="AE54">
        <v>-1.2894249162060389</v>
      </c>
      <c r="AF54">
        <v>0.98319089294671425</v>
      </c>
      <c r="AG54">
        <v>0.96225627016238502</v>
      </c>
      <c r="AH54">
        <v>0.52054100672478709</v>
      </c>
      <c r="AI54">
        <v>0.72698096926759626</v>
      </c>
      <c r="AJ54">
        <v>-0.61901288134505261</v>
      </c>
      <c r="AK54">
        <v>0.5055020917932147</v>
      </c>
      <c r="AL54">
        <v>-0.1210099196146068</v>
      </c>
      <c r="AM54">
        <v>0.26644554238365842</v>
      </c>
      <c r="AN54">
        <v>0.73321926793241832</v>
      </c>
      <c r="AO54">
        <v>0.90387902381998719</v>
      </c>
      <c r="AP54">
        <v>1.2672309203174501</v>
      </c>
      <c r="AQ54">
        <v>-0.52486557418804092</v>
      </c>
    </row>
    <row r="55" spans="1:43" x14ac:dyDescent="0.3">
      <c r="A55">
        <v>439</v>
      </c>
      <c r="B55">
        <v>2024</v>
      </c>
      <c r="C55" t="s">
        <v>112</v>
      </c>
      <c r="D55">
        <v>10</v>
      </c>
      <c r="E55">
        <v>9.9804150255948212</v>
      </c>
      <c r="F55">
        <v>1.9584974405178809E-2</v>
      </c>
      <c r="G55">
        <v>-0.52514418836470622</v>
      </c>
      <c r="H55">
        <v>-0.42419451037185879</v>
      </c>
      <c r="I55">
        <v>-0.3702413630644984</v>
      </c>
      <c r="J55">
        <v>0.48786382158283031</v>
      </c>
      <c r="K55">
        <v>0.30213081591089108</v>
      </c>
      <c r="L55">
        <v>-0.2190589380806402</v>
      </c>
      <c r="M55">
        <v>-0.84559745258976637</v>
      </c>
      <c r="N55">
        <v>-0.89399431174615074</v>
      </c>
      <c r="O55">
        <v>-0.41839004724472317</v>
      </c>
      <c r="P55">
        <v>0.60902628226809308</v>
      </c>
      <c r="Q55">
        <v>-0.52486557418804092</v>
      </c>
      <c r="R55">
        <v>-0.52514418836470622</v>
      </c>
      <c r="S55">
        <v>9.2051621882940804</v>
      </c>
      <c r="T55">
        <v>0.1086075550332026</v>
      </c>
      <c r="U55">
        <v>9.0965546332608778</v>
      </c>
      <c r="V55">
        <v>-0.42419451037185879</v>
      </c>
      <c r="W55">
        <v>4.6722959822409997</v>
      </c>
      <c r="X55">
        <v>0.1099156368821657</v>
      </c>
      <c r="Y55">
        <v>4.5623803453588341</v>
      </c>
      <c r="Z55">
        <v>-0.3702413630644984</v>
      </c>
      <c r="AA55">
        <v>-0.48786382158283031</v>
      </c>
      <c r="AB55">
        <v>-0.36105429762281449</v>
      </c>
      <c r="AC55">
        <v>-0.24320733419896781</v>
      </c>
      <c r="AD55">
        <v>-0.93043695051491537</v>
      </c>
      <c r="AE55">
        <v>-0.46232822190160427</v>
      </c>
      <c r="AF55">
        <v>-0.1051064734728058</v>
      </c>
      <c r="AG55">
        <v>-6.5207840487983204E-3</v>
      </c>
      <c r="AH55">
        <v>5.5735038702073983E-2</v>
      </c>
      <c r="AI55">
        <v>0.13430376275220851</v>
      </c>
      <c r="AJ55">
        <v>-0.86810994662138119</v>
      </c>
      <c r="AK55">
        <v>-0.30440932113950042</v>
      </c>
      <c r="AL55">
        <v>-1.3642730900084179</v>
      </c>
      <c r="AM55">
        <v>0.89399431174615074</v>
      </c>
      <c r="AN55">
        <v>-0.41839004724472317</v>
      </c>
      <c r="AO55">
        <v>0.72450084430120254</v>
      </c>
      <c r="AP55">
        <v>0.49355172023498362</v>
      </c>
      <c r="AQ55">
        <v>-0.52486557418804092</v>
      </c>
    </row>
    <row r="56" spans="1:43" x14ac:dyDescent="0.3">
      <c r="A56">
        <v>443</v>
      </c>
      <c r="B56">
        <v>2024</v>
      </c>
      <c r="C56" t="s">
        <v>113</v>
      </c>
      <c r="D56">
        <v>18.333333333333329</v>
      </c>
      <c r="E56">
        <v>18.92525024242936</v>
      </c>
      <c r="F56">
        <v>-0.59191690909603523</v>
      </c>
      <c r="G56">
        <v>0.93575264247542433</v>
      </c>
      <c r="H56">
        <v>0.14902696795231801</v>
      </c>
      <c r="I56">
        <v>-0.95934439693897566</v>
      </c>
      <c r="J56">
        <v>0.38981676275897509</v>
      </c>
      <c r="K56">
        <v>0.30213081591089108</v>
      </c>
      <c r="L56">
        <v>-4.292536624108656E-2</v>
      </c>
      <c r="M56">
        <v>4.4929989570451454</v>
      </c>
      <c r="N56">
        <v>1.53154780394326</v>
      </c>
      <c r="O56">
        <v>2.9771887052557711</v>
      </c>
      <c r="P56">
        <v>0.72825371465443078</v>
      </c>
      <c r="Q56">
        <v>-0.52486557418804092</v>
      </c>
      <c r="R56">
        <v>0.93575264247542433</v>
      </c>
      <c r="S56">
        <v>9.2051621882940804</v>
      </c>
      <c r="T56">
        <v>0.1086075550332026</v>
      </c>
      <c r="U56">
        <v>9.0965546332608778</v>
      </c>
      <c r="V56">
        <v>0.14902696795231801</v>
      </c>
      <c r="W56">
        <v>4.6722959822409997</v>
      </c>
      <c r="X56">
        <v>0.1099156368821657</v>
      </c>
      <c r="Y56">
        <v>4.5623803453588341</v>
      </c>
      <c r="Z56">
        <v>-0.95934439693897566</v>
      </c>
      <c r="AA56">
        <v>-0.38981676275897509</v>
      </c>
      <c r="AB56">
        <v>-0.36105429762281449</v>
      </c>
      <c r="AC56">
        <v>-0.24320733419896781</v>
      </c>
      <c r="AD56">
        <v>-0.93545847794191261</v>
      </c>
      <c r="AE56">
        <v>0.31275160604446051</v>
      </c>
      <c r="AF56">
        <v>2.1979305754958881E-2</v>
      </c>
      <c r="AG56">
        <v>0.14090354552032011</v>
      </c>
      <c r="AH56">
        <v>0.12288539253254741</v>
      </c>
      <c r="AI56">
        <v>7.938643064310634E-2</v>
      </c>
      <c r="AJ56">
        <v>5.6290131255789726</v>
      </c>
      <c r="AK56">
        <v>3.695564697871375</v>
      </c>
      <c r="AL56">
        <v>4.154419047685086</v>
      </c>
      <c r="AM56">
        <v>-1.53154780394326</v>
      </c>
      <c r="AN56">
        <v>2.9771887052557711</v>
      </c>
      <c r="AO56">
        <v>0.5991895837325153</v>
      </c>
      <c r="AP56">
        <v>0.85731784557634616</v>
      </c>
      <c r="AQ56">
        <v>-0.52486557418804092</v>
      </c>
    </row>
    <row r="57" spans="1:43" x14ac:dyDescent="0.3">
      <c r="A57">
        <v>446</v>
      </c>
      <c r="B57">
        <v>2024</v>
      </c>
      <c r="C57" t="s">
        <v>114</v>
      </c>
      <c r="D57">
        <v>1.3333333333333319</v>
      </c>
      <c r="E57">
        <v>-2.0802267683701139</v>
      </c>
      <c r="F57">
        <v>3.413560101703446</v>
      </c>
      <c r="G57">
        <v>-0.43507865294263648</v>
      </c>
      <c r="H57">
        <v>-0.75624275346215586</v>
      </c>
      <c r="I57">
        <v>-3.942101461212046</v>
      </c>
      <c r="J57">
        <v>-6.8123118875173612</v>
      </c>
      <c r="K57">
        <v>-2.9016100375394962</v>
      </c>
      <c r="L57">
        <v>-1.424885871875883</v>
      </c>
      <c r="M57">
        <v>-0.47265921514830539</v>
      </c>
      <c r="N57">
        <v>-2.9368894821358622</v>
      </c>
      <c r="O57">
        <v>-2.7313844065233588</v>
      </c>
      <c r="P57">
        <v>0.56022546359851022</v>
      </c>
      <c r="Q57">
        <v>-0.52486557418804092</v>
      </c>
      <c r="R57">
        <v>-0.43507865294263648</v>
      </c>
      <c r="S57">
        <v>9.2051621882940804</v>
      </c>
      <c r="T57">
        <v>0.1086075550332026</v>
      </c>
      <c r="U57">
        <v>9.0965546332608778</v>
      </c>
      <c r="V57">
        <v>-0.75624275346215586</v>
      </c>
      <c r="W57">
        <v>4.6722959822409997</v>
      </c>
      <c r="X57">
        <v>0.1099156368821657</v>
      </c>
      <c r="Y57">
        <v>4.5623803453588341</v>
      </c>
      <c r="Z57">
        <v>-3.942101461212046</v>
      </c>
      <c r="AA57">
        <v>6.8123118875173612</v>
      </c>
      <c r="AB57">
        <v>2.7696665199223802</v>
      </c>
      <c r="AC57">
        <v>3.0335535551566122</v>
      </c>
      <c r="AD57">
        <v>-0.99537636452845524</v>
      </c>
      <c r="AE57">
        <v>-1.713216712472829</v>
      </c>
      <c r="AF57">
        <v>-1.6370894992461471</v>
      </c>
      <c r="AG57">
        <v>-1.4343513677784281</v>
      </c>
      <c r="AH57">
        <v>-1.29592495059738</v>
      </c>
      <c r="AI57">
        <v>-1.473356336632059</v>
      </c>
      <c r="AJ57">
        <v>-0.74970113038087305</v>
      </c>
      <c r="AK57">
        <v>-1.081567873632745</v>
      </c>
      <c r="AL57">
        <v>0.41329135856870158</v>
      </c>
      <c r="AM57">
        <v>2.9368894821358622</v>
      </c>
      <c r="AN57">
        <v>-2.7313844065233588</v>
      </c>
      <c r="AO57">
        <v>0.73348251342409798</v>
      </c>
      <c r="AP57">
        <v>0.38696841377292229</v>
      </c>
      <c r="AQ57">
        <v>-0.52486557418804092</v>
      </c>
    </row>
    <row r="58" spans="1:43" x14ac:dyDescent="0.3">
      <c r="A58">
        <v>449</v>
      </c>
      <c r="B58">
        <v>2024</v>
      </c>
      <c r="C58" t="s">
        <v>115</v>
      </c>
      <c r="D58">
        <v>12.33333333333333</v>
      </c>
      <c r="E58">
        <v>14.584977991897381</v>
      </c>
      <c r="F58">
        <v>-2.2516446585640519</v>
      </c>
      <c r="G58">
        <v>0.58084630194268405</v>
      </c>
      <c r="H58">
        <v>-6.1988059530869048E-2</v>
      </c>
      <c r="I58">
        <v>-0.31086389874453318</v>
      </c>
      <c r="J58">
        <v>0.6232485130430514</v>
      </c>
      <c r="K58">
        <v>0.30213081591089108</v>
      </c>
      <c r="L58">
        <v>0.18166453252933709</v>
      </c>
      <c r="M58">
        <v>0.59943881969281343</v>
      </c>
      <c r="N58">
        <v>0.62606394122578346</v>
      </c>
      <c r="O58">
        <v>4.9616509579475172E-2</v>
      </c>
      <c r="P58">
        <v>0.25333888445943392</v>
      </c>
      <c r="Q58">
        <v>-0.52486557418804092</v>
      </c>
      <c r="R58">
        <v>0.58084630194268405</v>
      </c>
      <c r="S58">
        <v>9.2051621882940804</v>
      </c>
      <c r="T58">
        <v>0.1086075550332026</v>
      </c>
      <c r="U58">
        <v>9.0965546332608778</v>
      </c>
      <c r="V58">
        <v>-6.1988059530869048E-2</v>
      </c>
      <c r="W58">
        <v>4.6722959822409997</v>
      </c>
      <c r="X58">
        <v>0.1099156368821657</v>
      </c>
      <c r="Y58">
        <v>4.5623803453588341</v>
      </c>
      <c r="Z58">
        <v>-0.31086389874453318</v>
      </c>
      <c r="AA58">
        <v>-0.6232485130430514</v>
      </c>
      <c r="AB58">
        <v>-0.36105429762281449</v>
      </c>
      <c r="AC58">
        <v>-0.24320733419896781</v>
      </c>
      <c r="AD58">
        <v>-1.1202391209384319</v>
      </c>
      <c r="AE58">
        <v>0.71382430459810775</v>
      </c>
      <c r="AF58">
        <v>0.29463482712203232</v>
      </c>
      <c r="AG58">
        <v>0.46927859901936531</v>
      </c>
      <c r="AH58">
        <v>0.35845654776551411</v>
      </c>
      <c r="AI58">
        <v>0.3740320376094356</v>
      </c>
      <c r="AJ58">
        <v>0.90656881310434978</v>
      </c>
      <c r="AK58">
        <v>0.21435638778592631</v>
      </c>
      <c r="AL58">
        <v>0.67739125818816415</v>
      </c>
      <c r="AM58">
        <v>-0.62606394122578346</v>
      </c>
      <c r="AN58">
        <v>4.9616509579475172E-2</v>
      </c>
      <c r="AO58">
        <v>0.30705200327341209</v>
      </c>
      <c r="AP58">
        <v>0.1996257656454557</v>
      </c>
      <c r="AQ58">
        <v>-0.52486557418804092</v>
      </c>
    </row>
    <row r="59" spans="1:43" x14ac:dyDescent="0.3">
      <c r="A59">
        <v>453</v>
      </c>
      <c r="B59">
        <v>2024</v>
      </c>
      <c r="C59" t="s">
        <v>116</v>
      </c>
      <c r="D59">
        <v>20</v>
      </c>
      <c r="E59">
        <v>17.23319596622763</v>
      </c>
      <c r="F59">
        <v>2.7668040337723698</v>
      </c>
      <c r="G59">
        <v>1.543129999878305</v>
      </c>
      <c r="H59">
        <v>0.31362801358639281</v>
      </c>
      <c r="I59">
        <v>-0.32221547280570312</v>
      </c>
      <c r="J59">
        <v>0.5323942429283991</v>
      </c>
      <c r="K59">
        <v>0.30213081591089108</v>
      </c>
      <c r="L59">
        <v>0.46299916286326959</v>
      </c>
      <c r="M59">
        <v>0.47913213123170689</v>
      </c>
      <c r="N59">
        <v>0.46873223054312929</v>
      </c>
      <c r="O59">
        <v>1.825941454112864</v>
      </c>
      <c r="P59">
        <v>0.69729329080051539</v>
      </c>
      <c r="Q59">
        <v>-0.52486557418804092</v>
      </c>
      <c r="R59">
        <v>1.543129999878305</v>
      </c>
      <c r="S59">
        <v>9.2051621882940804</v>
      </c>
      <c r="T59">
        <v>0.1086075550332026</v>
      </c>
      <c r="U59">
        <v>9.0965546332608778</v>
      </c>
      <c r="V59">
        <v>0.31362801358639281</v>
      </c>
      <c r="W59">
        <v>4.6722959822409997</v>
      </c>
      <c r="X59">
        <v>0.1099156368821657</v>
      </c>
      <c r="Y59">
        <v>4.5623803453588341</v>
      </c>
      <c r="Z59">
        <v>-0.32221547280570312</v>
      </c>
      <c r="AA59">
        <v>-0.5323942429283991</v>
      </c>
      <c r="AB59">
        <v>-0.36105429762281449</v>
      </c>
      <c r="AC59">
        <v>-0.24320733419896781</v>
      </c>
      <c r="AD59">
        <v>-1.193010895636671</v>
      </c>
      <c r="AE59">
        <v>1.103633721658374</v>
      </c>
      <c r="AF59">
        <v>0.93954807630614734</v>
      </c>
      <c r="AG59">
        <v>0.79166431872102505</v>
      </c>
      <c r="AH59">
        <v>0.50962650055983205</v>
      </c>
      <c r="AI59">
        <v>0.62653325557091</v>
      </c>
      <c r="AJ59">
        <v>1.38093082000733</v>
      </c>
      <c r="AK59">
        <v>-0.22553845317946419</v>
      </c>
      <c r="AL59">
        <v>0.28200402686725512</v>
      </c>
      <c r="AM59">
        <v>-0.46873223054312929</v>
      </c>
      <c r="AN59">
        <v>1.825941454112864</v>
      </c>
      <c r="AO59">
        <v>0.46033965645624508</v>
      </c>
      <c r="AP59">
        <v>0.93424692514478558</v>
      </c>
      <c r="AQ59">
        <v>-0.52486557418804092</v>
      </c>
    </row>
    <row r="60" spans="1:43" x14ac:dyDescent="0.3">
      <c r="A60">
        <v>456</v>
      </c>
      <c r="B60">
        <v>2024</v>
      </c>
      <c r="C60" t="s">
        <v>117</v>
      </c>
      <c r="D60">
        <v>18</v>
      </c>
      <c r="E60">
        <v>16.584660849325971</v>
      </c>
      <c r="F60">
        <v>1.415339150674026</v>
      </c>
      <c r="G60">
        <v>1.007300713770644</v>
      </c>
      <c r="H60">
        <v>1.2169822364981751</v>
      </c>
      <c r="I60">
        <v>-0.23162117981752109</v>
      </c>
      <c r="J60">
        <v>0.53516070012424632</v>
      </c>
      <c r="K60">
        <v>0.30213081591089108</v>
      </c>
      <c r="L60">
        <v>-2.9632787576382859E-2</v>
      </c>
      <c r="M60">
        <v>0.12273561891134251</v>
      </c>
      <c r="N60">
        <v>0.8861627361067671</v>
      </c>
      <c r="O60">
        <v>0.38804293472253931</v>
      </c>
      <c r="P60">
        <v>0.98592607804277277</v>
      </c>
      <c r="Q60">
        <v>-0.52486557418804092</v>
      </c>
      <c r="R60">
        <v>1.007300713770644</v>
      </c>
      <c r="S60">
        <v>9.2051621882940804</v>
      </c>
      <c r="T60">
        <v>0.1086075550332026</v>
      </c>
      <c r="U60">
        <v>9.0965546332608778</v>
      </c>
      <c r="V60">
        <v>1.2169822364981751</v>
      </c>
      <c r="W60">
        <v>4.6722959822409997</v>
      </c>
      <c r="X60">
        <v>0.1099156368821657</v>
      </c>
      <c r="Y60">
        <v>4.5623803453588341</v>
      </c>
      <c r="Z60">
        <v>-0.23162117981752109</v>
      </c>
      <c r="AA60">
        <v>-0.53516070012424632</v>
      </c>
      <c r="AB60">
        <v>-0.36105429762281449</v>
      </c>
      <c r="AC60">
        <v>-0.24320733419896781</v>
      </c>
      <c r="AD60">
        <v>-1.839943374347623</v>
      </c>
      <c r="AE60">
        <v>-9.8921332538586898E-2</v>
      </c>
      <c r="AF60">
        <v>0.54018341888563348</v>
      </c>
      <c r="AG60">
        <v>0.49557501186761549</v>
      </c>
      <c r="AH60">
        <v>0.10081706954894649</v>
      </c>
      <c r="AI60">
        <v>0.62449248112571698</v>
      </c>
      <c r="AJ60">
        <v>-0.183869879186283</v>
      </c>
      <c r="AK60">
        <v>-0.19179558184509729</v>
      </c>
      <c r="AL60">
        <v>0.74387231776540774</v>
      </c>
      <c r="AM60">
        <v>-0.8861627361067671</v>
      </c>
      <c r="AN60">
        <v>0.38804293472253931</v>
      </c>
      <c r="AO60">
        <v>0.85635964588998958</v>
      </c>
      <c r="AP60">
        <v>1.115492510195556</v>
      </c>
      <c r="AQ60">
        <v>-0.52486557418804092</v>
      </c>
    </row>
    <row r="61" spans="1:43" x14ac:dyDescent="0.3">
      <c r="A61">
        <v>466</v>
      </c>
      <c r="B61">
        <v>2024</v>
      </c>
      <c r="C61" t="s">
        <v>118</v>
      </c>
      <c r="D61">
        <v>19.5</v>
      </c>
      <c r="E61">
        <v>18.254457051953281</v>
      </c>
      <c r="F61">
        <v>1.2455429480467219</v>
      </c>
      <c r="G61">
        <v>1.2795023367448239</v>
      </c>
      <c r="H61">
        <v>0.79495527438232427</v>
      </c>
      <c r="I61">
        <v>0.1161299255563925</v>
      </c>
      <c r="J61">
        <v>0.64469332606465357</v>
      </c>
      <c r="K61">
        <v>0.30213081591089108</v>
      </c>
      <c r="L61">
        <v>0.55720414298250287</v>
      </c>
      <c r="M61">
        <v>0.69928617757180067</v>
      </c>
      <c r="N61">
        <v>0.64192768955702051</v>
      </c>
      <c r="O61">
        <v>1.3538228843284219</v>
      </c>
      <c r="P61">
        <v>0.67016950947927612</v>
      </c>
      <c r="Q61">
        <v>-0.52486557418804092</v>
      </c>
      <c r="R61">
        <v>1.2795023367448239</v>
      </c>
      <c r="S61">
        <v>9.2051621882940804</v>
      </c>
      <c r="T61">
        <v>0.1086075550332026</v>
      </c>
      <c r="U61">
        <v>9.0965546332608778</v>
      </c>
      <c r="V61">
        <v>0.79495527438232427</v>
      </c>
      <c r="W61">
        <v>4.6722959822409997</v>
      </c>
      <c r="X61">
        <v>0.1099156368821657</v>
      </c>
      <c r="Y61">
        <v>4.5623803453588341</v>
      </c>
      <c r="Z61">
        <v>0.1161299255563925</v>
      </c>
      <c r="AA61">
        <v>-0.64469332606465357</v>
      </c>
      <c r="AB61">
        <v>-0.36105429762281449</v>
      </c>
      <c r="AC61">
        <v>-0.24320733419896781</v>
      </c>
      <c r="AD61">
        <v>-1.0832094480217489</v>
      </c>
      <c r="AE61">
        <v>0.90808462346587948</v>
      </c>
      <c r="AF61">
        <v>1.0825768993872511</v>
      </c>
      <c r="AG61">
        <v>0.97594733222702612</v>
      </c>
      <c r="AH61">
        <v>0.40964639016109139</v>
      </c>
      <c r="AI61">
        <v>1.0501790606755179</v>
      </c>
      <c r="AJ61">
        <v>1.6507024405002551</v>
      </c>
      <c r="AK61">
        <v>-0.13033240545364641</v>
      </c>
      <c r="AL61">
        <v>0.57748849766879284</v>
      </c>
      <c r="AM61">
        <v>-0.64192768955702051</v>
      </c>
      <c r="AN61">
        <v>1.3538228843284219</v>
      </c>
      <c r="AO61">
        <v>0.93038731890394244</v>
      </c>
      <c r="AP61">
        <v>0.4099517000546099</v>
      </c>
      <c r="AQ61">
        <v>-0.52486557418804092</v>
      </c>
    </row>
    <row r="62" spans="1:43" x14ac:dyDescent="0.3">
      <c r="A62">
        <v>469</v>
      </c>
      <c r="B62">
        <v>2024</v>
      </c>
      <c r="C62" t="s">
        <v>119</v>
      </c>
      <c r="D62">
        <v>7</v>
      </c>
      <c r="E62">
        <v>7.4682001073979478</v>
      </c>
      <c r="F62">
        <v>-0.46820010739794782</v>
      </c>
      <c r="G62">
        <v>-0.73329483976166476</v>
      </c>
      <c r="H62">
        <v>0.60401502178710775</v>
      </c>
      <c r="I62">
        <v>0.58350915757494137</v>
      </c>
      <c r="J62">
        <v>-1.77070999113715</v>
      </c>
      <c r="K62">
        <v>0.30213081591089108</v>
      </c>
      <c r="L62">
        <v>-1.067243432856964</v>
      </c>
      <c r="M62">
        <v>-2.3723072514287642</v>
      </c>
      <c r="N62">
        <v>-0.91338642441726037</v>
      </c>
      <c r="O62">
        <v>-0.32981366744073448</v>
      </c>
      <c r="P62">
        <v>-1.432752393298503E-2</v>
      </c>
      <c r="Q62">
        <v>-0.52486557418804092</v>
      </c>
      <c r="R62">
        <v>-0.73329483976166476</v>
      </c>
      <c r="S62">
        <v>9.2051621882940804</v>
      </c>
      <c r="T62">
        <v>0.1086075550332026</v>
      </c>
      <c r="U62">
        <v>9.0965546332608778</v>
      </c>
      <c r="V62">
        <v>0.60401502178710775</v>
      </c>
      <c r="W62">
        <v>4.6722959822409997</v>
      </c>
      <c r="X62">
        <v>0.1099156368821657</v>
      </c>
      <c r="Y62">
        <v>4.5623803453588341</v>
      </c>
      <c r="Z62">
        <v>0.58350915757494137</v>
      </c>
      <c r="AA62">
        <v>1.77070999113715</v>
      </c>
      <c r="AB62">
        <v>-0.36105429762281449</v>
      </c>
      <c r="AC62">
        <v>-0.24320733419896781</v>
      </c>
      <c r="AD62">
        <v>-1.8981819626486049</v>
      </c>
      <c r="AE62">
        <v>-1.21773220415341</v>
      </c>
      <c r="AF62">
        <v>-0.46157363533789603</v>
      </c>
      <c r="AG62">
        <v>-0.90316220950490789</v>
      </c>
      <c r="AH62">
        <v>-0.93608257564013198</v>
      </c>
      <c r="AI62">
        <v>-0.98672800985683595</v>
      </c>
      <c r="AJ62">
        <v>-1.1650466796655681</v>
      </c>
      <c r="AK62">
        <v>-1.121085808520671</v>
      </c>
      <c r="AL62">
        <v>-4.8307892661000533</v>
      </c>
      <c r="AM62">
        <v>0.91338642441726037</v>
      </c>
      <c r="AN62">
        <v>-0.32981366744073448</v>
      </c>
      <c r="AO62">
        <v>-0.1747171933046574</v>
      </c>
      <c r="AP62">
        <v>0.14606214543868731</v>
      </c>
      <c r="AQ62">
        <v>-0.52486557418804092</v>
      </c>
    </row>
    <row r="63" spans="1:43" x14ac:dyDescent="0.3">
      <c r="A63">
        <v>513</v>
      </c>
      <c r="B63">
        <v>2024</v>
      </c>
      <c r="C63" t="s">
        <v>120</v>
      </c>
      <c r="D63">
        <v>8.6666666666666661</v>
      </c>
      <c r="E63">
        <v>8.9833889511593856</v>
      </c>
      <c r="F63">
        <v>-0.31672228449271961</v>
      </c>
      <c r="G63">
        <v>-0.96929617993768569</v>
      </c>
      <c r="H63">
        <v>0.68854977738823109</v>
      </c>
      <c r="I63">
        <v>1.3367297564337921</v>
      </c>
      <c r="J63">
        <v>-0.4359802497089999</v>
      </c>
      <c r="K63">
        <v>0.30213081591089108</v>
      </c>
      <c r="L63">
        <v>-1.3545824746805879</v>
      </c>
      <c r="M63">
        <v>-1.4196432621808071</v>
      </c>
      <c r="N63">
        <v>0.47445540419678039</v>
      </c>
      <c r="O63">
        <v>-5.301571326786169E-2</v>
      </c>
      <c r="P63">
        <v>-0.29737179483032983</v>
      </c>
      <c r="Q63">
        <v>-0.52486557418804092</v>
      </c>
      <c r="R63">
        <v>-0.96929617993768569</v>
      </c>
      <c r="S63">
        <v>9.2051621882940804</v>
      </c>
      <c r="T63">
        <v>0.1086075550332026</v>
      </c>
      <c r="U63">
        <v>9.0965546332608778</v>
      </c>
      <c r="V63">
        <v>0.68854977738823109</v>
      </c>
      <c r="W63">
        <v>4.6722959822409997</v>
      </c>
      <c r="X63">
        <v>0.1099156368821657</v>
      </c>
      <c r="Y63">
        <v>4.5623803453588341</v>
      </c>
      <c r="Z63">
        <v>1.3367297564337921</v>
      </c>
      <c r="AA63">
        <v>0.4359802497089999</v>
      </c>
      <c r="AB63">
        <v>-0.36105429762281449</v>
      </c>
      <c r="AC63">
        <v>-0.24320733419896781</v>
      </c>
      <c r="AD63">
        <v>-1.41825618945952</v>
      </c>
      <c r="AE63">
        <v>-1.8013855837356469</v>
      </c>
      <c r="AF63">
        <v>-1.0554602686119909</v>
      </c>
      <c r="AG63">
        <v>-1.424167187838782</v>
      </c>
      <c r="AH63">
        <v>-1.1608610359868241</v>
      </c>
      <c r="AI63">
        <v>-1.2673645824507651</v>
      </c>
      <c r="AJ63">
        <v>-0.53235516990385123</v>
      </c>
      <c r="AK63">
        <v>-1.7380275978566031</v>
      </c>
      <c r="AL63">
        <v>-1.9885470187819669</v>
      </c>
      <c r="AM63">
        <v>-0.47445540419678039</v>
      </c>
      <c r="AN63">
        <v>-5.301571326786169E-2</v>
      </c>
      <c r="AO63">
        <v>-0.54264448535474719</v>
      </c>
      <c r="AP63">
        <v>-5.2099104305912469E-2</v>
      </c>
      <c r="AQ63">
        <v>-0.52486557418804092</v>
      </c>
    </row>
    <row r="64" spans="1:43" x14ac:dyDescent="0.3">
      <c r="A64">
        <v>522</v>
      </c>
      <c r="B64">
        <v>2024</v>
      </c>
      <c r="C64" t="s">
        <v>121</v>
      </c>
      <c r="D64">
        <v>8</v>
      </c>
      <c r="E64">
        <v>9.2310557358313208</v>
      </c>
      <c r="F64">
        <v>-1.231055735831321</v>
      </c>
      <c r="G64">
        <v>-0.95083387766499605</v>
      </c>
      <c r="H64">
        <v>-0.50121488069759823</v>
      </c>
      <c r="I64">
        <v>0.65768732807466179</v>
      </c>
      <c r="J64">
        <v>0.34190935573295828</v>
      </c>
      <c r="K64">
        <v>0.30213081591089108</v>
      </c>
      <c r="L64">
        <v>-1.044502303076537</v>
      </c>
      <c r="M64">
        <v>-0.15852240591998859</v>
      </c>
      <c r="N64">
        <v>0.89327502957926563</v>
      </c>
      <c r="O64">
        <v>-0.76992836277045085</v>
      </c>
      <c r="P64">
        <v>0.65551177610329803</v>
      </c>
      <c r="Q64">
        <v>-0.52486557418804092</v>
      </c>
      <c r="R64">
        <v>-0.95083387766499605</v>
      </c>
      <c r="S64">
        <v>9.2051621882940804</v>
      </c>
      <c r="T64">
        <v>0.1086075550332026</v>
      </c>
      <c r="U64">
        <v>9.0965546332608778</v>
      </c>
      <c r="V64">
        <v>-0.50121488069759823</v>
      </c>
      <c r="W64">
        <v>4.6722959822409997</v>
      </c>
      <c r="X64">
        <v>0.1099156368821657</v>
      </c>
      <c r="Y64">
        <v>4.5623803453588341</v>
      </c>
      <c r="Z64">
        <v>0.65768732807466179</v>
      </c>
      <c r="AA64">
        <v>-0.34190935573295828</v>
      </c>
      <c r="AB64">
        <v>-0.36105429762281449</v>
      </c>
      <c r="AC64">
        <v>-0.24320733419896781</v>
      </c>
      <c r="AD64">
        <v>-1.9745873067366531</v>
      </c>
      <c r="AE64">
        <v>0.1135816516539332</v>
      </c>
      <c r="AF64">
        <v>-0.68510510087793974</v>
      </c>
      <c r="AG64">
        <v>-1.055674004075666</v>
      </c>
      <c r="AH64">
        <v>-1.2645644752047009</v>
      </c>
      <c r="AI64">
        <v>-1.4006645832181961</v>
      </c>
      <c r="AJ64">
        <v>0.1582501545312662</v>
      </c>
      <c r="AK64">
        <v>-1.222891928879128</v>
      </c>
      <c r="AL64">
        <v>0.58907455658789554</v>
      </c>
      <c r="AM64">
        <v>-0.89327502957926563</v>
      </c>
      <c r="AN64">
        <v>-0.76992836277045085</v>
      </c>
      <c r="AO64">
        <v>0.9005631804405938</v>
      </c>
      <c r="AP64">
        <v>0.41046037176600231</v>
      </c>
      <c r="AQ64">
        <v>-0.52486557418804092</v>
      </c>
    </row>
    <row r="65" spans="1:43" x14ac:dyDescent="0.3">
      <c r="A65">
        <v>524</v>
      </c>
      <c r="B65">
        <v>2024</v>
      </c>
      <c r="C65" t="s">
        <v>122</v>
      </c>
      <c r="D65">
        <v>1.6666666666666681</v>
      </c>
      <c r="E65">
        <v>3.6111522284951718</v>
      </c>
      <c r="F65">
        <v>-1.944485561828504</v>
      </c>
      <c r="G65">
        <v>-0.58731311667703412</v>
      </c>
      <c r="H65">
        <v>-0.102459248994166</v>
      </c>
      <c r="I65">
        <v>-2.2742277823744379</v>
      </c>
      <c r="J65">
        <v>-2.7234301518490822</v>
      </c>
      <c r="K65">
        <v>-3.5248968317784541</v>
      </c>
      <c r="L65">
        <v>-0.50437757210264256</v>
      </c>
      <c r="M65">
        <v>-2.7465785268964891</v>
      </c>
      <c r="N65">
        <v>-1.188821102098319</v>
      </c>
      <c r="O65">
        <v>-6.5681489036913773E-2</v>
      </c>
      <c r="P65">
        <v>-0.12807285475244889</v>
      </c>
      <c r="Q65">
        <v>-0.52486557418804092</v>
      </c>
      <c r="R65">
        <v>-0.58731311667703412</v>
      </c>
      <c r="S65">
        <v>9.2051621882940804</v>
      </c>
      <c r="T65">
        <v>0.1086075550332026</v>
      </c>
      <c r="U65">
        <v>9.0965546332608778</v>
      </c>
      <c r="V65">
        <v>-0.102459248994166</v>
      </c>
      <c r="W65">
        <v>4.6722959822409997</v>
      </c>
      <c r="X65">
        <v>0.1099156368821657</v>
      </c>
      <c r="Y65">
        <v>4.5623803453588341</v>
      </c>
      <c r="Z65">
        <v>-2.2742277823744379</v>
      </c>
      <c r="AA65">
        <v>2.7234301518490822</v>
      </c>
      <c r="AB65">
        <v>2.7696665199223802</v>
      </c>
      <c r="AC65">
        <v>4.2801271436345276</v>
      </c>
      <c r="AD65">
        <v>-0.28914577923498858</v>
      </c>
      <c r="AE65">
        <v>-0.4624882663929098</v>
      </c>
      <c r="AF65">
        <v>-0.66350899572537891</v>
      </c>
      <c r="AG65">
        <v>-0.67161895861776177</v>
      </c>
      <c r="AH65">
        <v>-0.40378453542108961</v>
      </c>
      <c r="AI65">
        <v>-0.53571889722372656</v>
      </c>
      <c r="AJ65">
        <v>-1.9792106640951459</v>
      </c>
      <c r="AK65">
        <v>-1.297142745996317</v>
      </c>
      <c r="AL65">
        <v>-4.9633821705980044</v>
      </c>
      <c r="AM65">
        <v>1.188821102098319</v>
      </c>
      <c r="AN65">
        <v>-6.5681489036913773E-2</v>
      </c>
      <c r="AO65">
        <v>-0.28391950970405488</v>
      </c>
      <c r="AP65">
        <v>2.7773800199157098E-2</v>
      </c>
      <c r="AQ65">
        <v>-0.52486557418804092</v>
      </c>
    </row>
    <row r="66" spans="1:43" x14ac:dyDescent="0.3">
      <c r="A66">
        <v>528</v>
      </c>
      <c r="B66">
        <v>2024</v>
      </c>
      <c r="C66" t="s">
        <v>123</v>
      </c>
      <c r="D66">
        <v>20</v>
      </c>
      <c r="E66">
        <v>20.047573295088721</v>
      </c>
      <c r="F66">
        <v>-4.7573295088717771E-2</v>
      </c>
      <c r="G66">
        <v>0.98392374808022287</v>
      </c>
      <c r="H66">
        <v>0.98636293439112943</v>
      </c>
      <c r="I66">
        <v>-5.060723344209804E-2</v>
      </c>
      <c r="J66">
        <v>0.53834689565325666</v>
      </c>
      <c r="K66">
        <v>0.30213081591089108</v>
      </c>
      <c r="L66">
        <v>1.145807940676989</v>
      </c>
      <c r="M66">
        <v>-0.48047440420682208</v>
      </c>
      <c r="N66">
        <v>0.88080073360601618</v>
      </c>
      <c r="O66">
        <v>2.0649554401416119</v>
      </c>
      <c r="P66">
        <v>1.211624790031572</v>
      </c>
      <c r="Q66">
        <v>-0.52486557418804092</v>
      </c>
      <c r="R66">
        <v>0.98392374808022287</v>
      </c>
      <c r="S66">
        <v>9.2051621882940804</v>
      </c>
      <c r="T66">
        <v>0.1086075550332026</v>
      </c>
      <c r="U66">
        <v>9.0965546332608778</v>
      </c>
      <c r="V66">
        <v>0.98636293439112943</v>
      </c>
      <c r="W66">
        <v>4.6722959822409997</v>
      </c>
      <c r="X66">
        <v>0.1099156368821657</v>
      </c>
      <c r="Y66">
        <v>4.5623803453588341</v>
      </c>
      <c r="Z66">
        <v>-5.060723344209804E-2</v>
      </c>
      <c r="AA66">
        <v>-0.53834689565325666</v>
      </c>
      <c r="AB66">
        <v>-0.36105429762281449</v>
      </c>
      <c r="AC66">
        <v>-0.24320733419896781</v>
      </c>
      <c r="AD66">
        <v>0.96450222112980089</v>
      </c>
      <c r="AE66">
        <v>1.0621148112560139</v>
      </c>
      <c r="AF66">
        <v>1.350259820537417</v>
      </c>
      <c r="AG66">
        <v>1.172222888232348</v>
      </c>
      <c r="AH66">
        <v>1.2625786652651101</v>
      </c>
      <c r="AI66">
        <v>1.0631692376412469</v>
      </c>
      <c r="AJ66">
        <v>0.24062259452757331</v>
      </c>
      <c r="AK66">
        <v>-1.076865321881989</v>
      </c>
      <c r="AL66">
        <v>-0.60518048526605062</v>
      </c>
      <c r="AM66">
        <v>-0.88080073360601618</v>
      </c>
      <c r="AN66">
        <v>2.0649554401416119</v>
      </c>
      <c r="AO66">
        <v>1.2844049855507449</v>
      </c>
      <c r="AP66">
        <v>1.1388445945123991</v>
      </c>
      <c r="AQ66">
        <v>-0.52486557418804092</v>
      </c>
    </row>
    <row r="67" spans="1:43" x14ac:dyDescent="0.3">
      <c r="A67">
        <v>532</v>
      </c>
      <c r="B67">
        <v>2024</v>
      </c>
      <c r="C67" t="s">
        <v>124</v>
      </c>
      <c r="D67">
        <v>19.666666666666671</v>
      </c>
      <c r="E67">
        <v>19.567257433232339</v>
      </c>
      <c r="F67">
        <v>9.9409233434336386E-2</v>
      </c>
      <c r="G67">
        <v>1.338244504589132</v>
      </c>
      <c r="H67">
        <v>0.6354188404952289</v>
      </c>
      <c r="I67">
        <v>-0.87665254589337716</v>
      </c>
      <c r="J67">
        <v>0.49192765180845421</v>
      </c>
      <c r="K67">
        <v>0.30213081591089108</v>
      </c>
      <c r="L67">
        <v>0.95702897320602676</v>
      </c>
      <c r="M67">
        <v>0.1249540851924618</v>
      </c>
      <c r="N67">
        <v>1.355907494048197</v>
      </c>
      <c r="O67">
        <v>1.3574823172458721</v>
      </c>
      <c r="P67">
        <v>1.500184036858794</v>
      </c>
      <c r="Q67">
        <v>-0.52486557418804092</v>
      </c>
      <c r="R67">
        <v>1.338244504589132</v>
      </c>
      <c r="S67">
        <v>9.2051621882940804</v>
      </c>
      <c r="T67">
        <v>0.1086075550332026</v>
      </c>
      <c r="U67">
        <v>9.0965546332608778</v>
      </c>
      <c r="V67">
        <v>0.6354188404952289</v>
      </c>
      <c r="W67">
        <v>4.6722959822409997</v>
      </c>
      <c r="X67">
        <v>0.1099156368821657</v>
      </c>
      <c r="Y67">
        <v>4.5623803453588341</v>
      </c>
      <c r="Z67">
        <v>-0.87665254589337716</v>
      </c>
      <c r="AA67">
        <v>-0.49192765180845421</v>
      </c>
      <c r="AB67">
        <v>-0.36105429762281449</v>
      </c>
      <c r="AC67">
        <v>-0.24320733419896781</v>
      </c>
      <c r="AD67">
        <v>-0.50149572079094151</v>
      </c>
      <c r="AE67">
        <v>0.7184728148982068</v>
      </c>
      <c r="AF67">
        <v>1.512117388650368</v>
      </c>
      <c r="AG67">
        <v>1.6861181342264291</v>
      </c>
      <c r="AH67">
        <v>0.86685370594116085</v>
      </c>
      <c r="AI67">
        <v>1.4601075163109369</v>
      </c>
      <c r="AJ67">
        <v>-9.9843474772648252E-2</v>
      </c>
      <c r="AK67">
        <v>-0.98652682772274281</v>
      </c>
      <c r="AL67">
        <v>1.461232558072777</v>
      </c>
      <c r="AM67">
        <v>-1.355907494048197</v>
      </c>
      <c r="AN67">
        <v>1.3574823172458721</v>
      </c>
      <c r="AO67">
        <v>1.515710601565919</v>
      </c>
      <c r="AP67">
        <v>1.484657472151669</v>
      </c>
      <c r="AQ67">
        <v>-0.52486557418804092</v>
      </c>
    </row>
    <row r="68" spans="1:43" x14ac:dyDescent="0.3">
      <c r="A68">
        <v>534</v>
      </c>
      <c r="B68">
        <v>2024</v>
      </c>
      <c r="C68" t="s">
        <v>125</v>
      </c>
      <c r="D68">
        <v>13</v>
      </c>
      <c r="E68">
        <v>13.012084364344201</v>
      </c>
      <c r="F68">
        <v>-1.208436434420079E-2</v>
      </c>
      <c r="G68">
        <v>-0.94749718675013694</v>
      </c>
      <c r="H68">
        <v>1.816460082608413</v>
      </c>
      <c r="I68">
        <v>1.0354764448104401</v>
      </c>
      <c r="J68">
        <v>-5.8005880695690758E-2</v>
      </c>
      <c r="K68">
        <v>0.30213081591089108</v>
      </c>
      <c r="L68">
        <v>-0.36074266827553059</v>
      </c>
      <c r="M68">
        <v>-1.2953687629184589</v>
      </c>
      <c r="N68">
        <v>-0.65551022124643277</v>
      </c>
      <c r="O68">
        <v>4.748291794916009E-2</v>
      </c>
      <c r="P68">
        <v>0.43061738000924638</v>
      </c>
      <c r="Q68">
        <v>-0.52486557418804092</v>
      </c>
      <c r="R68">
        <v>-0.94749718675013694</v>
      </c>
      <c r="S68">
        <v>9.2051621882940804</v>
      </c>
      <c r="T68">
        <v>0.1086075550332026</v>
      </c>
      <c r="U68">
        <v>9.0965546332608778</v>
      </c>
      <c r="V68">
        <v>1.816460082608413</v>
      </c>
      <c r="W68">
        <v>4.6722959822409997</v>
      </c>
      <c r="X68">
        <v>0.1099156368821657</v>
      </c>
      <c r="Y68">
        <v>4.5623803453588341</v>
      </c>
      <c r="Z68">
        <v>1.0354764448104401</v>
      </c>
      <c r="AA68">
        <v>5.8005880695690758E-2</v>
      </c>
      <c r="AB68">
        <v>-0.36105429762281449</v>
      </c>
      <c r="AC68">
        <v>-0.24320733419896781</v>
      </c>
      <c r="AD68">
        <v>-0.2377553235137182</v>
      </c>
      <c r="AE68">
        <v>-0.98649679442590632</v>
      </c>
      <c r="AF68">
        <v>0.1092660769308786</v>
      </c>
      <c r="AG68">
        <v>-0.43673532446022051</v>
      </c>
      <c r="AH68">
        <v>-0.1682284718509682</v>
      </c>
      <c r="AI68">
        <v>-0.44450617233324902</v>
      </c>
      <c r="AJ68">
        <v>-1.479450279359414</v>
      </c>
      <c r="AK68">
        <v>-0.73597157040618388</v>
      </c>
      <c r="AL68">
        <v>-1.670684438989779</v>
      </c>
      <c r="AM68">
        <v>0.65551022124643277</v>
      </c>
      <c r="AN68">
        <v>4.748291794916009E-2</v>
      </c>
      <c r="AO68">
        <v>0.25328350968487728</v>
      </c>
      <c r="AP68">
        <v>0.60795125033361563</v>
      </c>
      <c r="AQ68">
        <v>-0.52486557418804092</v>
      </c>
    </row>
    <row r="69" spans="1:43" x14ac:dyDescent="0.3">
      <c r="A69">
        <v>536</v>
      </c>
      <c r="B69">
        <v>2024</v>
      </c>
      <c r="C69" t="s">
        <v>126</v>
      </c>
      <c r="D69">
        <v>14</v>
      </c>
      <c r="E69">
        <v>13.630226322740761</v>
      </c>
      <c r="F69">
        <v>0.36977367725924282</v>
      </c>
      <c r="G69">
        <v>-0.48323745685229269</v>
      </c>
      <c r="H69">
        <v>1.2790262429401591</v>
      </c>
      <c r="I69">
        <v>0.44078494370584831</v>
      </c>
      <c r="J69">
        <v>0.37613710890088908</v>
      </c>
      <c r="K69">
        <v>0.30213081591089108</v>
      </c>
      <c r="L69">
        <v>-0.41539517304884338</v>
      </c>
      <c r="M69">
        <v>-0.68791315408728793</v>
      </c>
      <c r="N69">
        <v>0.49684801567660031</v>
      </c>
      <c r="O69">
        <v>8.9249590469872978E-2</v>
      </c>
      <c r="P69">
        <v>0.22694971161505409</v>
      </c>
      <c r="Q69">
        <v>-0.52486557418804092</v>
      </c>
      <c r="R69">
        <v>-0.48323745685229269</v>
      </c>
      <c r="S69">
        <v>9.2051621882940804</v>
      </c>
      <c r="T69">
        <v>0.1086075550332026</v>
      </c>
      <c r="U69">
        <v>9.0965546332608778</v>
      </c>
      <c r="V69">
        <v>1.2790262429401591</v>
      </c>
      <c r="W69">
        <v>4.6722959822409997</v>
      </c>
      <c r="X69">
        <v>0.1099156368821657</v>
      </c>
      <c r="Y69">
        <v>4.5623803453588341</v>
      </c>
      <c r="Z69">
        <v>0.44078494370584831</v>
      </c>
      <c r="AA69">
        <v>-0.37613710890088908</v>
      </c>
      <c r="AB69">
        <v>-0.36105429762281449</v>
      </c>
      <c r="AC69">
        <v>-0.24320733419896781</v>
      </c>
      <c r="AD69">
        <v>-0.34305572796558897</v>
      </c>
      <c r="AE69">
        <v>-0.77394447320975068</v>
      </c>
      <c r="AF69">
        <v>-0.14653380896410029</v>
      </c>
      <c r="AG69">
        <v>-0.1814486431620107</v>
      </c>
      <c r="AH69">
        <v>-0.34864822319144811</v>
      </c>
      <c r="AI69">
        <v>-0.69874016180016207</v>
      </c>
      <c r="AJ69">
        <v>-8.9869568134823413E-2</v>
      </c>
      <c r="AK69">
        <v>-1.2258619615638151</v>
      </c>
      <c r="AL69">
        <v>-0.74800793256322529</v>
      </c>
      <c r="AM69">
        <v>-0.49684801567660031</v>
      </c>
      <c r="AN69">
        <v>8.9249590469872978E-2</v>
      </c>
      <c r="AO69">
        <v>3.4887928562211103E-2</v>
      </c>
      <c r="AP69">
        <v>0.419011494667897</v>
      </c>
      <c r="AQ69">
        <v>-0.52486557418804092</v>
      </c>
    </row>
    <row r="70" spans="1:43" x14ac:dyDescent="0.3">
      <c r="A70">
        <v>542</v>
      </c>
      <c r="B70">
        <v>2024</v>
      </c>
      <c r="C70" t="s">
        <v>127</v>
      </c>
      <c r="D70">
        <v>19.666666666666671</v>
      </c>
      <c r="E70">
        <v>18.93150885328205</v>
      </c>
      <c r="F70">
        <v>0.73515781338462105</v>
      </c>
      <c r="G70">
        <v>1.0311370074241759</v>
      </c>
      <c r="H70">
        <v>1.432993345275102</v>
      </c>
      <c r="I70">
        <v>-0.46891273759620511</v>
      </c>
      <c r="J70">
        <v>0.44216958031349129</v>
      </c>
      <c r="K70">
        <v>0.30213081591089108</v>
      </c>
      <c r="L70">
        <v>0.9078351265482576</v>
      </c>
      <c r="M70">
        <v>0.20809223604217481</v>
      </c>
      <c r="N70">
        <v>0.22877567303543281</v>
      </c>
      <c r="O70">
        <v>0.65404362216018153</v>
      </c>
      <c r="P70">
        <v>0.49310595313072109</v>
      </c>
      <c r="Q70">
        <v>-0.52486557418804092</v>
      </c>
      <c r="R70">
        <v>1.0311370074241759</v>
      </c>
      <c r="S70">
        <v>9.2051621882940804</v>
      </c>
      <c r="T70">
        <v>0.1086075550332026</v>
      </c>
      <c r="U70">
        <v>9.0965546332608778</v>
      </c>
      <c r="V70">
        <v>1.432993345275102</v>
      </c>
      <c r="W70">
        <v>4.6722959822409997</v>
      </c>
      <c r="X70">
        <v>0.1099156368821657</v>
      </c>
      <c r="Y70">
        <v>4.5623803453588341</v>
      </c>
      <c r="Z70">
        <v>-0.46891273759620511</v>
      </c>
      <c r="AA70">
        <v>-0.44216958031349129</v>
      </c>
      <c r="AB70">
        <v>-0.36105429762281449</v>
      </c>
      <c r="AC70">
        <v>-0.24320733419896781</v>
      </c>
      <c r="AD70">
        <v>0.72981292037938628</v>
      </c>
      <c r="AE70">
        <v>0.72840159006934779</v>
      </c>
      <c r="AF70">
        <v>1.340603645379367</v>
      </c>
      <c r="AG70">
        <v>0.84639734844435188</v>
      </c>
      <c r="AH70">
        <v>1.0786490243371649</v>
      </c>
      <c r="AI70">
        <v>0.72314623067992712</v>
      </c>
      <c r="AJ70">
        <v>0.51595754987878273</v>
      </c>
      <c r="AK70">
        <v>-0.63152542099467168</v>
      </c>
      <c r="AL70">
        <v>0.73984457924241342</v>
      </c>
      <c r="AM70">
        <v>-0.22877567303543281</v>
      </c>
      <c r="AN70">
        <v>0.65404362216018153</v>
      </c>
      <c r="AO70">
        <v>0.49787139216643428</v>
      </c>
      <c r="AP70">
        <v>0.48834051409500812</v>
      </c>
      <c r="AQ70">
        <v>-0.52486557418804092</v>
      </c>
    </row>
    <row r="71" spans="1:43" x14ac:dyDescent="0.3">
      <c r="A71">
        <v>544</v>
      </c>
      <c r="B71">
        <v>2024</v>
      </c>
      <c r="C71" t="s">
        <v>129</v>
      </c>
      <c r="D71">
        <v>4</v>
      </c>
      <c r="E71">
        <v>5.5580410022906559</v>
      </c>
      <c r="F71">
        <v>-1.5580410022906559</v>
      </c>
      <c r="G71">
        <v>-1.148338230081992</v>
      </c>
      <c r="H71">
        <v>-1.0565322676128559</v>
      </c>
      <c r="I71">
        <v>-0.168357984376617</v>
      </c>
      <c r="J71">
        <v>-3.6709226624116198</v>
      </c>
      <c r="K71">
        <v>0.30213081591089108</v>
      </c>
      <c r="L71">
        <v>-0.87834706100091076</v>
      </c>
      <c r="M71">
        <v>-0.60633191129546338</v>
      </c>
      <c r="N71">
        <v>-1.1787360922134871</v>
      </c>
      <c r="O71">
        <v>0.24195009690860311</v>
      </c>
      <c r="P71">
        <v>2.3180877929754141E-2</v>
      </c>
      <c r="Q71">
        <v>-0.52486557418804092</v>
      </c>
      <c r="R71">
        <v>-1.148338230081992</v>
      </c>
      <c r="S71">
        <v>9.2051621882940804</v>
      </c>
      <c r="T71">
        <v>0.1086075550332026</v>
      </c>
      <c r="U71">
        <v>9.0965546332608778</v>
      </c>
      <c r="V71">
        <v>-1.0565322676128559</v>
      </c>
      <c r="W71">
        <v>4.6722959822409997</v>
      </c>
      <c r="X71">
        <v>0.1099156368821657</v>
      </c>
      <c r="Y71">
        <v>4.5623803453588341</v>
      </c>
      <c r="Z71">
        <v>-0.168357984376617</v>
      </c>
      <c r="AA71">
        <v>3.6709226624116198</v>
      </c>
      <c r="AB71">
        <v>-0.36105429762281449</v>
      </c>
      <c r="AC71">
        <v>-0.24320733419896781</v>
      </c>
      <c r="AD71">
        <v>-1.7569299533152261</v>
      </c>
      <c r="AE71">
        <v>0.63010057883064807</v>
      </c>
      <c r="AF71">
        <v>-1.013273957298116</v>
      </c>
      <c r="AG71">
        <v>-1.061057467041038</v>
      </c>
      <c r="AH71">
        <v>-0.92624820134453845</v>
      </c>
      <c r="AI71">
        <v>-1.142673365837195</v>
      </c>
      <c r="AJ71">
        <v>0.36218897920116178</v>
      </c>
      <c r="AK71">
        <v>-0.9417288347287055</v>
      </c>
      <c r="AL71">
        <v>-1.239455878358847</v>
      </c>
      <c r="AM71">
        <v>1.1787360922134871</v>
      </c>
      <c r="AN71">
        <v>0.24195009690860311</v>
      </c>
      <c r="AO71">
        <v>0.19770319899359901</v>
      </c>
      <c r="AP71">
        <v>-0.15134144313409079</v>
      </c>
      <c r="AQ71">
        <v>-0.52486557418804092</v>
      </c>
    </row>
    <row r="72" spans="1:43" x14ac:dyDescent="0.3">
      <c r="A72">
        <v>546</v>
      </c>
      <c r="B72">
        <v>2024</v>
      </c>
      <c r="C72" t="s">
        <v>130</v>
      </c>
      <c r="D72">
        <v>19.5</v>
      </c>
      <c r="E72">
        <v>19.055517563706061</v>
      </c>
      <c r="F72">
        <v>0.44448243629393502</v>
      </c>
      <c r="G72">
        <v>1.5633698870048609</v>
      </c>
      <c r="H72">
        <v>-0.45690899508252558</v>
      </c>
      <c r="I72">
        <v>0.97112175186365446</v>
      </c>
      <c r="J72">
        <v>0.60333002123295121</v>
      </c>
      <c r="K72">
        <v>0.30213081591089108</v>
      </c>
      <c r="L72">
        <v>0.75962690637098762</v>
      </c>
      <c r="M72">
        <v>0.43276322105646248</v>
      </c>
      <c r="N72">
        <v>1.6127557485530779</v>
      </c>
      <c r="O72">
        <v>3.6530717411644829</v>
      </c>
      <c r="P72">
        <v>1.1497071483431069</v>
      </c>
      <c r="Q72">
        <v>-0.52486557418804092</v>
      </c>
      <c r="R72">
        <v>1.5633698870048609</v>
      </c>
      <c r="S72">
        <v>9.2051621882940804</v>
      </c>
      <c r="T72">
        <v>0.1086075550332026</v>
      </c>
      <c r="U72">
        <v>9.0965546332608778</v>
      </c>
      <c r="V72">
        <v>-0.45690899508252558</v>
      </c>
      <c r="W72">
        <v>4.6722959822409997</v>
      </c>
      <c r="X72">
        <v>0.1099156368821657</v>
      </c>
      <c r="Y72">
        <v>4.5623803453588341</v>
      </c>
      <c r="Z72">
        <v>0.97112175186365446</v>
      </c>
      <c r="AA72">
        <v>-0.60333002123295121</v>
      </c>
      <c r="AB72">
        <v>-0.36105429762281449</v>
      </c>
      <c r="AC72">
        <v>-0.24320733419896781</v>
      </c>
      <c r="AD72">
        <v>-8.2214548066360402E-2</v>
      </c>
      <c r="AE72">
        <v>1.227213339129066</v>
      </c>
      <c r="AF72">
        <v>0.91867567223778646</v>
      </c>
      <c r="AG72">
        <v>1.2600047843515569</v>
      </c>
      <c r="AH72">
        <v>0.79260056879010576</v>
      </c>
      <c r="AI72">
        <v>0.44148162178377159</v>
      </c>
      <c r="AJ72">
        <v>0.35557312153185111</v>
      </c>
      <c r="AK72">
        <v>0.1654333493964896</v>
      </c>
      <c r="AL72">
        <v>0.77728319224104658</v>
      </c>
      <c r="AM72">
        <v>-1.6127557485530779</v>
      </c>
      <c r="AN72">
        <v>3.6530717411644829</v>
      </c>
      <c r="AO72">
        <v>1.159281284486501</v>
      </c>
      <c r="AP72">
        <v>1.1401330121997131</v>
      </c>
      <c r="AQ72">
        <v>-0.52486557418804092</v>
      </c>
    </row>
    <row r="73" spans="1:43" x14ac:dyDescent="0.3">
      <c r="A73">
        <v>548</v>
      </c>
      <c r="B73">
        <v>2024</v>
      </c>
      <c r="C73" t="s">
        <v>131</v>
      </c>
      <c r="D73">
        <v>15.66666666666667</v>
      </c>
      <c r="E73">
        <v>14.791342010848931</v>
      </c>
      <c r="F73">
        <v>0.87532465581774055</v>
      </c>
      <c r="G73">
        <v>0.22794735889017059</v>
      </c>
      <c r="H73">
        <v>0.65476538629260661</v>
      </c>
      <c r="I73">
        <v>0.17921848139635521</v>
      </c>
      <c r="J73">
        <v>0.49452239786800739</v>
      </c>
      <c r="K73">
        <v>0.30213081591089108</v>
      </c>
      <c r="L73">
        <v>0.31569983042071692</v>
      </c>
      <c r="M73">
        <v>-0.45224363668126261</v>
      </c>
      <c r="N73">
        <v>-0.33434571912891842</v>
      </c>
      <c r="O73">
        <v>0.59564786578137674</v>
      </c>
      <c r="P73">
        <v>0.43134058787214141</v>
      </c>
      <c r="Q73">
        <v>-0.52486557418804092</v>
      </c>
      <c r="R73">
        <v>0.22794735889017059</v>
      </c>
      <c r="S73">
        <v>9.2051621882940804</v>
      </c>
      <c r="T73">
        <v>0.1086075550332026</v>
      </c>
      <c r="U73">
        <v>9.0965546332608778</v>
      </c>
      <c r="V73">
        <v>0.65476538629260661</v>
      </c>
      <c r="W73">
        <v>4.6722959822409997</v>
      </c>
      <c r="X73">
        <v>0.1099156368821657</v>
      </c>
      <c r="Y73">
        <v>4.5623803453588341</v>
      </c>
      <c r="Z73">
        <v>0.17921848139635521</v>
      </c>
      <c r="AA73">
        <v>-0.49452239786800739</v>
      </c>
      <c r="AB73">
        <v>-0.36105429762281449</v>
      </c>
      <c r="AC73">
        <v>-0.24320733419896781</v>
      </c>
      <c r="AD73">
        <v>-0.28990304564836022</v>
      </c>
      <c r="AE73">
        <v>0.42206680697428323</v>
      </c>
      <c r="AF73">
        <v>0.68978358435864628</v>
      </c>
      <c r="AG73">
        <v>0.46113981125878678</v>
      </c>
      <c r="AH73">
        <v>0.24610774168907529</v>
      </c>
      <c r="AI73">
        <v>0.36500408389186972</v>
      </c>
      <c r="AJ73">
        <v>-0.36723438890729881</v>
      </c>
      <c r="AK73">
        <v>-0.78324459063746088</v>
      </c>
      <c r="AL73">
        <v>-0.20625193049902821</v>
      </c>
      <c r="AM73">
        <v>0.33434571912891842</v>
      </c>
      <c r="AN73">
        <v>0.59564786578137674</v>
      </c>
      <c r="AO73">
        <v>0.59972508639196875</v>
      </c>
      <c r="AP73">
        <v>0.2629560893523139</v>
      </c>
      <c r="AQ73">
        <v>-0.52486557418804092</v>
      </c>
    </row>
    <row r="74" spans="1:43" x14ac:dyDescent="0.3">
      <c r="A74">
        <v>556</v>
      </c>
      <c r="B74">
        <v>2024</v>
      </c>
      <c r="C74" t="s">
        <v>132</v>
      </c>
      <c r="D74">
        <v>4</v>
      </c>
      <c r="E74">
        <v>6.4049527778337358</v>
      </c>
      <c r="F74">
        <v>-2.4049527778337358</v>
      </c>
      <c r="G74">
        <v>0.47492250666864588</v>
      </c>
      <c r="H74">
        <v>-1.481136632947291</v>
      </c>
      <c r="I74">
        <v>0.92196070419874232</v>
      </c>
      <c r="J74">
        <v>0.58261021078681252</v>
      </c>
      <c r="K74">
        <v>0.30213081591089108</v>
      </c>
      <c r="L74">
        <v>-0.41205227751470691</v>
      </c>
      <c r="M74">
        <v>-0.95997473011261236</v>
      </c>
      <c r="N74">
        <v>-2.0911933364215769</v>
      </c>
      <c r="O74">
        <v>-1.9192747777336221</v>
      </c>
      <c r="P74">
        <v>-0.15256094795904521</v>
      </c>
      <c r="Q74">
        <v>-0.52486557418804092</v>
      </c>
      <c r="R74">
        <v>0.47492250666864588</v>
      </c>
      <c r="S74">
        <v>9.2051621882940804</v>
      </c>
      <c r="T74">
        <v>0.1086075550332026</v>
      </c>
      <c r="U74">
        <v>9.0965546332608778</v>
      </c>
      <c r="V74">
        <v>-1.481136632947291</v>
      </c>
      <c r="W74">
        <v>4.6722959822409997</v>
      </c>
      <c r="X74">
        <v>0.1099156368821657</v>
      </c>
      <c r="Y74">
        <v>4.5623803453588341</v>
      </c>
      <c r="Z74">
        <v>0.92196070419874232</v>
      </c>
      <c r="AA74">
        <v>-0.58261021078681252</v>
      </c>
      <c r="AB74">
        <v>-0.36105429762281449</v>
      </c>
      <c r="AC74">
        <v>-0.24320733419896781</v>
      </c>
      <c r="AD74">
        <v>-0.60105333974774788</v>
      </c>
      <c r="AE74">
        <v>-0.10648433725930211</v>
      </c>
      <c r="AF74">
        <v>-0.60293316676723729</v>
      </c>
      <c r="AG74">
        <v>-0.59777787284509276</v>
      </c>
      <c r="AH74">
        <v>-7.8133400615944842E-2</v>
      </c>
      <c r="AI74">
        <v>-0.48593154785291598</v>
      </c>
      <c r="AJ74">
        <v>-2.5874059584335631</v>
      </c>
      <c r="AK74">
        <v>0.22887654757773229</v>
      </c>
      <c r="AL74">
        <v>-0.52139477948200652</v>
      </c>
      <c r="AM74">
        <v>2.0911933364215769</v>
      </c>
      <c r="AN74">
        <v>-1.9192747777336221</v>
      </c>
      <c r="AO74">
        <v>-7.0576062897398104E-3</v>
      </c>
      <c r="AP74">
        <v>-0.29806428962835052</v>
      </c>
      <c r="AQ74">
        <v>-0.52486557418804092</v>
      </c>
    </row>
    <row r="75" spans="1:43" x14ac:dyDescent="0.3">
      <c r="A75">
        <v>564</v>
      </c>
      <c r="B75">
        <v>2024</v>
      </c>
      <c r="C75" t="s">
        <v>134</v>
      </c>
      <c r="D75">
        <v>5.6666666666666679</v>
      </c>
      <c r="E75">
        <v>5.2113005938373966</v>
      </c>
      <c r="F75">
        <v>0.45536607282927122</v>
      </c>
      <c r="G75">
        <v>-1.356818427934479</v>
      </c>
      <c r="H75">
        <v>0.58783073175771794</v>
      </c>
      <c r="I75">
        <v>-1.2715461762446919E-3</v>
      </c>
      <c r="J75">
        <v>-1.396055370758857</v>
      </c>
      <c r="K75">
        <v>-1.3187264341673091</v>
      </c>
      <c r="L75">
        <v>-1.4462124321811181</v>
      </c>
      <c r="M75">
        <v>-2.5490348408979542</v>
      </c>
      <c r="N75">
        <v>-0.34276378523113338</v>
      </c>
      <c r="O75">
        <v>-6.6068625939178886E-3</v>
      </c>
      <c r="P75">
        <v>-2.9033781259017451E-2</v>
      </c>
      <c r="Q75">
        <v>-0.52486557418804092</v>
      </c>
      <c r="R75">
        <v>-1.356818427934479</v>
      </c>
      <c r="S75">
        <v>9.2051621882940804</v>
      </c>
      <c r="T75">
        <v>0.1086075550332026</v>
      </c>
      <c r="U75">
        <v>9.0965546332608778</v>
      </c>
      <c r="V75">
        <v>0.58783073175771794</v>
      </c>
      <c r="W75">
        <v>4.6722959822409997</v>
      </c>
      <c r="X75">
        <v>0.1099156368821657</v>
      </c>
      <c r="Y75">
        <v>4.5623803453588341</v>
      </c>
      <c r="Z75">
        <v>-1.2715461762446919E-3</v>
      </c>
      <c r="AA75">
        <v>1.396055370758857</v>
      </c>
      <c r="AB75">
        <v>2.7696665199223802</v>
      </c>
      <c r="AC75">
        <v>-0.13221365158776169</v>
      </c>
      <c r="AD75">
        <v>-1.42428595055504</v>
      </c>
      <c r="AE75">
        <v>-2.5239684118494252</v>
      </c>
      <c r="AF75">
        <v>-1.0342408066337541</v>
      </c>
      <c r="AG75">
        <v>-1.2423284700176589</v>
      </c>
      <c r="AH75">
        <v>-1.2223455483947789</v>
      </c>
      <c r="AI75">
        <v>-1.230105405636053</v>
      </c>
      <c r="AJ75">
        <v>-0.88525103240095993</v>
      </c>
      <c r="AK75">
        <v>-1.3807161657071081</v>
      </c>
      <c r="AL75">
        <v>-5.3811373245857954</v>
      </c>
      <c r="AM75">
        <v>0.34276378523113338</v>
      </c>
      <c r="AN75">
        <v>-6.6068625939178886E-3</v>
      </c>
      <c r="AO75">
        <v>-0.23914019035879761</v>
      </c>
      <c r="AP75">
        <v>0.1810726278407627</v>
      </c>
      <c r="AQ75">
        <v>-0.52486557418804092</v>
      </c>
    </row>
    <row r="76" spans="1:43" x14ac:dyDescent="0.3">
      <c r="A76">
        <v>566</v>
      </c>
      <c r="B76">
        <v>2024</v>
      </c>
      <c r="C76" t="s">
        <v>135</v>
      </c>
      <c r="D76">
        <v>14.33333333333333</v>
      </c>
      <c r="E76">
        <v>11.960715895136691</v>
      </c>
      <c r="F76">
        <v>2.3726174381966421</v>
      </c>
      <c r="G76">
        <v>-0.63188016962971316</v>
      </c>
      <c r="H76">
        <v>0.7013185536902834</v>
      </c>
      <c r="I76">
        <v>0.61581748374903955</v>
      </c>
      <c r="J76">
        <v>0.20629571609101191</v>
      </c>
      <c r="K76">
        <v>0.30213081591089108</v>
      </c>
      <c r="L76">
        <v>-0.56811394477890564</v>
      </c>
      <c r="M76">
        <v>-0.48651486215164319</v>
      </c>
      <c r="N76">
        <v>3.9521988915665593E-2</v>
      </c>
      <c r="O76">
        <v>1.2013573452468019E-2</v>
      </c>
      <c r="P76">
        <v>0.51228506244842498</v>
      </c>
      <c r="Q76">
        <v>-0.52486557418804092</v>
      </c>
      <c r="R76">
        <v>-0.63188016962971316</v>
      </c>
      <c r="S76">
        <v>9.2051621882940804</v>
      </c>
      <c r="T76">
        <v>0.1086075550332026</v>
      </c>
      <c r="U76">
        <v>9.0965546332608778</v>
      </c>
      <c r="V76">
        <v>0.7013185536902834</v>
      </c>
      <c r="W76">
        <v>4.6722959822409997</v>
      </c>
      <c r="X76">
        <v>0.1099156368821657</v>
      </c>
      <c r="Y76">
        <v>4.5623803453588341</v>
      </c>
      <c r="Z76">
        <v>0.61581748374903955</v>
      </c>
      <c r="AA76">
        <v>-0.20629571609101191</v>
      </c>
      <c r="AB76">
        <v>-0.36105429762281449</v>
      </c>
      <c r="AC76">
        <v>-0.24320733419896781</v>
      </c>
      <c r="AD76">
        <v>-0.53946924881939184</v>
      </c>
      <c r="AE76">
        <v>-0.97251997663257173</v>
      </c>
      <c r="AF76">
        <v>-0.18668215071539379</v>
      </c>
      <c r="AG76">
        <v>-0.23396978185167</v>
      </c>
      <c r="AH76">
        <v>-0.74466423601313003</v>
      </c>
      <c r="AI76">
        <v>-0.73137827464127658</v>
      </c>
      <c r="AJ76">
        <v>-0.32926838750954851</v>
      </c>
      <c r="AK76">
        <v>-0.68003595484456847</v>
      </c>
      <c r="AL76">
        <v>-0.45024024410081281</v>
      </c>
      <c r="AM76">
        <v>-3.9521988915665593E-2</v>
      </c>
      <c r="AN76">
        <v>1.2013573452468019E-2</v>
      </c>
      <c r="AO76">
        <v>0.46027019377152423</v>
      </c>
      <c r="AP76">
        <v>0.56429993112532584</v>
      </c>
      <c r="AQ76">
        <v>-0.52486557418804092</v>
      </c>
    </row>
    <row r="77" spans="1:43" x14ac:dyDescent="0.3">
      <c r="A77">
        <v>576</v>
      </c>
      <c r="B77">
        <v>2024</v>
      </c>
      <c r="C77" t="s">
        <v>136</v>
      </c>
      <c r="D77">
        <v>22</v>
      </c>
      <c r="E77">
        <v>18.077493292819209</v>
      </c>
      <c r="F77">
        <v>3.9225067071807871</v>
      </c>
      <c r="G77">
        <v>1.7294120992822011</v>
      </c>
      <c r="H77">
        <v>0.79026793785952987</v>
      </c>
      <c r="I77">
        <v>-0.32548996532334817</v>
      </c>
      <c r="J77">
        <v>0.40708327146409068</v>
      </c>
      <c r="K77">
        <v>0.30213081591089108</v>
      </c>
      <c r="L77">
        <v>1.499131225583384</v>
      </c>
      <c r="M77">
        <v>0.46248704508567062</v>
      </c>
      <c r="N77">
        <v>-3.2076844996219709</v>
      </c>
      <c r="O77">
        <v>2.4528036059577931</v>
      </c>
      <c r="P77">
        <v>0.93019630214527138</v>
      </c>
      <c r="Q77">
        <v>-0.52486557418804092</v>
      </c>
      <c r="R77">
        <v>1.7294120992822011</v>
      </c>
      <c r="S77">
        <v>9.2051621882940804</v>
      </c>
      <c r="T77">
        <v>0.1086075550332026</v>
      </c>
      <c r="U77">
        <v>9.0965546332608778</v>
      </c>
      <c r="V77">
        <v>0.79026793785952987</v>
      </c>
      <c r="W77">
        <v>4.6722959822409997</v>
      </c>
      <c r="X77">
        <v>0.1099156368821657</v>
      </c>
      <c r="Y77">
        <v>4.5623803453588341</v>
      </c>
      <c r="Z77">
        <v>-0.32548996532334817</v>
      </c>
      <c r="AA77">
        <v>-0.40708327146409068</v>
      </c>
      <c r="AB77">
        <v>-0.36105429762281449</v>
      </c>
      <c r="AC77">
        <v>-0.24320733419896781</v>
      </c>
      <c r="AD77">
        <v>-0.1098394958867185</v>
      </c>
      <c r="AE77">
        <v>1.4414154422819121</v>
      </c>
      <c r="AF77">
        <v>2.242843835261914</v>
      </c>
      <c r="AG77">
        <v>2.1395916396317141</v>
      </c>
      <c r="AH77">
        <v>1.416832707159472</v>
      </c>
      <c r="AI77">
        <v>1.8639432250520109</v>
      </c>
      <c r="AJ77">
        <v>1.068707446136326</v>
      </c>
      <c r="AK77">
        <v>-0.85898042409699382</v>
      </c>
      <c r="AL77">
        <v>1.1777341132176791</v>
      </c>
      <c r="AM77">
        <v>3.2076844996219709</v>
      </c>
      <c r="AN77">
        <v>2.4528036059577931</v>
      </c>
      <c r="AO77">
        <v>1.2235750933819121</v>
      </c>
      <c r="AP77">
        <v>0.63681751090863048</v>
      </c>
      <c r="AQ77">
        <v>-0.52486557418804092</v>
      </c>
    </row>
    <row r="78" spans="1:43" x14ac:dyDescent="0.3">
      <c r="A78">
        <v>578</v>
      </c>
      <c r="B78">
        <v>2024</v>
      </c>
      <c r="C78" t="s">
        <v>137</v>
      </c>
      <c r="D78">
        <v>15</v>
      </c>
      <c r="E78">
        <v>12.755633180487701</v>
      </c>
      <c r="F78">
        <v>2.2443668195122961</v>
      </c>
      <c r="G78">
        <v>-0.16886097951839929</v>
      </c>
      <c r="H78">
        <v>0.7699798299669055</v>
      </c>
      <c r="I78">
        <v>-0.71227302150759153</v>
      </c>
      <c r="J78">
        <v>0.569827270640484</v>
      </c>
      <c r="K78">
        <v>0.30213081591089108</v>
      </c>
      <c r="L78">
        <v>-0.48837659369223502</v>
      </c>
      <c r="M78">
        <v>-0.2064301675905558</v>
      </c>
      <c r="N78">
        <v>-0.1431194848663879</v>
      </c>
      <c r="O78">
        <v>0.43183975200664282</v>
      </c>
      <c r="P78">
        <v>0.74039951790340353</v>
      </c>
      <c r="Q78">
        <v>-0.52486557418804092</v>
      </c>
      <c r="R78">
        <v>-0.16886097951839929</v>
      </c>
      <c r="S78">
        <v>9.2051621882940804</v>
      </c>
      <c r="T78">
        <v>0.1086075550332026</v>
      </c>
      <c r="U78">
        <v>9.0965546332608778</v>
      </c>
      <c r="V78">
        <v>0.7699798299669055</v>
      </c>
      <c r="W78">
        <v>4.6722959822409997</v>
      </c>
      <c r="X78">
        <v>0.1099156368821657</v>
      </c>
      <c r="Y78">
        <v>4.5623803453588341</v>
      </c>
      <c r="Z78">
        <v>-0.71227302150759153</v>
      </c>
      <c r="AA78">
        <v>-0.569827270640484</v>
      </c>
      <c r="AB78">
        <v>-0.36105429762281449</v>
      </c>
      <c r="AC78">
        <v>-0.24320733419896781</v>
      </c>
      <c r="AD78">
        <v>-0.76250712195888182</v>
      </c>
      <c r="AE78">
        <v>-0.86323606259578634</v>
      </c>
      <c r="AF78">
        <v>-6.251620950973108E-2</v>
      </c>
      <c r="AG78">
        <v>-0.20261712253701691</v>
      </c>
      <c r="AH78">
        <v>-0.35825514456844348</v>
      </c>
      <c r="AI78">
        <v>-0.68112790098355058</v>
      </c>
      <c r="AJ78">
        <v>-0.17419669335160889</v>
      </c>
      <c r="AK78">
        <v>-0.65908072423593955</v>
      </c>
      <c r="AL78">
        <v>0.21398691481588111</v>
      </c>
      <c r="AM78">
        <v>0.1431194848663879</v>
      </c>
      <c r="AN78">
        <v>0.43183975200664282</v>
      </c>
      <c r="AO78">
        <v>0.91055407077627293</v>
      </c>
      <c r="AP78">
        <v>0.57024496503053423</v>
      </c>
      <c r="AQ78">
        <v>-0.52486557418804092</v>
      </c>
    </row>
    <row r="79" spans="1:43" x14ac:dyDescent="0.3">
      <c r="A79">
        <v>582</v>
      </c>
      <c r="B79">
        <v>2024</v>
      </c>
      <c r="C79" t="s">
        <v>138</v>
      </c>
      <c r="D79">
        <v>11.66666666666667</v>
      </c>
      <c r="E79">
        <v>13.0370649622591</v>
      </c>
      <c r="F79">
        <v>-1.3703982955924321</v>
      </c>
      <c r="G79">
        <v>-0.55106548607985006</v>
      </c>
      <c r="H79">
        <v>0.69888759499469244</v>
      </c>
      <c r="I79">
        <v>1.028272561271621</v>
      </c>
      <c r="J79">
        <v>0.2611669636445062</v>
      </c>
      <c r="K79">
        <v>0.30213081591089108</v>
      </c>
      <c r="L79">
        <v>-0.55647510336865358</v>
      </c>
      <c r="M79">
        <v>-0.17033789052251741</v>
      </c>
      <c r="N79">
        <v>0.74405577863868</v>
      </c>
      <c r="O79">
        <v>0.50133018486308578</v>
      </c>
      <c r="P79">
        <v>0.22129801642187771</v>
      </c>
      <c r="Q79">
        <v>-0.52486557418804092</v>
      </c>
      <c r="R79">
        <v>-0.55106548607985006</v>
      </c>
      <c r="S79">
        <v>9.2051621882940804</v>
      </c>
      <c r="T79">
        <v>0.1086075550332026</v>
      </c>
      <c r="U79">
        <v>9.0965546332608778</v>
      </c>
      <c r="V79">
        <v>0.69888759499469244</v>
      </c>
      <c r="W79">
        <v>4.6722959822409997</v>
      </c>
      <c r="X79">
        <v>0.1099156368821657</v>
      </c>
      <c r="Y79">
        <v>4.5623803453588341</v>
      </c>
      <c r="Z79">
        <v>1.028272561271621</v>
      </c>
      <c r="AA79">
        <v>-0.2611669636445062</v>
      </c>
      <c r="AB79">
        <v>-0.36105429762281449</v>
      </c>
      <c r="AC79">
        <v>-0.24320733419896781</v>
      </c>
      <c r="AD79">
        <v>-1.350064021586814</v>
      </c>
      <c r="AE79">
        <v>-3.4127380400653301E-2</v>
      </c>
      <c r="AF79">
        <v>-0.45615611825947572</v>
      </c>
      <c r="AG79">
        <v>-0.63414746639659059</v>
      </c>
      <c r="AH79">
        <v>-0.46435384627506421</v>
      </c>
      <c r="AI79">
        <v>-0.40000178729332309</v>
      </c>
      <c r="AJ79">
        <v>0.19676747740145911</v>
      </c>
      <c r="AK79">
        <v>-0.9755542069709805</v>
      </c>
      <c r="AL79">
        <v>0.26777305800196932</v>
      </c>
      <c r="AM79">
        <v>-0.74405577863868</v>
      </c>
      <c r="AN79">
        <v>0.50133018486308578</v>
      </c>
      <c r="AO79">
        <v>0.45806172086348163</v>
      </c>
      <c r="AP79">
        <v>-1.546568801972625E-2</v>
      </c>
      <c r="AQ79">
        <v>-0.52486557418804092</v>
      </c>
    </row>
    <row r="80" spans="1:43" x14ac:dyDescent="0.3">
      <c r="A80">
        <v>614</v>
      </c>
      <c r="B80">
        <v>2024</v>
      </c>
      <c r="C80" t="s">
        <v>140</v>
      </c>
      <c r="D80">
        <v>7</v>
      </c>
      <c r="E80">
        <v>8.2131755313250423</v>
      </c>
      <c r="F80">
        <v>-1.2131755313250421</v>
      </c>
      <c r="G80">
        <v>-0.85709231210573156</v>
      </c>
      <c r="H80">
        <v>-2.3105943440550579E-2</v>
      </c>
      <c r="I80">
        <v>-0.60596116443471282</v>
      </c>
      <c r="J80">
        <v>-2.5945227860301721</v>
      </c>
      <c r="K80">
        <v>0.30213081591089108</v>
      </c>
      <c r="L80">
        <v>-1.1112398545650271</v>
      </c>
      <c r="M80">
        <v>-0.75756473947411551</v>
      </c>
      <c r="N80">
        <v>-5.1770965578984092E-2</v>
      </c>
      <c r="O80">
        <v>0.68258202657294087</v>
      </c>
      <c r="P80">
        <v>0.42649461051906817</v>
      </c>
      <c r="Q80">
        <v>-0.52486557418804092</v>
      </c>
      <c r="R80">
        <v>-0.85709231210573156</v>
      </c>
      <c r="S80">
        <v>9.2051621882940804</v>
      </c>
      <c r="T80">
        <v>0.1086075550332026</v>
      </c>
      <c r="U80">
        <v>9.0965546332608778</v>
      </c>
      <c r="V80">
        <v>-2.3105943440550579E-2</v>
      </c>
      <c r="W80">
        <v>4.6722959822409997</v>
      </c>
      <c r="X80">
        <v>0.1099156368821657</v>
      </c>
      <c r="Y80">
        <v>4.5623803453588341</v>
      </c>
      <c r="Z80">
        <v>-0.60596116443471282</v>
      </c>
      <c r="AA80">
        <v>2.5945227860301721</v>
      </c>
      <c r="AB80">
        <v>-0.36105429762281449</v>
      </c>
      <c r="AC80">
        <v>-0.24320733419896781</v>
      </c>
      <c r="AD80">
        <v>-1.307054781025641</v>
      </c>
      <c r="AE80">
        <v>-0.73118732384834184</v>
      </c>
      <c r="AF80">
        <v>-1.244596588441172</v>
      </c>
      <c r="AG80">
        <v>-1.2194533773830121</v>
      </c>
      <c r="AH80">
        <v>-1.3868931823256001</v>
      </c>
      <c r="AI80">
        <v>-0.7782538743663967</v>
      </c>
      <c r="AJ80">
        <v>0.79347273105283345</v>
      </c>
      <c r="AK80">
        <v>-0.99023936857860206</v>
      </c>
      <c r="AL80">
        <v>-2.075927580896578</v>
      </c>
      <c r="AM80">
        <v>5.1770965578984092E-2</v>
      </c>
      <c r="AN80">
        <v>0.68258202657294087</v>
      </c>
      <c r="AO80">
        <v>0.1247545880262541</v>
      </c>
      <c r="AP80">
        <v>0.72823463301188229</v>
      </c>
      <c r="AQ80">
        <v>-0.52486557418804092</v>
      </c>
    </row>
    <row r="81" spans="1:43" x14ac:dyDescent="0.3">
      <c r="A81">
        <v>616</v>
      </c>
      <c r="B81">
        <v>2024</v>
      </c>
      <c r="C81" t="s">
        <v>142</v>
      </c>
      <c r="D81">
        <v>15.5</v>
      </c>
      <c r="E81">
        <v>12.949996651732</v>
      </c>
      <c r="F81">
        <v>2.550003348268</v>
      </c>
      <c r="G81">
        <v>-0.20806806472025599</v>
      </c>
      <c r="H81">
        <v>-0.95413778863778631</v>
      </c>
      <c r="I81">
        <v>5.5660963730544917E-2</v>
      </c>
      <c r="J81">
        <v>-9.3511927878254519E-2</v>
      </c>
      <c r="K81">
        <v>0.30213081591089108</v>
      </c>
      <c r="L81">
        <v>0.39083092302887062</v>
      </c>
      <c r="M81">
        <v>-4.1556169383027308E-2</v>
      </c>
      <c r="N81">
        <v>0.78297891596278357</v>
      </c>
      <c r="O81">
        <v>-3.1343594647206971E-2</v>
      </c>
      <c r="P81">
        <v>0.38095619865433572</v>
      </c>
      <c r="Q81">
        <v>-0.52486557418804092</v>
      </c>
      <c r="R81">
        <v>-0.20806806472025599</v>
      </c>
      <c r="S81">
        <v>9.2051621882940804</v>
      </c>
      <c r="T81">
        <v>0.1086075550332026</v>
      </c>
      <c r="U81">
        <v>9.0965546332608778</v>
      </c>
      <c r="V81">
        <v>-0.95413778863778631</v>
      </c>
      <c r="W81">
        <v>4.6722959822409997</v>
      </c>
      <c r="X81">
        <v>0.1099156368821657</v>
      </c>
      <c r="Y81">
        <v>4.5623803453588341</v>
      </c>
      <c r="Z81">
        <v>5.5660963730544917E-2</v>
      </c>
      <c r="AA81">
        <v>9.3511927878254519E-2</v>
      </c>
      <c r="AB81">
        <v>-0.36105429762281449</v>
      </c>
      <c r="AC81">
        <v>-0.24320733419896781</v>
      </c>
      <c r="AD81">
        <v>0.17055094202686941</v>
      </c>
      <c r="AE81">
        <v>1.2012476245922969</v>
      </c>
      <c r="AF81">
        <v>0.123243976487971</v>
      </c>
      <c r="AG81">
        <v>0.13907783932995879</v>
      </c>
      <c r="AH81">
        <v>0.21047848166299191</v>
      </c>
      <c r="AI81">
        <v>0.50038667407313608</v>
      </c>
      <c r="AJ81">
        <v>-0.20810296390682731</v>
      </c>
      <c r="AK81">
        <v>-0.29492171673008188</v>
      </c>
      <c r="AL81">
        <v>0.37835617248782732</v>
      </c>
      <c r="AM81">
        <v>-0.78297891596278357</v>
      </c>
      <c r="AN81">
        <v>-3.1343594647206971E-2</v>
      </c>
      <c r="AO81">
        <v>0.41887359628482562</v>
      </c>
      <c r="AP81">
        <v>0.34303880102384587</v>
      </c>
      <c r="AQ81">
        <v>-0.52486557418804092</v>
      </c>
    </row>
    <row r="82" spans="1:43" x14ac:dyDescent="0.3">
      <c r="A82">
        <v>622</v>
      </c>
      <c r="B82">
        <v>2024</v>
      </c>
      <c r="C82" t="s">
        <v>143</v>
      </c>
      <c r="D82">
        <v>7</v>
      </c>
      <c r="E82">
        <v>7.5264745375462594</v>
      </c>
      <c r="F82">
        <v>-0.5264745375462585</v>
      </c>
      <c r="G82">
        <v>-1.2266084675110429</v>
      </c>
      <c r="H82">
        <v>-0.41484190828394257</v>
      </c>
      <c r="I82">
        <v>0.16363189701236419</v>
      </c>
      <c r="J82">
        <v>0.19711870980685681</v>
      </c>
      <c r="K82">
        <v>0.30213081591089108</v>
      </c>
      <c r="L82">
        <v>-1.4534645734434599</v>
      </c>
      <c r="M82">
        <v>-0.31696942623845059</v>
      </c>
      <c r="N82">
        <v>0.42283571172841178</v>
      </c>
      <c r="O82">
        <v>-0.27629284466574072</v>
      </c>
      <c r="P82">
        <v>0.17910448837969151</v>
      </c>
      <c r="Q82">
        <v>-0.52486557418804092</v>
      </c>
      <c r="R82">
        <v>-1.2266084675110429</v>
      </c>
      <c r="S82">
        <v>9.2051621882940804</v>
      </c>
      <c r="T82">
        <v>0.1086075550332026</v>
      </c>
      <c r="U82">
        <v>9.0965546332608778</v>
      </c>
      <c r="V82">
        <v>-0.41484190828394257</v>
      </c>
      <c r="W82">
        <v>4.6722959822409997</v>
      </c>
      <c r="X82">
        <v>0.1099156368821657</v>
      </c>
      <c r="Y82">
        <v>4.5623803453588341</v>
      </c>
      <c r="Z82">
        <v>0.16363189701236419</v>
      </c>
      <c r="AA82">
        <v>-0.19711870980685681</v>
      </c>
      <c r="AB82">
        <v>-0.36105429762281449</v>
      </c>
      <c r="AC82">
        <v>-0.24320733419896781</v>
      </c>
      <c r="AD82">
        <v>-1.5065999367589491</v>
      </c>
      <c r="AE82">
        <v>-1.914322844205542</v>
      </c>
      <c r="AF82">
        <v>-1.2623454713206519</v>
      </c>
      <c r="AG82">
        <v>-1.1681763551346629</v>
      </c>
      <c r="AH82">
        <v>-1.4774226778553861</v>
      </c>
      <c r="AI82">
        <v>-1.39192015538557</v>
      </c>
      <c r="AJ82">
        <v>0.23528480027165191</v>
      </c>
      <c r="AK82">
        <v>-1.1686063314756721</v>
      </c>
      <c r="AL82">
        <v>-1.7586747511332199E-2</v>
      </c>
      <c r="AM82">
        <v>-0.42283571172841178</v>
      </c>
      <c r="AN82">
        <v>-0.27629284466574072</v>
      </c>
      <c r="AO82">
        <v>-3.8390534693529557E-2</v>
      </c>
      <c r="AP82">
        <v>0.39659951145291239</v>
      </c>
      <c r="AQ82">
        <v>-0.52486557418804092</v>
      </c>
    </row>
    <row r="83" spans="1:43" x14ac:dyDescent="0.3">
      <c r="A83">
        <v>624</v>
      </c>
      <c r="B83">
        <v>2024</v>
      </c>
      <c r="C83" t="s">
        <v>144</v>
      </c>
      <c r="D83">
        <v>8</v>
      </c>
      <c r="E83">
        <v>9.2697072582085234</v>
      </c>
      <c r="F83">
        <v>-1.2697072582085229</v>
      </c>
      <c r="G83">
        <v>-0.42837057709210219</v>
      </c>
      <c r="H83">
        <v>-1.977228631233489</v>
      </c>
      <c r="I83">
        <v>0.28775699338123212</v>
      </c>
      <c r="J83">
        <v>0.40353457464734871</v>
      </c>
      <c r="K83">
        <v>0.30213081591089108</v>
      </c>
      <c r="L83">
        <v>0.43200757405227819</v>
      </c>
      <c r="M83">
        <v>-0.2160062707935971</v>
      </c>
      <c r="N83">
        <v>-1.4774802004548051</v>
      </c>
      <c r="O83">
        <v>-0.51462149520111489</v>
      </c>
      <c r="P83">
        <v>0.58925841822772917</v>
      </c>
      <c r="Q83">
        <v>-0.52486557418804092</v>
      </c>
      <c r="R83">
        <v>-0.42837057709210219</v>
      </c>
      <c r="S83">
        <v>9.2051621882940804</v>
      </c>
      <c r="T83">
        <v>0.1086075550332026</v>
      </c>
      <c r="U83">
        <v>9.0965546332608778</v>
      </c>
      <c r="V83">
        <v>-1.977228631233489</v>
      </c>
      <c r="W83">
        <v>4.6722959822409997</v>
      </c>
      <c r="X83">
        <v>0.1099156368821657</v>
      </c>
      <c r="Y83">
        <v>4.5623803453588341</v>
      </c>
      <c r="Z83">
        <v>0.28775699338123212</v>
      </c>
      <c r="AA83">
        <v>-0.40353457464734871</v>
      </c>
      <c r="AB83">
        <v>-0.36105429762281449</v>
      </c>
      <c r="AC83">
        <v>-0.24320733419896781</v>
      </c>
      <c r="AD83">
        <v>0.71156541860588041</v>
      </c>
      <c r="AE83">
        <v>0.88511643395047901</v>
      </c>
      <c r="AF83">
        <v>0.12131638271967771</v>
      </c>
      <c r="AG83">
        <v>-0.27345891644280979</v>
      </c>
      <c r="AH83">
        <v>0.3313379076083019</v>
      </c>
      <c r="AI83">
        <v>0.81616821787214022</v>
      </c>
      <c r="AJ83">
        <v>-0.12282355614673229</v>
      </c>
      <c r="AK83">
        <v>-0.36100494396437988</v>
      </c>
      <c r="AL83">
        <v>-0.16419031226967909</v>
      </c>
      <c r="AM83">
        <v>1.4774802004548051</v>
      </c>
      <c r="AN83">
        <v>-0.51462149520111489</v>
      </c>
      <c r="AO83">
        <v>0.68649775393243306</v>
      </c>
      <c r="AP83">
        <v>0.49201908252302518</v>
      </c>
      <c r="AQ83">
        <v>-0.52486557418804092</v>
      </c>
    </row>
    <row r="84" spans="1:43" x14ac:dyDescent="0.3">
      <c r="A84">
        <v>634</v>
      </c>
      <c r="B84">
        <v>2024</v>
      </c>
      <c r="C84" t="s">
        <v>145</v>
      </c>
      <c r="D84">
        <v>5.6666666666666679</v>
      </c>
      <c r="E84">
        <v>3.7456162738415051</v>
      </c>
      <c r="F84">
        <v>1.921050392825163</v>
      </c>
      <c r="G84">
        <v>-1.054431988216781</v>
      </c>
      <c r="H84">
        <v>-1.0951314719608349</v>
      </c>
      <c r="I84">
        <v>-0.66263171494009121</v>
      </c>
      <c r="J84">
        <v>0.33204550490362711</v>
      </c>
      <c r="K84">
        <v>-2.2733981083619978</v>
      </c>
      <c r="L84">
        <v>-1.366968772125895</v>
      </c>
      <c r="M84">
        <v>4.5539540491560691E-2</v>
      </c>
      <c r="N84">
        <v>-1.1106970034863419</v>
      </c>
      <c r="O84">
        <v>1.0845765514410279</v>
      </c>
      <c r="P84">
        <v>-0.43972833547822959</v>
      </c>
      <c r="Q84">
        <v>-0.52486557418804092</v>
      </c>
      <c r="R84">
        <v>-1.054431988216781</v>
      </c>
      <c r="S84">
        <v>9.2051621882940804</v>
      </c>
      <c r="T84">
        <v>0.1086075550332026</v>
      </c>
      <c r="U84">
        <v>9.0965546332608778</v>
      </c>
      <c r="V84">
        <v>-1.0951314719608349</v>
      </c>
      <c r="W84">
        <v>4.6722959822409997</v>
      </c>
      <c r="X84">
        <v>0.1099156368821657</v>
      </c>
      <c r="Y84">
        <v>4.5623803453588341</v>
      </c>
      <c r="Z84">
        <v>-0.66263171494009121</v>
      </c>
      <c r="AA84">
        <v>-0.33204550490362711</v>
      </c>
      <c r="AB84">
        <v>2.7696665199223802</v>
      </c>
      <c r="AC84">
        <v>1.7771296968016159</v>
      </c>
      <c r="AD84">
        <v>-1.5862700374879299</v>
      </c>
      <c r="AE84">
        <v>-0.35191677637344088</v>
      </c>
      <c r="AF84">
        <v>-1.614921033015988</v>
      </c>
      <c r="AG84">
        <v>-1.6571395538945699</v>
      </c>
      <c r="AH84">
        <v>-1.3963998519422649</v>
      </c>
      <c r="AI84">
        <v>-1.595165380041174</v>
      </c>
      <c r="AJ84">
        <v>1.555173465366114</v>
      </c>
      <c r="AK84">
        <v>-0.34136972788227887</v>
      </c>
      <c r="AL84">
        <v>-1.077185116009153</v>
      </c>
      <c r="AM84">
        <v>1.1106970034863419</v>
      </c>
      <c r="AN84">
        <v>1.0845765514410279</v>
      </c>
      <c r="AO84">
        <v>-0.51150966591796931</v>
      </c>
      <c r="AP84">
        <v>-0.36794700503848993</v>
      </c>
      <c r="AQ84">
        <v>-0.52486557418804092</v>
      </c>
    </row>
    <row r="85" spans="1:43" x14ac:dyDescent="0.3">
      <c r="A85">
        <v>636</v>
      </c>
      <c r="B85">
        <v>2024</v>
      </c>
      <c r="C85" t="s">
        <v>146</v>
      </c>
      <c r="D85">
        <v>7</v>
      </c>
      <c r="E85">
        <v>6.225778361261316</v>
      </c>
      <c r="F85">
        <v>0.77422163873868399</v>
      </c>
      <c r="G85">
        <v>-1.950332764760027</v>
      </c>
      <c r="H85">
        <v>-0.25068196568626477</v>
      </c>
      <c r="I85">
        <v>0.9086007747267496</v>
      </c>
      <c r="J85">
        <v>-1.0842851842944441</v>
      </c>
      <c r="K85">
        <v>0.30213081591089108</v>
      </c>
      <c r="L85">
        <v>-1.954068730835705</v>
      </c>
      <c r="M85">
        <v>-0.15853969612710611</v>
      </c>
      <c r="N85">
        <v>0.98634605744204018</v>
      </c>
      <c r="O85">
        <v>-0.17497956937168949</v>
      </c>
      <c r="P85">
        <v>-0.14748332660264599</v>
      </c>
      <c r="Q85">
        <v>-0.52486557418804092</v>
      </c>
      <c r="R85">
        <v>-1.950332764760027</v>
      </c>
      <c r="S85">
        <v>9.2051621882940804</v>
      </c>
      <c r="T85">
        <v>0.1086075550332026</v>
      </c>
      <c r="U85">
        <v>9.0965546332608778</v>
      </c>
      <c r="V85">
        <v>-0.25068196568626477</v>
      </c>
      <c r="W85">
        <v>4.6722959822409997</v>
      </c>
      <c r="X85">
        <v>0.1099156368821657</v>
      </c>
      <c r="Y85">
        <v>4.5623803453588341</v>
      </c>
      <c r="Z85">
        <v>0.9086007747267496</v>
      </c>
      <c r="AA85">
        <v>1.0842851842944441</v>
      </c>
      <c r="AB85">
        <v>-0.36105429762281449</v>
      </c>
      <c r="AC85">
        <v>-0.24320733419896781</v>
      </c>
      <c r="AD85">
        <v>-1.47587936240439</v>
      </c>
      <c r="AE85">
        <v>-2.5910487138631511</v>
      </c>
      <c r="AF85">
        <v>-2.278094079838711</v>
      </c>
      <c r="AG85">
        <v>-1.811248118730616</v>
      </c>
      <c r="AH85">
        <v>-1.879381571910391</v>
      </c>
      <c r="AI85">
        <v>-1.688760538266969</v>
      </c>
      <c r="AJ85">
        <v>0.22886942313777461</v>
      </c>
      <c r="AK85">
        <v>-1.167946324212408</v>
      </c>
      <c r="AL85">
        <v>0.46345781269331482</v>
      </c>
      <c r="AM85">
        <v>-0.98634605744204018</v>
      </c>
      <c r="AN85">
        <v>-0.17497956937168949</v>
      </c>
      <c r="AO85">
        <v>-3.849778045270337E-2</v>
      </c>
      <c r="AP85">
        <v>-0.25646887275258867</v>
      </c>
      <c r="AQ85">
        <v>-0.52486557418804092</v>
      </c>
    </row>
    <row r="86" spans="1:43" x14ac:dyDescent="0.3">
      <c r="A86">
        <v>638</v>
      </c>
      <c r="B86">
        <v>2024</v>
      </c>
      <c r="C86" t="s">
        <v>148</v>
      </c>
      <c r="D86">
        <v>9.3333333333333339</v>
      </c>
      <c r="E86">
        <v>7.7600257462556019</v>
      </c>
      <c r="F86">
        <v>1.573307587077732</v>
      </c>
      <c r="G86">
        <v>-1.40279361089291</v>
      </c>
      <c r="H86">
        <v>-0.89962336003374654</v>
      </c>
      <c r="I86">
        <v>1.297566825922756</v>
      </c>
      <c r="J86">
        <v>0.5126093042243054</v>
      </c>
      <c r="K86">
        <v>0.30213081591089108</v>
      </c>
      <c r="L86">
        <v>-0.5434076460163928</v>
      </c>
      <c r="M86">
        <v>-0.62618257290842072</v>
      </c>
      <c r="N86">
        <v>0.12820339815088241</v>
      </c>
      <c r="O86">
        <v>-0.41795039806029471</v>
      </c>
      <c r="P86">
        <v>-3.2631114327012298</v>
      </c>
      <c r="Q86">
        <v>-0.52486557418804092</v>
      </c>
      <c r="R86">
        <v>-1.40279361089291</v>
      </c>
      <c r="S86">
        <v>9.2051621882940804</v>
      </c>
      <c r="T86">
        <v>0.1086075550332026</v>
      </c>
      <c r="U86">
        <v>9.0965546332608778</v>
      </c>
      <c r="V86">
        <v>-0.89962336003374654</v>
      </c>
      <c r="W86">
        <v>4.6722959822409997</v>
      </c>
      <c r="X86">
        <v>0.1099156368821657</v>
      </c>
      <c r="Y86">
        <v>4.5623803453588341</v>
      </c>
      <c r="Z86">
        <v>1.297566825922756</v>
      </c>
      <c r="AA86">
        <v>-0.5126093042243054</v>
      </c>
      <c r="AB86">
        <v>-0.36105429762281449</v>
      </c>
      <c r="AC86">
        <v>-0.24320733419896781</v>
      </c>
      <c r="AD86">
        <v>-0.56679085360960979</v>
      </c>
      <c r="AE86">
        <v>-0.52591401863148723</v>
      </c>
      <c r="AF86">
        <v>-0.56212143235542722</v>
      </c>
      <c r="AG86">
        <v>-0.64623713322776088</v>
      </c>
      <c r="AH86">
        <v>-0.5705829830677055</v>
      </c>
      <c r="AI86">
        <v>-0.388799455206366</v>
      </c>
      <c r="AJ86">
        <v>-0.27067795102905989</v>
      </c>
      <c r="AK86">
        <v>-1.189314059360576</v>
      </c>
      <c r="AL86">
        <v>-0.41855570833562572</v>
      </c>
      <c r="AM86">
        <v>-0.12820339815088241</v>
      </c>
      <c r="AN86">
        <v>-0.41795039806029471</v>
      </c>
      <c r="AO86">
        <v>-3.3252085250243399</v>
      </c>
      <c r="AP86">
        <v>-3.2010143403781202</v>
      </c>
      <c r="AQ86">
        <v>-0.52486557418804092</v>
      </c>
    </row>
    <row r="87" spans="1:43" x14ac:dyDescent="0.3">
      <c r="A87">
        <v>644</v>
      </c>
      <c r="B87">
        <v>2024</v>
      </c>
      <c r="C87" t="s">
        <v>149</v>
      </c>
      <c r="D87">
        <v>2</v>
      </c>
      <c r="E87">
        <v>7.4824316897358223</v>
      </c>
      <c r="F87">
        <v>-5.4824316897358223</v>
      </c>
      <c r="G87">
        <v>-1.496371718741089</v>
      </c>
      <c r="H87">
        <v>8.6266578798845805E-2</v>
      </c>
      <c r="I87">
        <v>1.6675844804166571</v>
      </c>
      <c r="J87">
        <v>-3.0813047784084251</v>
      </c>
      <c r="K87">
        <v>0.30213081591089108</v>
      </c>
      <c r="L87">
        <v>-1.339719025530937</v>
      </c>
      <c r="M87">
        <v>-0.59502968737940953</v>
      </c>
      <c r="N87">
        <v>0.70538268288196904</v>
      </c>
      <c r="O87">
        <v>-0.27521958342140052</v>
      </c>
      <c r="P87">
        <v>-0.66085015384564594</v>
      </c>
      <c r="Q87">
        <v>-0.52486557418804092</v>
      </c>
      <c r="R87">
        <v>-1.496371718741089</v>
      </c>
      <c r="S87">
        <v>9.2051621882940804</v>
      </c>
      <c r="T87">
        <v>0.1086075550332026</v>
      </c>
      <c r="U87">
        <v>9.0965546332608778</v>
      </c>
      <c r="V87">
        <v>8.6266578798845805E-2</v>
      </c>
      <c r="W87">
        <v>4.6722959822409997</v>
      </c>
      <c r="X87">
        <v>0.1099156368821657</v>
      </c>
      <c r="Y87">
        <v>4.5623803453588341</v>
      </c>
      <c r="Z87">
        <v>1.6675844804166571</v>
      </c>
      <c r="AA87">
        <v>3.0813047784084251</v>
      </c>
      <c r="AB87">
        <v>-0.36105429762281449</v>
      </c>
      <c r="AC87">
        <v>-0.24320733419896781</v>
      </c>
      <c r="AD87">
        <v>-1.5072873688056689</v>
      </c>
      <c r="AE87">
        <v>-2.309223601436587</v>
      </c>
      <c r="AF87">
        <v>-1.086201634163473</v>
      </c>
      <c r="AG87">
        <v>-1.2890799608986401</v>
      </c>
      <c r="AH87">
        <v>-1.2566553658978099</v>
      </c>
      <c r="AI87">
        <v>-0.58986622198344307</v>
      </c>
      <c r="AJ87">
        <v>2.1121468294639401E-2</v>
      </c>
      <c r="AK87">
        <v>-1.8031208141960049</v>
      </c>
      <c r="AL87">
        <v>-3.0897162368627969E-3</v>
      </c>
      <c r="AM87">
        <v>-0.70538268288196904</v>
      </c>
      <c r="AN87">
        <v>-0.27521958342140052</v>
      </c>
      <c r="AO87">
        <v>-1.057637251395525</v>
      </c>
      <c r="AP87">
        <v>-0.26406305629576649</v>
      </c>
      <c r="AQ87">
        <v>-0.52486557418804092</v>
      </c>
    </row>
    <row r="88" spans="1:43" x14ac:dyDescent="0.3">
      <c r="A88">
        <v>646</v>
      </c>
      <c r="B88">
        <v>2024</v>
      </c>
      <c r="C88" t="s">
        <v>150</v>
      </c>
      <c r="D88">
        <v>5.5</v>
      </c>
      <c r="E88">
        <v>7.8804492156640356</v>
      </c>
      <c r="F88">
        <v>-2.380449215664036</v>
      </c>
      <c r="G88">
        <v>-7.8415837487440382E-3</v>
      </c>
      <c r="H88">
        <v>-0.9140805631013551</v>
      </c>
      <c r="I88">
        <v>-0.42512185766023092</v>
      </c>
      <c r="J88">
        <v>0.44354326940384298</v>
      </c>
      <c r="K88">
        <v>0.30213081591089108</v>
      </c>
      <c r="L88">
        <v>-1.04479611512535</v>
      </c>
      <c r="M88">
        <v>-0.58101657453083322</v>
      </c>
      <c r="N88">
        <v>-0.40763568077130591</v>
      </c>
      <c r="O88">
        <v>0.65740564533522339</v>
      </c>
      <c r="P88">
        <v>-0.41594587939191202</v>
      </c>
      <c r="Q88">
        <v>-0.52486557418804092</v>
      </c>
      <c r="R88">
        <v>-7.8415837487440382E-3</v>
      </c>
      <c r="S88">
        <v>9.2051621882940804</v>
      </c>
      <c r="T88">
        <v>0.1086075550332026</v>
      </c>
      <c r="U88">
        <v>9.0965546332608778</v>
      </c>
      <c r="V88">
        <v>-0.9140805631013551</v>
      </c>
      <c r="W88">
        <v>4.6722959822409997</v>
      </c>
      <c r="X88">
        <v>0.1099156368821657</v>
      </c>
      <c r="Y88">
        <v>4.5623803453588341</v>
      </c>
      <c r="Z88">
        <v>-0.42512185766023092</v>
      </c>
      <c r="AA88">
        <v>-0.44354326940384298</v>
      </c>
      <c r="AB88">
        <v>-0.36105429762281449</v>
      </c>
      <c r="AC88">
        <v>-0.24320733419896781</v>
      </c>
      <c r="AD88">
        <v>-1.2655295207558011</v>
      </c>
      <c r="AE88">
        <v>-0.37414491053430832</v>
      </c>
      <c r="AF88">
        <v>-0.99649456077671483</v>
      </c>
      <c r="AG88">
        <v>-1.162147709107719</v>
      </c>
      <c r="AH88">
        <v>-1.3717627123471989</v>
      </c>
      <c r="AI88">
        <v>-1.0986972772303569</v>
      </c>
      <c r="AJ88">
        <v>-0.34192372130879828</v>
      </c>
      <c r="AK88">
        <v>-0.69884616184758952</v>
      </c>
      <c r="AL88">
        <v>-0.7022798404361118</v>
      </c>
      <c r="AM88">
        <v>0.40763568077130591</v>
      </c>
      <c r="AN88">
        <v>0.65740564533522339</v>
      </c>
      <c r="AO88">
        <v>-0.52711772603181473</v>
      </c>
      <c r="AP88">
        <v>-0.30477403275200932</v>
      </c>
      <c r="AQ88">
        <v>-0.52486557418804092</v>
      </c>
    </row>
    <row r="89" spans="1:43" x14ac:dyDescent="0.3">
      <c r="A89">
        <v>652</v>
      </c>
      <c r="B89">
        <v>2024</v>
      </c>
      <c r="C89" t="s">
        <v>151</v>
      </c>
      <c r="D89">
        <v>2.3333333333333321</v>
      </c>
      <c r="E89">
        <v>6.3693415126170274</v>
      </c>
      <c r="F89">
        <v>-4.0360081792836944</v>
      </c>
      <c r="G89">
        <v>-1.033850760092851</v>
      </c>
      <c r="H89">
        <v>-0.19537835418062491</v>
      </c>
      <c r="I89">
        <v>0.39716870337081522</v>
      </c>
      <c r="J89">
        <v>-2.075172914801497</v>
      </c>
      <c r="K89">
        <v>-3.5248968317784541</v>
      </c>
      <c r="L89">
        <v>-0.17952081114396459</v>
      </c>
      <c r="M89">
        <v>-1.3307169477093579</v>
      </c>
      <c r="N89">
        <v>-0.34168027177243238</v>
      </c>
      <c r="O89">
        <v>-8.5355790040091709E-2</v>
      </c>
      <c r="P89">
        <v>0.23609927684267359</v>
      </c>
      <c r="Q89">
        <v>-0.52486557418804092</v>
      </c>
      <c r="R89">
        <v>-1.033850760092851</v>
      </c>
      <c r="S89">
        <v>9.2051621882940804</v>
      </c>
      <c r="T89">
        <v>0.1086075550332026</v>
      </c>
      <c r="U89">
        <v>9.0965546332608778</v>
      </c>
      <c r="V89">
        <v>-0.19537835418062491</v>
      </c>
      <c r="W89">
        <v>4.6722959822409997</v>
      </c>
      <c r="X89">
        <v>0.1099156368821657</v>
      </c>
      <c r="Y89">
        <v>4.5623803453588341</v>
      </c>
      <c r="Z89">
        <v>0.39716870337081522</v>
      </c>
      <c r="AA89">
        <v>2.075172914801497</v>
      </c>
      <c r="AB89">
        <v>2.7696665199223802</v>
      </c>
      <c r="AC89">
        <v>4.2801271436345276</v>
      </c>
      <c r="AD89">
        <v>7.1310851205929185E-2</v>
      </c>
      <c r="AE89">
        <v>-2.7163640015803792E-2</v>
      </c>
      <c r="AF89">
        <v>-0.28333607177359832</v>
      </c>
      <c r="AG89">
        <v>-0.42954928014540378</v>
      </c>
      <c r="AH89">
        <v>-6.7762194313423119E-2</v>
      </c>
      <c r="AI89">
        <v>-0.34062453182148761</v>
      </c>
      <c r="AJ89">
        <v>-1.1118190975079301</v>
      </c>
      <c r="AK89">
        <v>-1.1171257649410871</v>
      </c>
      <c r="AL89">
        <v>-1.763205980679057</v>
      </c>
      <c r="AM89">
        <v>0.34168027177243238</v>
      </c>
      <c r="AN89">
        <v>-8.5355790040091709E-2</v>
      </c>
      <c r="AO89">
        <v>8.9773173884878085E-2</v>
      </c>
      <c r="AP89">
        <v>0.38242537980046898</v>
      </c>
      <c r="AQ89">
        <v>-0.52486557418804092</v>
      </c>
    </row>
    <row r="90" spans="1:43" x14ac:dyDescent="0.3">
      <c r="A90">
        <v>662</v>
      </c>
      <c r="B90">
        <v>2024</v>
      </c>
      <c r="C90" t="s">
        <v>152</v>
      </c>
      <c r="D90">
        <v>10.66666666666667</v>
      </c>
      <c r="E90">
        <v>9.6014363436583281</v>
      </c>
      <c r="F90">
        <v>1.065230323008342</v>
      </c>
      <c r="G90">
        <v>-0.93949589525701171</v>
      </c>
      <c r="H90">
        <v>-0.16913465236634359</v>
      </c>
      <c r="I90">
        <v>1.2257462900357401</v>
      </c>
      <c r="J90">
        <v>0.31815598187895949</v>
      </c>
      <c r="K90">
        <v>0.30213081591089108</v>
      </c>
      <c r="L90">
        <v>-0.71552671030475434</v>
      </c>
      <c r="M90">
        <v>-0.77150425435884051</v>
      </c>
      <c r="N90">
        <v>-3.3434583970198758E-2</v>
      </c>
      <c r="O90">
        <v>-0.28464617916988327</v>
      </c>
      <c r="P90">
        <v>6.6213184404492947E-2</v>
      </c>
      <c r="Q90">
        <v>-0.52486557418804092</v>
      </c>
      <c r="R90">
        <v>-0.93949589525701171</v>
      </c>
      <c r="S90">
        <v>9.2051621882940804</v>
      </c>
      <c r="T90">
        <v>0.1086075550332026</v>
      </c>
      <c r="U90">
        <v>9.0965546332608778</v>
      </c>
      <c r="V90">
        <v>-0.16913465236634359</v>
      </c>
      <c r="W90">
        <v>4.6722959822409997</v>
      </c>
      <c r="X90">
        <v>0.1099156368821657</v>
      </c>
      <c r="Y90">
        <v>4.5623803453588341</v>
      </c>
      <c r="Z90">
        <v>1.2257462900357401</v>
      </c>
      <c r="AA90">
        <v>-0.31815598187895949</v>
      </c>
      <c r="AB90">
        <v>-0.36105429762281449</v>
      </c>
      <c r="AC90">
        <v>-0.24320733419896781</v>
      </c>
      <c r="AD90">
        <v>-0.82452331303089066</v>
      </c>
      <c r="AE90">
        <v>-1.05637486668238</v>
      </c>
      <c r="AF90">
        <v>-0.71038570934911527</v>
      </c>
      <c r="AG90">
        <v>-0.51869785436278038</v>
      </c>
      <c r="AH90">
        <v>-0.74916586344472036</v>
      </c>
      <c r="AI90">
        <v>-0.43401265495864028</v>
      </c>
      <c r="AJ90">
        <v>-0.38876098639948869</v>
      </c>
      <c r="AK90">
        <v>-1.072162770131234</v>
      </c>
      <c r="AL90">
        <v>-0.85358900654579895</v>
      </c>
      <c r="AM90">
        <v>3.3434583970198758E-2</v>
      </c>
      <c r="AN90">
        <v>-0.28464617916988327</v>
      </c>
      <c r="AO90">
        <v>-0.1190483933858713</v>
      </c>
      <c r="AP90">
        <v>0.2514747621948572</v>
      </c>
      <c r="AQ90">
        <v>-0.52486557418804092</v>
      </c>
    </row>
    <row r="91" spans="1:43" x14ac:dyDescent="0.3">
      <c r="A91">
        <v>664</v>
      </c>
      <c r="B91">
        <v>2024</v>
      </c>
      <c r="C91" t="s">
        <v>153</v>
      </c>
      <c r="D91">
        <v>6.6666666666666679</v>
      </c>
      <c r="E91">
        <v>8.5676489877251143</v>
      </c>
      <c r="F91">
        <v>-1.900982321058446</v>
      </c>
      <c r="G91">
        <v>-1.0764289739921959</v>
      </c>
      <c r="H91">
        <v>-4.8856569460806014E-3</v>
      </c>
      <c r="I91">
        <v>0.68925343594476129</v>
      </c>
      <c r="J91">
        <v>-0.24084008281847799</v>
      </c>
      <c r="K91">
        <v>0.30213081591089108</v>
      </c>
      <c r="L91">
        <v>-0.86660984710342615</v>
      </c>
      <c r="M91">
        <v>-1.3214995451994469</v>
      </c>
      <c r="N91">
        <v>-0.25805525867781998</v>
      </c>
      <c r="O91">
        <v>-0.37417944249292218</v>
      </c>
      <c r="P91">
        <v>7.5813378458496505E-2</v>
      </c>
      <c r="Q91">
        <v>-0.52486557418804092</v>
      </c>
      <c r="R91">
        <v>-1.0764289739921959</v>
      </c>
      <c r="S91">
        <v>9.2051621882940804</v>
      </c>
      <c r="T91">
        <v>0.1086075550332026</v>
      </c>
      <c r="U91">
        <v>9.0965546332608778</v>
      </c>
      <c r="V91">
        <v>-4.8856569460806014E-3</v>
      </c>
      <c r="W91">
        <v>4.6722959822409997</v>
      </c>
      <c r="X91">
        <v>0.1099156368821657</v>
      </c>
      <c r="Y91">
        <v>4.5623803453588341</v>
      </c>
      <c r="Z91">
        <v>0.68925343594476129</v>
      </c>
      <c r="AA91">
        <v>0.24084008281847799</v>
      </c>
      <c r="AB91">
        <v>-0.36105429762281449</v>
      </c>
      <c r="AC91">
        <v>-0.24320733419896781</v>
      </c>
      <c r="AD91">
        <v>-0.53815221631083354</v>
      </c>
      <c r="AE91">
        <v>-1.672304286458574</v>
      </c>
      <c r="AF91">
        <v>-0.69009932109579042</v>
      </c>
      <c r="AG91">
        <v>-0.71134049786011277</v>
      </c>
      <c r="AH91">
        <v>-0.62669486350270842</v>
      </c>
      <c r="AI91">
        <v>-0.96106789739253873</v>
      </c>
      <c r="AJ91">
        <v>-0.74278455190841153</v>
      </c>
      <c r="AK91">
        <v>-0.9826492850510673</v>
      </c>
      <c r="AL91">
        <v>-2.2390647986388621</v>
      </c>
      <c r="AM91">
        <v>0.25805525867781998</v>
      </c>
      <c r="AN91">
        <v>-0.37417944249292218</v>
      </c>
      <c r="AO91">
        <v>-0.1069340471927594</v>
      </c>
      <c r="AP91">
        <v>0.25856080410975252</v>
      </c>
      <c r="AQ91">
        <v>-0.52486557418804092</v>
      </c>
    </row>
    <row r="92" spans="1:43" x14ac:dyDescent="0.3">
      <c r="A92">
        <v>666</v>
      </c>
      <c r="B92">
        <v>2024</v>
      </c>
      <c r="C92" t="s">
        <v>154</v>
      </c>
      <c r="D92">
        <v>8</v>
      </c>
      <c r="E92">
        <v>7.5056790660451789</v>
      </c>
      <c r="F92">
        <v>0.49432093395482107</v>
      </c>
      <c r="G92">
        <v>-1.7220157805365679</v>
      </c>
      <c r="H92">
        <v>-2.066374081923128</v>
      </c>
      <c r="I92">
        <v>-1.0302480749210521</v>
      </c>
      <c r="J92">
        <v>-0.2404203444853153</v>
      </c>
      <c r="K92">
        <v>0.30213081591089108</v>
      </c>
      <c r="L92">
        <v>-0.61050888394571212</v>
      </c>
      <c r="M92">
        <v>1.380611836852667</v>
      </c>
      <c r="N92">
        <v>3.3882162451145337E-2</v>
      </c>
      <c r="O92">
        <v>-0.39591621540540478</v>
      </c>
      <c r="P92">
        <v>0.7050910950085314</v>
      </c>
      <c r="Q92">
        <v>-0.52486557418804092</v>
      </c>
      <c r="R92">
        <v>-1.7220157805365679</v>
      </c>
      <c r="S92">
        <v>9.2051621882940804</v>
      </c>
      <c r="T92">
        <v>0.1086075550332026</v>
      </c>
      <c r="U92">
        <v>9.0965546332608778</v>
      </c>
      <c r="V92">
        <v>-2.066374081923128</v>
      </c>
      <c r="W92">
        <v>4.6722959822409997</v>
      </c>
      <c r="X92">
        <v>0.1099156368821657</v>
      </c>
      <c r="Y92">
        <v>4.5623803453588341</v>
      </c>
      <c r="Z92">
        <v>-1.0302480749210521</v>
      </c>
      <c r="AA92">
        <v>0.2404203444853153</v>
      </c>
      <c r="AB92">
        <v>-0.36105429762281449</v>
      </c>
      <c r="AC92">
        <v>-0.24320733419896781</v>
      </c>
      <c r="AD92">
        <v>-0.32091168676535409</v>
      </c>
      <c r="AE92">
        <v>-0.35245948363343171</v>
      </c>
      <c r="AF92">
        <v>-1.0874510426390249</v>
      </c>
      <c r="AG92">
        <v>-0.88626141952105031</v>
      </c>
      <c r="AH92">
        <v>-0.56423154896163985</v>
      </c>
      <c r="AI92">
        <v>-0.4517381221537709</v>
      </c>
      <c r="AJ92">
        <v>0.83131343211593778</v>
      </c>
      <c r="AK92">
        <v>2.7324490989535271</v>
      </c>
      <c r="AL92">
        <v>0.57807297948853475</v>
      </c>
      <c r="AM92">
        <v>-3.3882162451145337E-2</v>
      </c>
      <c r="AN92">
        <v>-0.39591621540540478</v>
      </c>
      <c r="AO92">
        <v>0.9769872039075852</v>
      </c>
      <c r="AP92">
        <v>0.43319498610947771</v>
      </c>
      <c r="AQ92">
        <v>-0.52486557418804092</v>
      </c>
    </row>
    <row r="93" spans="1:43" x14ac:dyDescent="0.3">
      <c r="A93">
        <v>674</v>
      </c>
      <c r="B93">
        <v>2024</v>
      </c>
      <c r="C93" t="s">
        <v>155</v>
      </c>
      <c r="D93">
        <v>7</v>
      </c>
      <c r="E93">
        <v>6.7618772570548744</v>
      </c>
      <c r="F93">
        <v>0.23812274294512559</v>
      </c>
      <c r="G93">
        <v>-2.1309944842400301</v>
      </c>
      <c r="H93">
        <v>-1.0091117450955609</v>
      </c>
      <c r="I93">
        <v>9.9801122868401801E-2</v>
      </c>
      <c r="J93">
        <v>-0.41335253774848402</v>
      </c>
      <c r="K93">
        <v>0.30213081591089108</v>
      </c>
      <c r="L93">
        <v>-1.05628069987955</v>
      </c>
      <c r="M93">
        <v>-0.42221109136321322</v>
      </c>
      <c r="N93">
        <v>0.21449552129768171</v>
      </c>
      <c r="O93">
        <v>-0.45122149663484401</v>
      </c>
      <c r="P93">
        <v>0.34851195678493863</v>
      </c>
      <c r="Q93">
        <v>-0.52486557418804092</v>
      </c>
      <c r="R93">
        <v>-2.1309944842400301</v>
      </c>
      <c r="S93">
        <v>9.2051621882940804</v>
      </c>
      <c r="T93">
        <v>0.1086075550332026</v>
      </c>
      <c r="U93">
        <v>9.0965546332608778</v>
      </c>
      <c r="V93">
        <v>-1.0091117450955609</v>
      </c>
      <c r="W93">
        <v>4.6722959822409997</v>
      </c>
      <c r="X93">
        <v>0.1099156368821657</v>
      </c>
      <c r="Y93">
        <v>4.5623803453588341</v>
      </c>
      <c r="Z93">
        <v>9.9801122868401801E-2</v>
      </c>
      <c r="AA93">
        <v>0.41335253774848402</v>
      </c>
      <c r="AB93">
        <v>-0.36105429762281449</v>
      </c>
      <c r="AC93">
        <v>-0.24320733419896781</v>
      </c>
      <c r="AD93">
        <v>-0.94312498200581574</v>
      </c>
      <c r="AE93">
        <v>-0.61923078714095836</v>
      </c>
      <c r="AF93">
        <v>-1.3333546575760069</v>
      </c>
      <c r="AG93">
        <v>-1.1912052279614049</v>
      </c>
      <c r="AH93">
        <v>-1.0774774428143199</v>
      </c>
      <c r="AI93">
        <v>-1.173291101778795</v>
      </c>
      <c r="AJ93">
        <v>-0.29273080992676309</v>
      </c>
      <c r="AK93">
        <v>-1.292935199693009</v>
      </c>
      <c r="AL93">
        <v>0.31903273553013251</v>
      </c>
      <c r="AM93">
        <v>-0.21449552129768171</v>
      </c>
      <c r="AN93">
        <v>-0.45122149663484401</v>
      </c>
      <c r="AO93">
        <v>0.31238045771701051</v>
      </c>
      <c r="AP93">
        <v>0.3846434558528668</v>
      </c>
      <c r="AQ93">
        <v>-0.52486557418804092</v>
      </c>
    </row>
    <row r="94" spans="1:43" x14ac:dyDescent="0.3">
      <c r="A94">
        <v>684</v>
      </c>
      <c r="B94">
        <v>2024</v>
      </c>
      <c r="C94" t="s">
        <v>156</v>
      </c>
      <c r="D94">
        <v>13</v>
      </c>
      <c r="E94">
        <v>11.634548912423201</v>
      </c>
      <c r="F94">
        <v>1.365451087576798</v>
      </c>
      <c r="G94">
        <v>0.18386283848550661</v>
      </c>
      <c r="H94">
        <v>-1.087695095378939</v>
      </c>
      <c r="I94">
        <v>-0.1064482458430064</v>
      </c>
      <c r="J94">
        <v>4.1910921612254078E-2</v>
      </c>
      <c r="K94">
        <v>0.30213081591089108</v>
      </c>
      <c r="L94">
        <v>0.53473506234569246</v>
      </c>
      <c r="M94">
        <v>-0.40363726113054832</v>
      </c>
      <c r="N94">
        <v>-0.82990032330453289</v>
      </c>
      <c r="O94">
        <v>-0.62602084002029179</v>
      </c>
      <c r="P94">
        <v>0.885986470759343</v>
      </c>
      <c r="Q94">
        <v>-0.52486557418804092</v>
      </c>
      <c r="R94">
        <v>0.18386283848550661</v>
      </c>
      <c r="S94">
        <v>9.2051621882940804</v>
      </c>
      <c r="T94">
        <v>0.1086075550332026</v>
      </c>
      <c r="U94">
        <v>9.0965546332608778</v>
      </c>
      <c r="V94">
        <v>-1.087695095378939</v>
      </c>
      <c r="W94">
        <v>4.6722959822409997</v>
      </c>
      <c r="X94">
        <v>0.1099156368821657</v>
      </c>
      <c r="Y94">
        <v>4.5623803453588341</v>
      </c>
      <c r="Z94">
        <v>-0.1064482458430064</v>
      </c>
      <c r="AA94">
        <v>-4.1910921612254078E-2</v>
      </c>
      <c r="AB94">
        <v>-0.36105429762281449</v>
      </c>
      <c r="AC94">
        <v>-0.24320733419896781</v>
      </c>
      <c r="AD94">
        <v>0.25090411015465569</v>
      </c>
      <c r="AE94">
        <v>0.91010864477697628</v>
      </c>
      <c r="AF94">
        <v>0.51975934536314472</v>
      </c>
      <c r="AG94">
        <v>0.7612181531703005</v>
      </c>
      <c r="AH94">
        <v>0.5624699580128949</v>
      </c>
      <c r="AI94">
        <v>0.20395016259618259</v>
      </c>
      <c r="AJ94">
        <v>-0.45534558423039462</v>
      </c>
      <c r="AK94">
        <v>-0.34153472969809479</v>
      </c>
      <c r="AL94">
        <v>-0.4140314694631555</v>
      </c>
      <c r="AM94">
        <v>0.82990032330453289</v>
      </c>
      <c r="AN94">
        <v>-0.62602084002029179</v>
      </c>
      <c r="AO94">
        <v>0.94617946810028009</v>
      </c>
      <c r="AP94">
        <v>0.82579347341840581</v>
      </c>
      <c r="AQ94">
        <v>-0.52486557418804092</v>
      </c>
    </row>
    <row r="95" spans="1:43" x14ac:dyDescent="0.3">
      <c r="A95">
        <v>686</v>
      </c>
      <c r="B95">
        <v>2024</v>
      </c>
      <c r="C95" t="s">
        <v>157</v>
      </c>
      <c r="D95">
        <v>12</v>
      </c>
      <c r="E95">
        <v>10.980547107652329</v>
      </c>
      <c r="F95">
        <v>1.0194528923476669</v>
      </c>
      <c r="G95">
        <v>-0.59210877325661404</v>
      </c>
      <c r="H95">
        <v>0.15026336288123579</v>
      </c>
      <c r="I95">
        <v>-0.29370555795207282</v>
      </c>
      <c r="J95">
        <v>0.38035357124766328</v>
      </c>
      <c r="K95">
        <v>0.30213081591089108</v>
      </c>
      <c r="L95">
        <v>-0.53627755807902566</v>
      </c>
      <c r="M95">
        <v>-0.1506733077282974</v>
      </c>
      <c r="N95">
        <v>-0.26905708764309128</v>
      </c>
      <c r="O95">
        <v>-0.10379519406936</v>
      </c>
      <c r="P95">
        <v>0.43957090190375542</v>
      </c>
      <c r="Q95">
        <v>-0.52486557418804092</v>
      </c>
      <c r="R95">
        <v>-0.59210877325661404</v>
      </c>
      <c r="S95">
        <v>9.2051621882940804</v>
      </c>
      <c r="T95">
        <v>0.1086075550332026</v>
      </c>
      <c r="U95">
        <v>9.0965546332608778</v>
      </c>
      <c r="V95">
        <v>0.15026336288123579</v>
      </c>
      <c r="W95">
        <v>4.6722959822409997</v>
      </c>
      <c r="X95">
        <v>0.1099156368821657</v>
      </c>
      <c r="Y95">
        <v>4.5623803453588341</v>
      </c>
      <c r="Z95">
        <v>-0.29370555795207282</v>
      </c>
      <c r="AA95">
        <v>-0.38035357124766328</v>
      </c>
      <c r="AB95">
        <v>-0.36105429762281449</v>
      </c>
      <c r="AC95">
        <v>-0.24320733419896781</v>
      </c>
      <c r="AD95">
        <v>-0.94458386557163387</v>
      </c>
      <c r="AE95">
        <v>-0.57138831431897008</v>
      </c>
      <c r="AF95">
        <v>-0.1504572701878755</v>
      </c>
      <c r="AG95">
        <v>-0.356510626352539</v>
      </c>
      <c r="AH95">
        <v>-0.52242440895221265</v>
      </c>
      <c r="AI95">
        <v>-0.67230086309092363</v>
      </c>
      <c r="AJ95">
        <v>-0.47356425288792869</v>
      </c>
      <c r="AK95">
        <v>-2.3246226989078179E-2</v>
      </c>
      <c r="AL95">
        <v>4.4790556692114777E-2</v>
      </c>
      <c r="AM95">
        <v>0.26905708764309128</v>
      </c>
      <c r="AN95">
        <v>-0.10379519406936</v>
      </c>
      <c r="AO95">
        <v>0.52972608484295514</v>
      </c>
      <c r="AP95">
        <v>0.34941571896455559</v>
      </c>
      <c r="AQ95">
        <v>-0.52486557418804092</v>
      </c>
    </row>
    <row r="96" spans="1:43" x14ac:dyDescent="0.3">
      <c r="A96">
        <v>688</v>
      </c>
      <c r="B96">
        <v>2024</v>
      </c>
      <c r="C96" t="s">
        <v>158</v>
      </c>
      <c r="D96">
        <v>5.6666666666666679</v>
      </c>
      <c r="E96">
        <v>1.747934156476372</v>
      </c>
      <c r="F96">
        <v>3.9187325101902961</v>
      </c>
      <c r="G96">
        <v>-2.027280204171968</v>
      </c>
      <c r="H96">
        <v>-0.8699263792647659</v>
      </c>
      <c r="I96">
        <v>0.3267889441915624</v>
      </c>
      <c r="J96">
        <v>-0.179195784888944</v>
      </c>
      <c r="K96">
        <v>-2.2733981083619978</v>
      </c>
      <c r="L96">
        <v>-1.403328398999603</v>
      </c>
      <c r="M96">
        <v>-0.29600990469800559</v>
      </c>
      <c r="N96">
        <v>-0.97720258889510891</v>
      </c>
      <c r="O96">
        <v>-2.9232395520929622</v>
      </c>
      <c r="P96">
        <v>0.3318520509281121</v>
      </c>
      <c r="Q96">
        <v>-0.52486557418804092</v>
      </c>
      <c r="R96">
        <v>-2.027280204171968</v>
      </c>
      <c r="S96">
        <v>9.2051621882940804</v>
      </c>
      <c r="T96">
        <v>0.1086075550332026</v>
      </c>
      <c r="U96">
        <v>9.0965546332608778</v>
      </c>
      <c r="V96">
        <v>-0.8699263792647659</v>
      </c>
      <c r="W96">
        <v>4.6722959822409997</v>
      </c>
      <c r="X96">
        <v>0.1099156368821657</v>
      </c>
      <c r="Y96">
        <v>4.5623803453588341</v>
      </c>
      <c r="Z96">
        <v>0.3267889441915624</v>
      </c>
      <c r="AA96">
        <v>0.179195784888944</v>
      </c>
      <c r="AB96">
        <v>2.7696665199223802</v>
      </c>
      <c r="AC96">
        <v>1.7771296968016159</v>
      </c>
      <c r="AD96">
        <v>-1.248931855894424</v>
      </c>
      <c r="AE96">
        <v>-2.1566675076453201</v>
      </c>
      <c r="AF96">
        <v>-1.165628966049191</v>
      </c>
      <c r="AG96">
        <v>-1.2084575155271939</v>
      </c>
      <c r="AH96">
        <v>-1.4140689552064409</v>
      </c>
      <c r="AI96">
        <v>-1.2262155936750501</v>
      </c>
      <c r="AJ96">
        <v>6.6029108231780292E-2</v>
      </c>
      <c r="AK96">
        <v>-0.19270309183208509</v>
      </c>
      <c r="AL96">
        <v>-0.76135573049371197</v>
      </c>
      <c r="AM96">
        <v>0.97720258889510891</v>
      </c>
      <c r="AN96">
        <v>-2.9232395520929622</v>
      </c>
      <c r="AO96">
        <v>0.52514071871629353</v>
      </c>
      <c r="AP96">
        <v>0.13856338313993061</v>
      </c>
      <c r="AQ96">
        <v>-0.52486557418804092</v>
      </c>
    </row>
    <row r="97" spans="1:43" x14ac:dyDescent="0.3">
      <c r="A97">
        <v>692</v>
      </c>
      <c r="B97">
        <v>2024</v>
      </c>
      <c r="C97" t="s">
        <v>160</v>
      </c>
      <c r="D97">
        <v>4</v>
      </c>
      <c r="E97">
        <v>4.7350827711497567</v>
      </c>
      <c r="F97">
        <v>-0.73508277114975673</v>
      </c>
      <c r="G97">
        <v>-1.965706687403534</v>
      </c>
      <c r="H97">
        <v>-0.94056353334490295</v>
      </c>
      <c r="I97">
        <v>1.2613291087274829</v>
      </c>
      <c r="J97">
        <v>0.27459859030572331</v>
      </c>
      <c r="K97">
        <v>0.30213081591089108</v>
      </c>
      <c r="L97">
        <v>-1.2876339617344721</v>
      </c>
      <c r="M97">
        <v>-1.1045449464091079</v>
      </c>
      <c r="N97">
        <v>0.30084320923723501</v>
      </c>
      <c r="O97">
        <v>-1.007869087554859</v>
      </c>
      <c r="P97">
        <v>-3.530839856395438</v>
      </c>
      <c r="Q97">
        <v>-0.52486557418804092</v>
      </c>
      <c r="R97">
        <v>-1.965706687403534</v>
      </c>
      <c r="S97">
        <v>9.2051621882940804</v>
      </c>
      <c r="T97">
        <v>0.1086075550332026</v>
      </c>
      <c r="U97">
        <v>9.0965546332608778</v>
      </c>
      <c r="V97">
        <v>-0.94056353334490295</v>
      </c>
      <c r="W97">
        <v>4.6722959822409997</v>
      </c>
      <c r="X97">
        <v>0.1099156368821657</v>
      </c>
      <c r="Y97">
        <v>4.5623803453588341</v>
      </c>
      <c r="Z97">
        <v>1.2613291087274829</v>
      </c>
      <c r="AA97">
        <v>-0.27459859030572331</v>
      </c>
      <c r="AB97">
        <v>-0.36105429762281449</v>
      </c>
      <c r="AC97">
        <v>-0.24320733419896781</v>
      </c>
      <c r="AD97">
        <v>-1.2107935624071571</v>
      </c>
      <c r="AE97">
        <v>-2.16295376646171</v>
      </c>
      <c r="AF97">
        <v>-1.2269307718811051</v>
      </c>
      <c r="AG97">
        <v>-1.2072411488949839</v>
      </c>
      <c r="AH97">
        <v>-1.1454082512090831</v>
      </c>
      <c r="AI97">
        <v>-0.77247626955279403</v>
      </c>
      <c r="AJ97">
        <v>-0.43745269644293988</v>
      </c>
      <c r="AK97">
        <v>-1.670541855187869</v>
      </c>
      <c r="AL97">
        <v>-1.205640287596514</v>
      </c>
      <c r="AM97">
        <v>-0.30084320923723501</v>
      </c>
      <c r="AN97">
        <v>-1.007869087554859</v>
      </c>
      <c r="AO97">
        <v>-3.9083691681967911</v>
      </c>
      <c r="AP97">
        <v>-3.1533105445940839</v>
      </c>
      <c r="AQ97">
        <v>-0.52486557418804092</v>
      </c>
    </row>
    <row r="98" spans="1:43" x14ac:dyDescent="0.3">
      <c r="A98">
        <v>694</v>
      </c>
      <c r="B98">
        <v>2024</v>
      </c>
      <c r="C98" t="s">
        <v>162</v>
      </c>
      <c r="D98">
        <v>6.6666666666666679</v>
      </c>
      <c r="E98">
        <v>7.4944860099723014</v>
      </c>
      <c r="F98">
        <v>-0.82781934330563356</v>
      </c>
      <c r="G98">
        <v>-1.6411696311982971</v>
      </c>
      <c r="H98">
        <v>0.38561023736452799</v>
      </c>
      <c r="I98">
        <v>-0.27322906474173192</v>
      </c>
      <c r="J98">
        <v>-2.7113054377252128</v>
      </c>
      <c r="K98">
        <v>0.30213081591089108</v>
      </c>
      <c r="L98">
        <v>-1.4068336487068811</v>
      </c>
      <c r="M98">
        <v>-1.2065517831523711</v>
      </c>
      <c r="N98">
        <v>0.51999075185859756</v>
      </c>
      <c r="O98">
        <v>4.8064806575609673E-2</v>
      </c>
      <c r="P98">
        <v>0.22890381001619489</v>
      </c>
      <c r="Q98">
        <v>-0.52486557418804092</v>
      </c>
      <c r="R98">
        <v>-1.6411696311982971</v>
      </c>
      <c r="S98">
        <v>9.2051621882940804</v>
      </c>
      <c r="T98">
        <v>0.1086075550332026</v>
      </c>
      <c r="U98">
        <v>9.0965546332608778</v>
      </c>
      <c r="V98">
        <v>0.38561023736452799</v>
      </c>
      <c r="W98">
        <v>4.6722959822409997</v>
      </c>
      <c r="X98">
        <v>0.1099156368821657</v>
      </c>
      <c r="Y98">
        <v>4.5623803453588341</v>
      </c>
      <c r="Z98">
        <v>-0.27322906474173192</v>
      </c>
      <c r="AA98">
        <v>2.7113054377252128</v>
      </c>
      <c r="AB98">
        <v>-0.36105429762281449</v>
      </c>
      <c r="AC98">
        <v>-0.24320733419896781</v>
      </c>
      <c r="AD98">
        <v>-0.94440927965500643</v>
      </c>
      <c r="AE98">
        <v>-2.450722185223297</v>
      </c>
      <c r="AF98">
        <v>-1.4965242183777669</v>
      </c>
      <c r="AG98">
        <v>-1.0578974575297919</v>
      </c>
      <c r="AH98">
        <v>-1.211403014855968</v>
      </c>
      <c r="AI98">
        <v>-1.280045736599456</v>
      </c>
      <c r="AJ98">
        <v>-0.5495463758172876</v>
      </c>
      <c r="AK98">
        <v>-1.5386229034429959</v>
      </c>
      <c r="AL98">
        <v>-1.53148607019683</v>
      </c>
      <c r="AM98">
        <v>-0.51999075185859756</v>
      </c>
      <c r="AN98">
        <v>4.8064806575609673E-2</v>
      </c>
      <c r="AO98">
        <v>-9.5287881580678094E-2</v>
      </c>
      <c r="AP98">
        <v>0.55309550161306786</v>
      </c>
      <c r="AQ98">
        <v>-0.52486557418804092</v>
      </c>
    </row>
    <row r="99" spans="1:43" x14ac:dyDescent="0.3">
      <c r="A99">
        <v>714</v>
      </c>
      <c r="B99">
        <v>2024</v>
      </c>
      <c r="C99" t="s">
        <v>163</v>
      </c>
      <c r="D99">
        <v>8.6666666666666661</v>
      </c>
      <c r="E99">
        <v>8.995199529440562</v>
      </c>
      <c r="F99">
        <v>-0.32853286277389587</v>
      </c>
      <c r="G99">
        <v>-1.680859083357896</v>
      </c>
      <c r="H99">
        <v>-1.1139431511478339</v>
      </c>
      <c r="I99">
        <v>1.5754184310200039</v>
      </c>
      <c r="J99">
        <v>-0.36155301163313702</v>
      </c>
      <c r="K99">
        <v>0.30213081591089108</v>
      </c>
      <c r="L99">
        <v>-6.3169034242926317E-2</v>
      </c>
      <c r="M99">
        <v>-0.52404593640478236</v>
      </c>
      <c r="N99">
        <v>-0.25544371341838712</v>
      </c>
      <c r="O99">
        <v>-1.170345322917941</v>
      </c>
      <c r="P99">
        <v>0.29172438912662729</v>
      </c>
      <c r="Q99">
        <v>-0.52486557418804092</v>
      </c>
      <c r="R99">
        <v>-1.680859083357896</v>
      </c>
      <c r="S99">
        <v>9.2051621882940804</v>
      </c>
      <c r="T99">
        <v>0.1086075550332026</v>
      </c>
      <c r="U99">
        <v>9.0965546332608778</v>
      </c>
      <c r="V99">
        <v>-1.1139431511478339</v>
      </c>
      <c r="W99">
        <v>4.6722959822409997</v>
      </c>
      <c r="X99">
        <v>0.1099156368821657</v>
      </c>
      <c r="Y99">
        <v>4.5623803453588341</v>
      </c>
      <c r="Z99">
        <v>1.5754184310200039</v>
      </c>
      <c r="AA99">
        <v>0.36155301163313702</v>
      </c>
      <c r="AB99">
        <v>-0.36105429762281449</v>
      </c>
      <c r="AC99">
        <v>-0.24320733419896781</v>
      </c>
      <c r="AD99">
        <v>-0.79423047417206938</v>
      </c>
      <c r="AE99">
        <v>-9.3527953515795209E-2</v>
      </c>
      <c r="AF99">
        <v>4.5888751008428798E-2</v>
      </c>
      <c r="AG99">
        <v>-1.3926514352322179E-2</v>
      </c>
      <c r="AH99">
        <v>-1.7845441476444578E-2</v>
      </c>
      <c r="AI99">
        <v>0.49462742705064472</v>
      </c>
      <c r="AJ99">
        <v>-0.67186456249875248</v>
      </c>
      <c r="AK99">
        <v>-0.59324499972536548</v>
      </c>
      <c r="AL99">
        <v>-0.30702824699022929</v>
      </c>
      <c r="AM99">
        <v>0.25544371341838712</v>
      </c>
      <c r="AN99">
        <v>-1.170345322917941</v>
      </c>
      <c r="AO99">
        <v>0.36260099601482387</v>
      </c>
      <c r="AP99">
        <v>0.22084778223843091</v>
      </c>
      <c r="AQ99">
        <v>-0.52486557418804092</v>
      </c>
    </row>
    <row r="100" spans="1:43" x14ac:dyDescent="0.3">
      <c r="A100">
        <v>718</v>
      </c>
      <c r="B100">
        <v>2024</v>
      </c>
      <c r="C100" t="s">
        <v>164</v>
      </c>
      <c r="D100">
        <v>10</v>
      </c>
      <c r="E100">
        <v>11.37410397407378</v>
      </c>
      <c r="F100">
        <v>-1.3741039740737779</v>
      </c>
      <c r="G100">
        <v>0.63820602358220169</v>
      </c>
      <c r="H100">
        <v>-2.0943668821924248</v>
      </c>
      <c r="I100">
        <v>-0.10238787512112631</v>
      </c>
      <c r="J100">
        <v>0.37382854806849242</v>
      </c>
      <c r="K100">
        <v>0.30213081591089108</v>
      </c>
      <c r="L100">
        <v>0.61980552801312638</v>
      </c>
      <c r="M100">
        <v>5.1329712328681852E-2</v>
      </c>
      <c r="N100">
        <v>1.229524046625702E-2</v>
      </c>
      <c r="O100">
        <v>-0.92317196526053402</v>
      </c>
      <c r="P100">
        <v>0.536703100425445</v>
      </c>
      <c r="Q100">
        <v>-0.52486557418804092</v>
      </c>
      <c r="R100">
        <v>0.63820602358220169</v>
      </c>
      <c r="S100">
        <v>9.2051621882940804</v>
      </c>
      <c r="T100">
        <v>0.1086075550332026</v>
      </c>
      <c r="U100">
        <v>9.0965546332608778</v>
      </c>
      <c r="V100">
        <v>-2.0943668821924248</v>
      </c>
      <c r="W100">
        <v>4.6722959822409997</v>
      </c>
      <c r="X100">
        <v>0.1099156368821657</v>
      </c>
      <c r="Y100">
        <v>4.5623803453588341</v>
      </c>
      <c r="Z100">
        <v>-0.10238787512112631</v>
      </c>
      <c r="AA100">
        <v>-0.37382854806849242</v>
      </c>
      <c r="AB100">
        <v>-0.36105429762281449</v>
      </c>
      <c r="AC100">
        <v>-0.24320733419896781</v>
      </c>
      <c r="AD100">
        <v>0.54056396907918247</v>
      </c>
      <c r="AE100">
        <v>1.061840449270919</v>
      </c>
      <c r="AF100">
        <v>0.36206305848434278</v>
      </c>
      <c r="AG100">
        <v>0.12490231184811609</v>
      </c>
      <c r="AH100">
        <v>0.51750219261328001</v>
      </c>
      <c r="AI100">
        <v>1.111961186782918</v>
      </c>
      <c r="AJ100">
        <v>-1.6218031429880469E-2</v>
      </c>
      <c r="AK100">
        <v>0.30312736469492108</v>
      </c>
      <c r="AL100">
        <v>-0.1329201962789951</v>
      </c>
      <c r="AM100">
        <v>-1.229524046625702E-2</v>
      </c>
      <c r="AN100">
        <v>-0.92317196526053402</v>
      </c>
      <c r="AO100">
        <v>0.78925394072440491</v>
      </c>
      <c r="AP100">
        <v>0.28415226012648498</v>
      </c>
      <c r="AQ100">
        <v>-0.52486557418804092</v>
      </c>
    </row>
    <row r="101" spans="1:43" x14ac:dyDescent="0.3">
      <c r="A101">
        <v>722</v>
      </c>
      <c r="B101">
        <v>2024</v>
      </c>
      <c r="C101" t="s">
        <v>166</v>
      </c>
      <c r="D101">
        <v>9</v>
      </c>
      <c r="E101">
        <v>7.5929443947741309</v>
      </c>
      <c r="F101">
        <v>1.4070556052258689</v>
      </c>
      <c r="G101">
        <v>-1.272452250587792</v>
      </c>
      <c r="H101">
        <v>-0.67859815661067291</v>
      </c>
      <c r="I101">
        <v>0.85620889444442738</v>
      </c>
      <c r="J101">
        <v>-0.14157196702542149</v>
      </c>
      <c r="K101">
        <v>0.30213081591089108</v>
      </c>
      <c r="L101">
        <v>-0.25235116976390259</v>
      </c>
      <c r="M101">
        <v>-0.88435377515689673</v>
      </c>
      <c r="N101">
        <v>-1.955392982931057</v>
      </c>
      <c r="O101">
        <v>-1.1843494425278269</v>
      </c>
      <c r="P101">
        <v>0.19495695637516849</v>
      </c>
      <c r="Q101">
        <v>-0.52486557418804092</v>
      </c>
      <c r="R101">
        <v>-1.272452250587792</v>
      </c>
      <c r="S101">
        <v>9.2051621882940804</v>
      </c>
      <c r="T101">
        <v>0.1086075550332026</v>
      </c>
      <c r="U101">
        <v>9.0965546332608778</v>
      </c>
      <c r="V101">
        <v>-0.67859815661067291</v>
      </c>
      <c r="W101">
        <v>4.6722959822409997</v>
      </c>
      <c r="X101">
        <v>0.1099156368821657</v>
      </c>
      <c r="Y101">
        <v>4.5623803453588341</v>
      </c>
      <c r="Z101">
        <v>0.85620889444442738</v>
      </c>
      <c r="AA101">
        <v>0.14157196702542149</v>
      </c>
      <c r="AB101">
        <v>-0.36105429762281449</v>
      </c>
      <c r="AC101">
        <v>-0.24320733419896781</v>
      </c>
      <c r="AD101">
        <v>-0.1340851150583563</v>
      </c>
      <c r="AE101">
        <v>-0.31598618640433401</v>
      </c>
      <c r="AF101">
        <v>-8.4394512569338248E-2</v>
      </c>
      <c r="AG101">
        <v>-0.60505526028152989</v>
      </c>
      <c r="AH101">
        <v>-0.34657419752612723</v>
      </c>
      <c r="AI101">
        <v>-2.801174674373046E-2</v>
      </c>
      <c r="AJ101">
        <v>-0.60119517375838605</v>
      </c>
      <c r="AK101">
        <v>-0.76492938908188779</v>
      </c>
      <c r="AL101">
        <v>-1.286936762630416</v>
      </c>
      <c r="AM101">
        <v>1.955392982931057</v>
      </c>
      <c r="AN101">
        <v>-1.1843494425278269</v>
      </c>
      <c r="AO101">
        <v>0.20856046545684481</v>
      </c>
      <c r="AP101">
        <v>0.18135344729349209</v>
      </c>
      <c r="AQ101">
        <v>-0.52486557418804092</v>
      </c>
    </row>
    <row r="102" spans="1:43" x14ac:dyDescent="0.3">
      <c r="A102">
        <v>728</v>
      </c>
      <c r="B102">
        <v>2024</v>
      </c>
      <c r="C102" t="s">
        <v>167</v>
      </c>
      <c r="D102">
        <v>9.5</v>
      </c>
      <c r="E102">
        <v>10.0024551198872</v>
      </c>
      <c r="F102">
        <v>-0.50245511988719649</v>
      </c>
      <c r="G102">
        <v>-0.56187563560803755</v>
      </c>
      <c r="H102">
        <v>-1.1472501074242321</v>
      </c>
      <c r="I102">
        <v>-0.53339841024369661</v>
      </c>
      <c r="J102">
        <v>5.7326765848423562E-2</v>
      </c>
      <c r="K102">
        <v>0.30213081591089108</v>
      </c>
      <c r="L102">
        <v>0.1063324347900504</v>
      </c>
      <c r="M102">
        <v>-0.24979363056508769</v>
      </c>
      <c r="N102">
        <v>-0.26816805095902901</v>
      </c>
      <c r="O102">
        <v>-1.284085153101282</v>
      </c>
      <c r="P102">
        <v>0.41663530794589071</v>
      </c>
      <c r="Q102">
        <v>-0.52486557418804092</v>
      </c>
      <c r="R102">
        <v>-0.56187563560803755</v>
      </c>
      <c r="S102">
        <v>9.2051621882940804</v>
      </c>
      <c r="T102">
        <v>0.1086075550332026</v>
      </c>
      <c r="U102">
        <v>9.0965546332608778</v>
      </c>
      <c r="V102">
        <v>-1.1472501074242321</v>
      </c>
      <c r="W102">
        <v>4.6722959822409997</v>
      </c>
      <c r="X102">
        <v>0.1099156368821657</v>
      </c>
      <c r="Y102">
        <v>4.5623803453588341</v>
      </c>
      <c r="Z102">
        <v>-0.53339841024369661</v>
      </c>
      <c r="AA102">
        <v>-5.7326765848423562E-2</v>
      </c>
      <c r="AB102">
        <v>-0.36105429762281449</v>
      </c>
      <c r="AC102">
        <v>-0.24320733419896781</v>
      </c>
      <c r="AD102">
        <v>0.21558865270685831</v>
      </c>
      <c r="AE102">
        <v>0.61695166036075855</v>
      </c>
      <c r="AF102">
        <v>-0.2380899613788845</v>
      </c>
      <c r="AG102">
        <v>-0.16967231792525961</v>
      </c>
      <c r="AH102">
        <v>0.22748139581013629</v>
      </c>
      <c r="AI102">
        <v>-1.426482083330672E-2</v>
      </c>
      <c r="AJ102">
        <v>-0.67153878162867287</v>
      </c>
      <c r="AK102">
        <v>0.57208032447496093</v>
      </c>
      <c r="AL102">
        <v>-0.64992243454155119</v>
      </c>
      <c r="AM102">
        <v>0.26816805095902901</v>
      </c>
      <c r="AN102">
        <v>-1.284085153101282</v>
      </c>
      <c r="AO102">
        <v>0.57033036803972792</v>
      </c>
      <c r="AP102">
        <v>0.26294024785205339</v>
      </c>
      <c r="AQ102">
        <v>-0.52486557418804092</v>
      </c>
    </row>
    <row r="103" spans="1:43" x14ac:dyDescent="0.3">
      <c r="A103">
        <v>738</v>
      </c>
      <c r="B103">
        <v>2024</v>
      </c>
      <c r="C103" t="s">
        <v>168</v>
      </c>
      <c r="D103">
        <v>9</v>
      </c>
      <c r="E103">
        <v>9.5218822913936343</v>
      </c>
      <c r="F103">
        <v>-0.52188229139363429</v>
      </c>
      <c r="G103">
        <v>-1.554152070014968</v>
      </c>
      <c r="H103">
        <v>-0.21849990991112961</v>
      </c>
      <c r="I103">
        <v>1.0752942738250051</v>
      </c>
      <c r="J103">
        <v>0.14804748285706951</v>
      </c>
      <c r="K103">
        <v>0.30213081591089108</v>
      </c>
      <c r="L103">
        <v>-0.68714949723250829</v>
      </c>
      <c r="M103">
        <v>-0.6329647491459901</v>
      </c>
      <c r="N103">
        <v>0.22752546519847011</v>
      </c>
      <c r="O103">
        <v>-0.26943948973200138</v>
      </c>
      <c r="P103">
        <v>6.2004943841013807E-2</v>
      </c>
      <c r="Q103">
        <v>-0.52486557418804092</v>
      </c>
      <c r="R103">
        <v>-1.554152070014968</v>
      </c>
      <c r="S103">
        <v>9.2051621882940804</v>
      </c>
      <c r="T103">
        <v>0.1086075550332026</v>
      </c>
      <c r="U103">
        <v>9.0965546332608778</v>
      </c>
      <c r="V103">
        <v>-0.21849990991112961</v>
      </c>
      <c r="W103">
        <v>4.6722959822409997</v>
      </c>
      <c r="X103">
        <v>0.1099156368821657</v>
      </c>
      <c r="Y103">
        <v>4.5623803453588341</v>
      </c>
      <c r="Z103">
        <v>1.0752942738250051</v>
      </c>
      <c r="AA103">
        <v>-0.14804748285706951</v>
      </c>
      <c r="AB103">
        <v>-0.36105429762281449</v>
      </c>
      <c r="AC103">
        <v>-0.24320733419896781</v>
      </c>
      <c r="AD103">
        <v>-0.85542392911197129</v>
      </c>
      <c r="AE103">
        <v>-0.50977238850838869</v>
      </c>
      <c r="AF103">
        <v>-0.68391031135213809</v>
      </c>
      <c r="AG103">
        <v>-0.9446736114341997</v>
      </c>
      <c r="AH103">
        <v>-0.68586603959165127</v>
      </c>
      <c r="AI103">
        <v>-0.44325070339670092</v>
      </c>
      <c r="AJ103">
        <v>-0.1098424414774022</v>
      </c>
      <c r="AK103">
        <v>-1.099470570648778</v>
      </c>
      <c r="AL103">
        <v>-0.68958123531179027</v>
      </c>
      <c r="AM103">
        <v>-0.22752546519847011</v>
      </c>
      <c r="AN103">
        <v>-0.26943948973200138</v>
      </c>
      <c r="AO103">
        <v>-0.17921863162959831</v>
      </c>
      <c r="AP103">
        <v>0.30322851931162592</v>
      </c>
      <c r="AQ103">
        <v>-0.52486557418804092</v>
      </c>
    </row>
    <row r="104" spans="1:43" x14ac:dyDescent="0.3">
      <c r="A104">
        <v>742</v>
      </c>
      <c r="B104">
        <v>2024</v>
      </c>
      <c r="C104" t="s">
        <v>169</v>
      </c>
      <c r="D104">
        <v>7.5</v>
      </c>
      <c r="E104">
        <v>5.2354452279913124</v>
      </c>
      <c r="F104">
        <v>2.264554772008688</v>
      </c>
      <c r="G104">
        <v>-1.684230378469405</v>
      </c>
      <c r="H104">
        <v>-1.310660837120309</v>
      </c>
      <c r="I104">
        <v>0.84149550806514239</v>
      </c>
      <c r="J104">
        <v>0.3210178341505257</v>
      </c>
      <c r="K104">
        <v>0.30213081591089108</v>
      </c>
      <c r="L104">
        <v>-0.98594530266232672</v>
      </c>
      <c r="M104">
        <v>-0.69147741898740411</v>
      </c>
      <c r="N104">
        <v>-0.3899382942791903</v>
      </c>
      <c r="O104">
        <v>-8.9260909266486513E-2</v>
      </c>
      <c r="P104">
        <v>-3.3492735632233388</v>
      </c>
      <c r="Q104">
        <v>-0.52486557418804092</v>
      </c>
      <c r="R104">
        <v>-1.684230378469405</v>
      </c>
      <c r="S104">
        <v>9.2051621882940804</v>
      </c>
      <c r="T104">
        <v>0.1086075550332026</v>
      </c>
      <c r="U104">
        <v>9.0965546332608778</v>
      </c>
      <c r="V104">
        <v>-1.310660837120309</v>
      </c>
      <c r="W104">
        <v>4.6722959822409997</v>
      </c>
      <c r="X104">
        <v>0.1099156368821657</v>
      </c>
      <c r="Y104">
        <v>4.5623803453588341</v>
      </c>
      <c r="Z104">
        <v>0.84149550806514239</v>
      </c>
      <c r="AA104">
        <v>-0.3210178341505257</v>
      </c>
      <c r="AB104">
        <v>-0.36105429762281449</v>
      </c>
      <c r="AC104">
        <v>-0.24320733419896781</v>
      </c>
      <c r="AD104">
        <v>-1.2120222107954219</v>
      </c>
      <c r="AE104">
        <v>-1.0149967472986861</v>
      </c>
      <c r="AF104">
        <v>-1.2631078608275921</v>
      </c>
      <c r="AG104">
        <v>-0.79753371740835477</v>
      </c>
      <c r="AH104">
        <v>-0.80814947172401363</v>
      </c>
      <c r="AI104">
        <v>-0.81986180791989161</v>
      </c>
      <c r="AJ104">
        <v>-0.42326869856100818</v>
      </c>
      <c r="AK104">
        <v>-0.85955793045234963</v>
      </c>
      <c r="AL104">
        <v>-0.79160562794885414</v>
      </c>
      <c r="AM104">
        <v>0.3899382942791903</v>
      </c>
      <c r="AN104">
        <v>-8.9260909266486513E-2</v>
      </c>
      <c r="AO104">
        <v>-3.344010328213987</v>
      </c>
      <c r="AP104">
        <v>-3.3545367982326919</v>
      </c>
      <c r="AQ104">
        <v>-0.52486557418804092</v>
      </c>
    </row>
    <row r="105" spans="1:43" x14ac:dyDescent="0.3">
      <c r="A105">
        <v>744</v>
      </c>
      <c r="B105">
        <v>2024</v>
      </c>
      <c r="C105" t="s">
        <v>170</v>
      </c>
      <c r="D105">
        <v>5.5</v>
      </c>
      <c r="E105">
        <v>8.2595091924829092</v>
      </c>
      <c r="F105">
        <v>-2.7595091924829092</v>
      </c>
      <c r="G105">
        <v>-0.59340061206479655</v>
      </c>
      <c r="H105">
        <v>-0.42913161774360647</v>
      </c>
      <c r="I105">
        <v>-1.0758726706669071</v>
      </c>
      <c r="J105">
        <v>-0.50911011475508616</v>
      </c>
      <c r="K105">
        <v>0.30213081591089108</v>
      </c>
      <c r="L105">
        <v>-0.72306557201115351</v>
      </c>
      <c r="M105">
        <v>-0.57536652425792123</v>
      </c>
      <c r="N105">
        <v>-0.70399050292420606</v>
      </c>
      <c r="O105">
        <v>-0.44550605723727271</v>
      </c>
      <c r="P105">
        <v>9.6305011159803028E-2</v>
      </c>
      <c r="Q105">
        <v>-0.52486557418804092</v>
      </c>
      <c r="R105">
        <v>-0.59340061206479655</v>
      </c>
      <c r="S105">
        <v>9.2051621882940804</v>
      </c>
      <c r="T105">
        <v>0.1086075550332026</v>
      </c>
      <c r="U105">
        <v>9.0965546332608778</v>
      </c>
      <c r="V105">
        <v>-0.42913161774360647</v>
      </c>
      <c r="W105">
        <v>4.6722959822409997</v>
      </c>
      <c r="X105">
        <v>0.1099156368821657</v>
      </c>
      <c r="Y105">
        <v>4.5623803453588341</v>
      </c>
      <c r="Z105">
        <v>-1.0758726706669071</v>
      </c>
      <c r="AA105">
        <v>0.50911011475508616</v>
      </c>
      <c r="AB105">
        <v>-0.36105429762281449</v>
      </c>
      <c r="AC105">
        <v>-0.24320733419896781</v>
      </c>
      <c r="AD105">
        <v>-0.89767044744987867</v>
      </c>
      <c r="AE105">
        <v>-1.1538275217829559</v>
      </c>
      <c r="AF105">
        <v>-0.62348354661102501</v>
      </c>
      <c r="AG105">
        <v>-0.77672482930960096</v>
      </c>
      <c r="AH105">
        <v>-0.51885630866520016</v>
      </c>
      <c r="AI105">
        <v>-0.36783077824825988</v>
      </c>
      <c r="AJ105">
        <v>-0.93146179581841948</v>
      </c>
      <c r="AK105">
        <v>-0.1234848300972832</v>
      </c>
      <c r="AL105">
        <v>-0.67115294685806082</v>
      </c>
      <c r="AM105">
        <v>0.70399050292420606</v>
      </c>
      <c r="AN105">
        <v>-0.44550605723727271</v>
      </c>
      <c r="AO105">
        <v>0.23753223675700941</v>
      </c>
      <c r="AP105">
        <v>-4.492221443740331E-2</v>
      </c>
      <c r="AQ105">
        <v>-0.52486557418804092</v>
      </c>
    </row>
    <row r="106" spans="1:43" x14ac:dyDescent="0.3">
      <c r="A106">
        <v>746</v>
      </c>
      <c r="B106">
        <v>2024</v>
      </c>
      <c r="C106" t="s">
        <v>171</v>
      </c>
      <c r="D106">
        <v>7.3333333333333339</v>
      </c>
      <c r="E106">
        <v>7.7569521308671474</v>
      </c>
      <c r="F106">
        <v>-0.42361879753381348</v>
      </c>
      <c r="G106">
        <v>-1.5595641467732431</v>
      </c>
      <c r="H106">
        <v>-0.39749670645547402</v>
      </c>
      <c r="I106">
        <v>1.251374651473842</v>
      </c>
      <c r="J106">
        <v>5.1698456381010269E-2</v>
      </c>
      <c r="K106">
        <v>0.30213081591089108</v>
      </c>
      <c r="L106">
        <v>-1.0688416137742991</v>
      </c>
      <c r="M106">
        <v>-1.045930798667507</v>
      </c>
      <c r="N106">
        <v>0.18215681191491459</v>
      </c>
      <c r="O106">
        <v>-0.60130996968373396</v>
      </c>
      <c r="P106">
        <v>0.15708290021679799</v>
      </c>
      <c r="Q106">
        <v>-0.52486557418804092</v>
      </c>
      <c r="R106">
        <v>-1.5595641467732431</v>
      </c>
      <c r="S106">
        <v>9.2051621882940804</v>
      </c>
      <c r="T106">
        <v>0.1086075550332026</v>
      </c>
      <c r="U106">
        <v>9.0965546332608778</v>
      </c>
      <c r="V106">
        <v>-0.39749670645547402</v>
      </c>
      <c r="W106">
        <v>4.6722959822409997</v>
      </c>
      <c r="X106">
        <v>0.1099156368821657</v>
      </c>
      <c r="Y106">
        <v>4.5623803453588341</v>
      </c>
      <c r="Z106">
        <v>1.251374651473842</v>
      </c>
      <c r="AA106">
        <v>-5.1698456381010269E-2</v>
      </c>
      <c r="AB106">
        <v>-0.36105429762281449</v>
      </c>
      <c r="AC106">
        <v>-0.24320733419896781</v>
      </c>
      <c r="AD106">
        <v>-1.2569017029884679</v>
      </c>
      <c r="AE106">
        <v>-1.2710414598626241</v>
      </c>
      <c r="AF106">
        <v>-0.74954977211010565</v>
      </c>
      <c r="AG106">
        <v>-0.93185204338802075</v>
      </c>
      <c r="AH106">
        <v>-0.92205164109760795</v>
      </c>
      <c r="AI106">
        <v>-1.2816530631989691</v>
      </c>
      <c r="AJ106">
        <v>-0.44850418595872088</v>
      </c>
      <c r="AK106">
        <v>-1.2136518271934329</v>
      </c>
      <c r="AL106">
        <v>-1.475636382850368</v>
      </c>
      <c r="AM106">
        <v>-0.18215681191491459</v>
      </c>
      <c r="AN106">
        <v>-0.60130996968373396</v>
      </c>
      <c r="AO106">
        <v>-2.8664427640081118E-3</v>
      </c>
      <c r="AP106">
        <v>0.31703224319760409</v>
      </c>
      <c r="AQ106">
        <v>-0.52486557418804092</v>
      </c>
    </row>
    <row r="107" spans="1:43" x14ac:dyDescent="0.3">
      <c r="A107">
        <v>748</v>
      </c>
      <c r="B107">
        <v>2024</v>
      </c>
      <c r="C107" t="s">
        <v>172</v>
      </c>
      <c r="D107">
        <v>6</v>
      </c>
      <c r="E107">
        <v>5.517242176693447</v>
      </c>
      <c r="F107">
        <v>0.48275782330655298</v>
      </c>
      <c r="G107">
        <v>-1.716083116954358</v>
      </c>
      <c r="H107">
        <v>-0.86116553535530593</v>
      </c>
      <c r="I107">
        <v>0.57551939583188683</v>
      </c>
      <c r="J107">
        <v>0.33040470960126261</v>
      </c>
      <c r="K107">
        <v>0.30213081591089108</v>
      </c>
      <c r="L107">
        <v>-1.216420447960433</v>
      </c>
      <c r="M107">
        <v>-0.52312737588593794</v>
      </c>
      <c r="N107">
        <v>2.2296903161958141E-2</v>
      </c>
      <c r="O107">
        <v>-3.8429705031526047E-2</v>
      </c>
      <c r="P107">
        <v>-3.9694565877934189</v>
      </c>
      <c r="Q107">
        <v>-0.52486557418804092</v>
      </c>
      <c r="R107">
        <v>-1.716083116954358</v>
      </c>
      <c r="S107">
        <v>9.2051621882940804</v>
      </c>
      <c r="T107">
        <v>0.1086075550332026</v>
      </c>
      <c r="U107">
        <v>9.0965546332608778</v>
      </c>
      <c r="V107">
        <v>-0.86116553535530593</v>
      </c>
      <c r="W107">
        <v>4.6722959822409997</v>
      </c>
      <c r="X107">
        <v>0.1099156368821657</v>
      </c>
      <c r="Y107">
        <v>4.5623803453588341</v>
      </c>
      <c r="Z107">
        <v>0.57551939583188683</v>
      </c>
      <c r="AA107">
        <v>-0.33040470960126261</v>
      </c>
      <c r="AB107">
        <v>-0.36105429762281449</v>
      </c>
      <c r="AC107">
        <v>-0.24320733419896781</v>
      </c>
      <c r="AD107">
        <v>-1.2040327227857579</v>
      </c>
      <c r="AE107">
        <v>-2.3349233773825411</v>
      </c>
      <c r="AF107">
        <v>-1.346638441313349</v>
      </c>
      <c r="AG107">
        <v>-0.93333203320667968</v>
      </c>
      <c r="AH107">
        <v>-1.0787192710713109</v>
      </c>
      <c r="AI107">
        <v>-0.40087684200295609</v>
      </c>
      <c r="AJ107">
        <v>-0.72278661849890335</v>
      </c>
      <c r="AK107">
        <v>-0.61172520309675471</v>
      </c>
      <c r="AL107">
        <v>-0.2348703060621557</v>
      </c>
      <c r="AM107">
        <v>-2.2296903161958141E-2</v>
      </c>
      <c r="AN107">
        <v>-3.8429705031526047E-2</v>
      </c>
      <c r="AO107">
        <v>-4.1578230743925086</v>
      </c>
      <c r="AP107">
        <v>-3.7810901011943301</v>
      </c>
      <c r="AQ107">
        <v>-0.52486557418804092</v>
      </c>
    </row>
    <row r="108" spans="1:43" x14ac:dyDescent="0.3">
      <c r="A108">
        <v>754</v>
      </c>
      <c r="B108">
        <v>2024</v>
      </c>
      <c r="C108" t="s">
        <v>173</v>
      </c>
      <c r="D108">
        <v>2.3333333333333321</v>
      </c>
      <c r="E108">
        <v>3.953475418124567</v>
      </c>
      <c r="F108">
        <v>-1.6201420847912349</v>
      </c>
      <c r="G108">
        <v>-1.535012496714921</v>
      </c>
      <c r="H108">
        <v>-0.7936125521397146</v>
      </c>
      <c r="I108">
        <v>0.38677764711482138</v>
      </c>
      <c r="J108">
        <v>-1.2914260517103999</v>
      </c>
      <c r="K108">
        <v>-2.9016100375394962</v>
      </c>
      <c r="L108">
        <v>-0.64473473338414367</v>
      </c>
      <c r="M108">
        <v>-1.200517656924226</v>
      </c>
      <c r="N108">
        <v>-1.5806362382024111</v>
      </c>
      <c r="O108">
        <v>0.85879083352023344</v>
      </c>
      <c r="P108">
        <v>-0.10509746594778829</v>
      </c>
      <c r="Q108">
        <v>-0.52486557418804092</v>
      </c>
      <c r="R108">
        <v>-1.535012496714921</v>
      </c>
      <c r="S108">
        <v>9.2051621882940804</v>
      </c>
      <c r="T108">
        <v>0.1086075550332026</v>
      </c>
      <c r="U108">
        <v>9.0965546332608778</v>
      </c>
      <c r="V108">
        <v>-0.7936125521397146</v>
      </c>
      <c r="W108">
        <v>4.6722959822409997</v>
      </c>
      <c r="X108">
        <v>0.1099156368821657</v>
      </c>
      <c r="Y108">
        <v>4.5623803453588341</v>
      </c>
      <c r="Z108">
        <v>0.38677764711482138</v>
      </c>
      <c r="AA108">
        <v>1.2914260517103999</v>
      </c>
      <c r="AB108">
        <v>2.7696665199223802</v>
      </c>
      <c r="AC108">
        <v>3.0335535551566122</v>
      </c>
      <c r="AD108">
        <v>-0.59635479626651144</v>
      </c>
      <c r="AE108">
        <v>-0.16223397062541459</v>
      </c>
      <c r="AF108">
        <v>-0.95769348645261099</v>
      </c>
      <c r="AG108">
        <v>-0.81204108635734995</v>
      </c>
      <c r="AH108">
        <v>-0.73087584605204958</v>
      </c>
      <c r="AI108">
        <v>-0.60920921455092558</v>
      </c>
      <c r="AJ108">
        <v>-0.94223762459797855</v>
      </c>
      <c r="AK108">
        <v>-0.59803005238402873</v>
      </c>
      <c r="AL108">
        <v>-2.0612852937906698</v>
      </c>
      <c r="AM108">
        <v>1.5806362382024111</v>
      </c>
      <c r="AN108">
        <v>0.85879083352023344</v>
      </c>
      <c r="AO108">
        <v>-6.7337033960413961E-2</v>
      </c>
      <c r="AP108">
        <v>-0.14285789793516271</v>
      </c>
      <c r="AQ108">
        <v>-0.52486557418804092</v>
      </c>
    </row>
    <row r="109" spans="1:43" x14ac:dyDescent="0.3">
      <c r="A109">
        <v>819</v>
      </c>
      <c r="B109">
        <v>2024</v>
      </c>
      <c r="C109" t="s">
        <v>174</v>
      </c>
      <c r="D109">
        <v>9</v>
      </c>
      <c r="E109">
        <v>9.6783998845239587</v>
      </c>
      <c r="F109">
        <v>-0.67839988452395872</v>
      </c>
      <c r="G109">
        <v>-0.28088812582324862</v>
      </c>
      <c r="H109">
        <v>-1.568248210364712</v>
      </c>
      <c r="I109">
        <v>-0.48419370267854911</v>
      </c>
      <c r="J109">
        <v>0.4434097162978366</v>
      </c>
      <c r="K109">
        <v>0.30213081591089108</v>
      </c>
      <c r="L109">
        <v>0.28923167901328428</v>
      </c>
      <c r="M109">
        <v>-0.63145621507341432</v>
      </c>
      <c r="N109">
        <v>-0.58508184643087024</v>
      </c>
      <c r="O109">
        <v>-1.159935981933677</v>
      </c>
      <c r="P109">
        <v>0.4013307238034407</v>
      </c>
      <c r="Q109">
        <v>-0.52486557418804092</v>
      </c>
      <c r="R109">
        <v>-0.28088812582324862</v>
      </c>
      <c r="S109">
        <v>9.2051621882940804</v>
      </c>
      <c r="T109">
        <v>0.1086075550332026</v>
      </c>
      <c r="U109">
        <v>9.0965546332608778</v>
      </c>
      <c r="V109">
        <v>-1.568248210364712</v>
      </c>
      <c r="W109">
        <v>4.6722959822409997</v>
      </c>
      <c r="X109">
        <v>0.1099156368821657</v>
      </c>
      <c r="Y109">
        <v>4.5623803453588341</v>
      </c>
      <c r="Z109">
        <v>-0.48419370267854911</v>
      </c>
      <c r="AA109">
        <v>-0.4434097162978366</v>
      </c>
      <c r="AB109">
        <v>-0.36105429762281449</v>
      </c>
      <c r="AC109">
        <v>-0.24320733419896781</v>
      </c>
      <c r="AD109">
        <v>0.2102310473903532</v>
      </c>
      <c r="AE109">
        <v>0.79950707120650999</v>
      </c>
      <c r="AF109">
        <v>0.34180170391632048</v>
      </c>
      <c r="AG109">
        <v>-0.25040460629105932</v>
      </c>
      <c r="AH109">
        <v>0.2036818435029879</v>
      </c>
      <c r="AI109">
        <v>0.43057301435459339</v>
      </c>
      <c r="AJ109">
        <v>-1.0320529044722611</v>
      </c>
      <c r="AK109">
        <v>-0.17207786485508819</v>
      </c>
      <c r="AL109">
        <v>-0.69023787589289398</v>
      </c>
      <c r="AM109">
        <v>0.58508184643087024</v>
      </c>
      <c r="AN109">
        <v>-1.159935981933677</v>
      </c>
      <c r="AO109">
        <v>0.58018279550931851</v>
      </c>
      <c r="AP109">
        <v>0.22247865209756301</v>
      </c>
      <c r="AQ109">
        <v>-0.52486557418804092</v>
      </c>
    </row>
    <row r="110" spans="1:43" x14ac:dyDescent="0.3">
      <c r="A110">
        <v>853</v>
      </c>
      <c r="B110">
        <v>2024</v>
      </c>
      <c r="C110" t="s">
        <v>175</v>
      </c>
      <c r="D110">
        <v>7.5</v>
      </c>
      <c r="E110">
        <v>8.9145275817428811</v>
      </c>
      <c r="F110">
        <v>-1.4145275817428811</v>
      </c>
      <c r="G110">
        <v>-1.0010346659333851</v>
      </c>
      <c r="H110">
        <v>-0.70002676688146481</v>
      </c>
      <c r="I110">
        <v>-0.2481246221064525</v>
      </c>
      <c r="J110">
        <v>3.6797745553722672E-2</v>
      </c>
      <c r="K110">
        <v>0.30213081591089108</v>
      </c>
      <c r="L110">
        <v>-0.90492563228021483</v>
      </c>
      <c r="M110">
        <v>-0.66207618612456332</v>
      </c>
      <c r="N110">
        <v>0.16579298044889251</v>
      </c>
      <c r="O110">
        <v>1.761817327478123</v>
      </c>
      <c r="P110">
        <v>-0.5548097877694026</v>
      </c>
      <c r="Q110">
        <v>-0.52486557418804092</v>
      </c>
      <c r="R110">
        <v>-1.0010346659333851</v>
      </c>
      <c r="S110">
        <v>9.2051621882940804</v>
      </c>
      <c r="T110">
        <v>0.1086075550332026</v>
      </c>
      <c r="U110">
        <v>9.0965546332608778</v>
      </c>
      <c r="V110">
        <v>-0.70002676688146481</v>
      </c>
      <c r="W110">
        <v>4.6722959822409997</v>
      </c>
      <c r="X110">
        <v>0.1099156368821657</v>
      </c>
      <c r="Y110">
        <v>4.5623803453588341</v>
      </c>
      <c r="Z110">
        <v>-0.2481246221064525</v>
      </c>
      <c r="AA110">
        <v>-3.6797745553722672E-2</v>
      </c>
      <c r="AB110">
        <v>-0.36105429762281449</v>
      </c>
      <c r="AC110">
        <v>-0.24320733419896781</v>
      </c>
      <c r="AD110">
        <v>-0.5078299160785813</v>
      </c>
      <c r="AE110">
        <v>-0.82779041946875542</v>
      </c>
      <c r="AF110">
        <v>-1.3757457899514489</v>
      </c>
      <c r="AG110">
        <v>-1.019864031674349</v>
      </c>
      <c r="AH110">
        <v>-0.74182376947044781</v>
      </c>
      <c r="AI110">
        <v>-0.95649986703770629</v>
      </c>
      <c r="AJ110">
        <v>-0.32633635967883118</v>
      </c>
      <c r="AK110">
        <v>-1.012184610082127</v>
      </c>
      <c r="AL110">
        <v>-0.6477075886127317</v>
      </c>
      <c r="AM110">
        <v>-0.16579298044889251</v>
      </c>
      <c r="AN110">
        <v>1.761817327478123</v>
      </c>
      <c r="AO110">
        <v>4.4839035629222611E-2</v>
      </c>
      <c r="AP110">
        <v>-1.1544586111680279</v>
      </c>
      <c r="AQ110">
        <v>-0.52486557418804092</v>
      </c>
    </row>
    <row r="111" spans="1:43" x14ac:dyDescent="0.3">
      <c r="A111">
        <v>911</v>
      </c>
      <c r="B111">
        <v>2024</v>
      </c>
      <c r="C111" t="s">
        <v>176</v>
      </c>
      <c r="D111">
        <v>10</v>
      </c>
      <c r="E111">
        <v>10.40014640679256</v>
      </c>
      <c r="F111">
        <v>-0.40014640679255642</v>
      </c>
      <c r="G111">
        <v>-8.823613793587845E-2</v>
      </c>
      <c r="H111">
        <v>-0.80102033780002424</v>
      </c>
      <c r="I111">
        <v>0.85166826481995994</v>
      </c>
      <c r="J111">
        <v>0.1880561776135638</v>
      </c>
      <c r="K111">
        <v>0.30213081591089108</v>
      </c>
      <c r="L111">
        <v>-0.35641012629586938</v>
      </c>
      <c r="M111">
        <v>-0.3684060722001618</v>
      </c>
      <c r="N111">
        <v>0.2247194431643984</v>
      </c>
      <c r="O111">
        <v>-0.32455080808595749</v>
      </c>
      <c r="P111">
        <v>1.300710434429121E-2</v>
      </c>
      <c r="Q111">
        <v>-0.52486557418804092</v>
      </c>
      <c r="R111">
        <v>-8.823613793587845E-2</v>
      </c>
      <c r="S111">
        <v>9.2051621882940804</v>
      </c>
      <c r="T111">
        <v>0.1086075550332026</v>
      </c>
      <c r="U111">
        <v>9.0965546332608778</v>
      </c>
      <c r="V111">
        <v>-0.80102033780002424</v>
      </c>
      <c r="W111">
        <v>4.6722959822409997</v>
      </c>
      <c r="X111">
        <v>0.1099156368821657</v>
      </c>
      <c r="Y111">
        <v>4.5623803453588341</v>
      </c>
      <c r="Z111">
        <v>0.85166826481995994</v>
      </c>
      <c r="AA111">
        <v>-0.1880561776135638</v>
      </c>
      <c r="AB111">
        <v>-0.36105429762281449</v>
      </c>
      <c r="AC111">
        <v>-0.24320733419896781</v>
      </c>
      <c r="AD111">
        <v>-2.0489697242723589E-2</v>
      </c>
      <c r="AE111">
        <v>-0.91132883056207192</v>
      </c>
      <c r="AF111">
        <v>-0.76535854437864059</v>
      </c>
      <c r="AG111">
        <v>-0.1661029987297907</v>
      </c>
      <c r="AH111">
        <v>-0.27943785738258159</v>
      </c>
      <c r="AI111">
        <v>4.2571705205923767E-3</v>
      </c>
      <c r="AJ111">
        <v>-0.32160000702921088</v>
      </c>
      <c r="AK111">
        <v>-0.33839969519759128</v>
      </c>
      <c r="AL111">
        <v>-0.44521851437368332</v>
      </c>
      <c r="AM111">
        <v>-0.2247194431643984</v>
      </c>
      <c r="AN111">
        <v>-0.32455080808595749</v>
      </c>
      <c r="AO111">
        <v>0.25183570326584181</v>
      </c>
      <c r="AP111">
        <v>-0.22582149457725939</v>
      </c>
      <c r="AQ111">
        <v>-0.52486557418804092</v>
      </c>
    </row>
    <row r="112" spans="1:43" x14ac:dyDescent="0.3">
      <c r="A112">
        <v>912</v>
      </c>
      <c r="B112">
        <v>2024</v>
      </c>
      <c r="C112" t="s">
        <v>177</v>
      </c>
      <c r="D112">
        <v>12.33333333333333</v>
      </c>
      <c r="E112">
        <v>12.4113570998238</v>
      </c>
      <c r="F112">
        <v>-7.8023766490469271E-2</v>
      </c>
      <c r="G112">
        <v>-0.19384473884269279</v>
      </c>
      <c r="H112">
        <v>-0.25195863643599548</v>
      </c>
      <c r="I112">
        <v>-0.41883483202635208</v>
      </c>
      <c r="J112">
        <v>-0.16221546141098531</v>
      </c>
      <c r="K112">
        <v>0.30213081591089108</v>
      </c>
      <c r="L112">
        <v>-0.6529411938433779</v>
      </c>
      <c r="M112">
        <v>0.86399124284733608</v>
      </c>
      <c r="N112">
        <v>1.010655654271869</v>
      </c>
      <c r="O112">
        <v>1.2680007773562949</v>
      </c>
      <c r="P112">
        <v>0.43159161389947681</v>
      </c>
      <c r="Q112">
        <v>-0.52486557418804092</v>
      </c>
      <c r="R112">
        <v>-0.19384473884269279</v>
      </c>
      <c r="S112">
        <v>9.2051621882940804</v>
      </c>
      <c r="T112">
        <v>0.1086075550332026</v>
      </c>
      <c r="U112">
        <v>9.0965546332608778</v>
      </c>
      <c r="V112">
        <v>-0.25195863643599548</v>
      </c>
      <c r="W112">
        <v>4.6722959822409997</v>
      </c>
      <c r="X112">
        <v>0.1099156368821657</v>
      </c>
      <c r="Y112">
        <v>4.5623803453588341</v>
      </c>
      <c r="Z112">
        <v>-0.41883483202635208</v>
      </c>
      <c r="AA112">
        <v>0.16221546141098531</v>
      </c>
      <c r="AB112">
        <v>-0.36105429762281449</v>
      </c>
      <c r="AC112">
        <v>-0.24320733419896781</v>
      </c>
      <c r="AD112">
        <v>-1.792999403690458</v>
      </c>
      <c r="AE112">
        <v>-0.2099115855879379</v>
      </c>
      <c r="AF112">
        <v>-0.16210703701183449</v>
      </c>
      <c r="AG112">
        <v>-0.16968619282980951</v>
      </c>
      <c r="AH112">
        <v>-0.64915880364804146</v>
      </c>
      <c r="AI112">
        <v>-0.93378414029218604</v>
      </c>
      <c r="AJ112">
        <v>1.201851581731209</v>
      </c>
      <c r="AK112">
        <v>0.70630930164125716</v>
      </c>
      <c r="AL112">
        <v>0.68381284516954222</v>
      </c>
      <c r="AM112">
        <v>-1.010655654271869</v>
      </c>
      <c r="AN112">
        <v>1.2680007773562949</v>
      </c>
      <c r="AO112">
        <v>0.33583048937389948</v>
      </c>
      <c r="AP112">
        <v>0.52735273842505404</v>
      </c>
      <c r="AQ112">
        <v>-0.52486557418804092</v>
      </c>
    </row>
    <row r="113" spans="1:43" x14ac:dyDescent="0.3">
      <c r="A113">
        <v>913</v>
      </c>
      <c r="B113">
        <v>2024</v>
      </c>
      <c r="C113" t="s">
        <v>178</v>
      </c>
      <c r="D113">
        <v>1.3333333333333319</v>
      </c>
      <c r="E113">
        <v>5.7532647732468893</v>
      </c>
      <c r="F113">
        <v>-4.4199314399135572</v>
      </c>
      <c r="G113">
        <v>-8.6922163800252153E-2</v>
      </c>
      <c r="H113">
        <v>-0.23883695927342999</v>
      </c>
      <c r="I113">
        <v>-0.84639623503033612</v>
      </c>
      <c r="J113">
        <v>-0.45084280250599978</v>
      </c>
      <c r="K113">
        <v>-3.5248968317784541</v>
      </c>
      <c r="L113">
        <v>-1.2627364586747241</v>
      </c>
      <c r="M113">
        <v>0.69994690457218267</v>
      </c>
      <c r="N113">
        <v>0.50457152186939169</v>
      </c>
      <c r="O113">
        <v>7.4715305666999493E-2</v>
      </c>
      <c r="P113">
        <v>-0.75234581368509734</v>
      </c>
      <c r="Q113">
        <v>-0.52486557418804092</v>
      </c>
      <c r="R113">
        <v>-8.6922163800252153E-2</v>
      </c>
      <c r="S113">
        <v>9.2051621882940804</v>
      </c>
      <c r="T113">
        <v>0.1086075550332026</v>
      </c>
      <c r="U113">
        <v>9.0965546332608778</v>
      </c>
      <c r="V113">
        <v>-0.23883695927342999</v>
      </c>
      <c r="W113">
        <v>4.6722959822409997</v>
      </c>
      <c r="X113">
        <v>0.1099156368821657</v>
      </c>
      <c r="Y113">
        <v>4.5623803453588341</v>
      </c>
      <c r="Z113">
        <v>-0.84639623503033612</v>
      </c>
      <c r="AA113">
        <v>0.45084280250599978</v>
      </c>
      <c r="AB113">
        <v>2.7696665199223802</v>
      </c>
      <c r="AC113">
        <v>4.2801271436345276</v>
      </c>
      <c r="AD113">
        <v>-1.9961508497641021</v>
      </c>
      <c r="AE113">
        <v>-0.49497609478588839</v>
      </c>
      <c r="AF113">
        <v>-1.149417379026243</v>
      </c>
      <c r="AG113">
        <v>-1.750456380687154</v>
      </c>
      <c r="AH113">
        <v>-1.4524977186903401</v>
      </c>
      <c r="AI113">
        <v>-0.73292032909461591</v>
      </c>
      <c r="AJ113">
        <v>0.60695065289873751</v>
      </c>
      <c r="AK113">
        <v>1.033507902404337</v>
      </c>
      <c r="AL113">
        <v>0.45938215841347407</v>
      </c>
      <c r="AM113">
        <v>-0.50457152186939169</v>
      </c>
      <c r="AN113">
        <v>7.4715305666999493E-2</v>
      </c>
      <c r="AO113">
        <v>-0.54961426306854866</v>
      </c>
      <c r="AP113">
        <v>-0.95507736430164614</v>
      </c>
      <c r="AQ113">
        <v>-0.52486557418804092</v>
      </c>
    </row>
    <row r="114" spans="1:43" x14ac:dyDescent="0.3">
      <c r="A114">
        <v>914</v>
      </c>
      <c r="B114">
        <v>2024</v>
      </c>
      <c r="C114" t="s">
        <v>179</v>
      </c>
      <c r="D114">
        <v>10</v>
      </c>
      <c r="E114">
        <v>11.1264160153648</v>
      </c>
      <c r="F114">
        <v>-1.1264160153648</v>
      </c>
      <c r="G114">
        <v>4.6916010520237368E-2</v>
      </c>
      <c r="H114">
        <v>-0.77879669157414655</v>
      </c>
      <c r="I114">
        <v>4.1122216952201057E-2</v>
      </c>
      <c r="J114">
        <v>0.30100394726470658</v>
      </c>
      <c r="K114">
        <v>0.30213081591089108</v>
      </c>
      <c r="L114">
        <v>-0.1953405610167869</v>
      </c>
      <c r="M114">
        <v>-7.8282906960217405E-2</v>
      </c>
      <c r="N114">
        <v>5.6108079552703347E-2</v>
      </c>
      <c r="O114">
        <v>-0.25972841509947658</v>
      </c>
      <c r="P114">
        <v>0.55431892526788595</v>
      </c>
      <c r="Q114">
        <v>-0.52486557418804092</v>
      </c>
      <c r="R114">
        <v>4.6916010520237368E-2</v>
      </c>
      <c r="S114">
        <v>9.2051621882940804</v>
      </c>
      <c r="T114">
        <v>0.1086075550332026</v>
      </c>
      <c r="U114">
        <v>9.0965546332608778</v>
      </c>
      <c r="V114">
        <v>-0.77879669157414655</v>
      </c>
      <c r="W114">
        <v>4.6722959822409997</v>
      </c>
      <c r="X114">
        <v>0.1099156368821657</v>
      </c>
      <c r="Y114">
        <v>4.5623803453588341</v>
      </c>
      <c r="Z114">
        <v>4.1122216952201057E-2</v>
      </c>
      <c r="AA114">
        <v>-0.30100394726470658</v>
      </c>
      <c r="AB114">
        <v>-0.36105429762281449</v>
      </c>
      <c r="AC114">
        <v>-0.24320733419896781</v>
      </c>
      <c r="AD114">
        <v>-0.16517995797168511</v>
      </c>
      <c r="AE114">
        <v>-1.6326341604544999E-2</v>
      </c>
      <c r="AF114">
        <v>4.2827660356572943E-3</v>
      </c>
      <c r="AG114">
        <v>-0.168712637027223</v>
      </c>
      <c r="AH114">
        <v>-0.25368393473695777</v>
      </c>
      <c r="AI114">
        <v>-0.57242326079596784</v>
      </c>
      <c r="AJ114">
        <v>-0.14297184995781539</v>
      </c>
      <c r="AK114">
        <v>-9.8404554093255103E-2</v>
      </c>
      <c r="AL114">
        <v>6.5276831704183039E-3</v>
      </c>
      <c r="AM114">
        <v>-5.6108079552703347E-2</v>
      </c>
      <c r="AN114">
        <v>-0.25972841509947658</v>
      </c>
      <c r="AO114">
        <v>0.53173043358014083</v>
      </c>
      <c r="AP114">
        <v>0.57690741695563119</v>
      </c>
      <c r="AQ114">
        <v>-0.52486557418804092</v>
      </c>
    </row>
    <row r="115" spans="1:43" x14ac:dyDescent="0.3">
      <c r="A115">
        <v>915</v>
      </c>
      <c r="B115">
        <v>2024</v>
      </c>
      <c r="C115" t="s">
        <v>180</v>
      </c>
      <c r="D115">
        <v>11</v>
      </c>
      <c r="E115">
        <v>11.8070244593568</v>
      </c>
      <c r="F115">
        <v>-0.80702445935679989</v>
      </c>
      <c r="G115">
        <v>-1.7452613256956899E-2</v>
      </c>
      <c r="H115">
        <v>-0.66356382271595016</v>
      </c>
      <c r="I115">
        <v>1.072718339711124</v>
      </c>
      <c r="J115">
        <v>-7.7899128372774006E-3</v>
      </c>
      <c r="K115">
        <v>0.30213081591089108</v>
      </c>
      <c r="L115">
        <v>-5.5431399237018321E-2</v>
      </c>
      <c r="M115">
        <v>-3.6200177743177693E-2</v>
      </c>
      <c r="N115">
        <v>0.60995015132715391</v>
      </c>
      <c r="O115">
        <v>-0.65904625228589586</v>
      </c>
      <c r="P115">
        <v>-8.4803582516725068E-2</v>
      </c>
      <c r="Q115">
        <v>-0.52486557418804092</v>
      </c>
      <c r="R115">
        <v>-1.7452613256956899E-2</v>
      </c>
      <c r="S115">
        <v>9.2051621882940804</v>
      </c>
      <c r="T115">
        <v>0.1086075550332026</v>
      </c>
      <c r="U115">
        <v>9.0965546332608778</v>
      </c>
      <c r="V115">
        <v>-0.66356382271595016</v>
      </c>
      <c r="W115">
        <v>4.6722959822409997</v>
      </c>
      <c r="X115">
        <v>0.1099156368821657</v>
      </c>
      <c r="Y115">
        <v>4.5623803453588341</v>
      </c>
      <c r="Z115">
        <v>1.072718339711124</v>
      </c>
      <c r="AA115">
        <v>7.7899128372774006E-3</v>
      </c>
      <c r="AB115">
        <v>-0.36105429762281449</v>
      </c>
      <c r="AC115">
        <v>-0.24320733419896781</v>
      </c>
      <c r="AD115">
        <v>-0.42828202549123912</v>
      </c>
      <c r="AE115">
        <v>-0.77831380815659512</v>
      </c>
      <c r="AF115">
        <v>0.16805199738989079</v>
      </c>
      <c r="AG115">
        <v>0.42595189707812459</v>
      </c>
      <c r="AH115">
        <v>3.4642283923834463E-2</v>
      </c>
      <c r="AI115">
        <v>0.24536125983387419</v>
      </c>
      <c r="AJ115">
        <v>-0.18622552547762861</v>
      </c>
      <c r="AK115">
        <v>-0.119029781070252</v>
      </c>
      <c r="AL115">
        <v>0.1966547733183476</v>
      </c>
      <c r="AM115">
        <v>-0.60995015132715391</v>
      </c>
      <c r="AN115">
        <v>-0.65904625228589586</v>
      </c>
      <c r="AO115">
        <v>3.419332657496673E-2</v>
      </c>
      <c r="AP115">
        <v>-0.2038004916084169</v>
      </c>
      <c r="AQ115">
        <v>-0.52486557418804092</v>
      </c>
    </row>
    <row r="116" spans="1:43" x14ac:dyDescent="0.3">
      <c r="A116">
        <v>916</v>
      </c>
      <c r="B116">
        <v>2024</v>
      </c>
      <c r="C116" t="s">
        <v>181</v>
      </c>
      <c r="D116">
        <v>14</v>
      </c>
      <c r="E116">
        <v>12.8056873449392</v>
      </c>
      <c r="F116">
        <v>1.194312655060799</v>
      </c>
      <c r="G116">
        <v>0.33161289988149889</v>
      </c>
      <c r="H116">
        <v>0.46134896742320158</v>
      </c>
      <c r="I116">
        <v>-8.3881099145935376E-3</v>
      </c>
      <c r="J116">
        <v>-0.67505938847563363</v>
      </c>
      <c r="K116">
        <v>0.30213081591089108</v>
      </c>
      <c r="L116">
        <v>-0.43787579034347951</v>
      </c>
      <c r="M116">
        <v>-0.1693320519727331</v>
      </c>
      <c r="N116">
        <v>0.93550427207222608</v>
      </c>
      <c r="O116">
        <v>-0.13627751028361099</v>
      </c>
      <c r="P116">
        <v>-8.01891353926866E-2</v>
      </c>
      <c r="Q116">
        <v>-0.52486557418804092</v>
      </c>
      <c r="R116">
        <v>0.33161289988149889</v>
      </c>
      <c r="S116">
        <v>9.2051621882940804</v>
      </c>
      <c r="T116">
        <v>0.1086075550332026</v>
      </c>
      <c r="U116">
        <v>9.0965546332608778</v>
      </c>
      <c r="V116">
        <v>0.46134896742320158</v>
      </c>
      <c r="W116">
        <v>4.6722959822409997</v>
      </c>
      <c r="X116">
        <v>0.1099156368821657</v>
      </c>
      <c r="Y116">
        <v>4.5623803453588341</v>
      </c>
      <c r="Z116">
        <v>-8.3881099145935376E-3</v>
      </c>
      <c r="AA116">
        <v>0.67505938847563363</v>
      </c>
      <c r="AB116">
        <v>-0.36105429762281449</v>
      </c>
      <c r="AC116">
        <v>-0.24320733419896781</v>
      </c>
      <c r="AD116">
        <v>-1.0417060109914871</v>
      </c>
      <c r="AE116">
        <v>-0.3812073249664289</v>
      </c>
      <c r="AF116">
        <v>-0.1841298527093243</v>
      </c>
      <c r="AG116">
        <v>-0.27124818165118803</v>
      </c>
      <c r="AH116">
        <v>-0.53724010996269578</v>
      </c>
      <c r="AI116">
        <v>-0.21172326177975251</v>
      </c>
      <c r="AJ116">
        <v>1.0984748182020459E-3</v>
      </c>
      <c r="AK116">
        <v>-0.85130783966155099</v>
      </c>
      <c r="AL116">
        <v>0.34221320892514973</v>
      </c>
      <c r="AM116">
        <v>-0.93550427207222608</v>
      </c>
      <c r="AN116">
        <v>-0.13627751028361099</v>
      </c>
      <c r="AO116">
        <v>-0.19294695646240509</v>
      </c>
      <c r="AP116">
        <v>3.2568685677031917E-2</v>
      </c>
      <c r="AQ116">
        <v>-0.52486557418804092</v>
      </c>
    </row>
    <row r="117" spans="1:43" x14ac:dyDescent="0.3">
      <c r="A117">
        <v>917</v>
      </c>
      <c r="B117">
        <v>2024</v>
      </c>
      <c r="C117" t="s">
        <v>182</v>
      </c>
      <c r="D117">
        <v>7</v>
      </c>
      <c r="E117">
        <v>7.358221602091704</v>
      </c>
      <c r="F117">
        <v>-0.35822160209170401</v>
      </c>
      <c r="G117">
        <v>-1.0133570565517229</v>
      </c>
      <c r="H117">
        <v>-1.007018717342028</v>
      </c>
      <c r="I117">
        <v>0.45707008649360392</v>
      </c>
      <c r="J117">
        <v>-0.46856720757456588</v>
      </c>
      <c r="K117">
        <v>0.30213081591089108</v>
      </c>
      <c r="L117">
        <v>-1.0661262127136859</v>
      </c>
      <c r="M117">
        <v>0.45857702848521631</v>
      </c>
      <c r="N117">
        <v>0.57030467169724974</v>
      </c>
      <c r="O117">
        <v>-1.763251040694946</v>
      </c>
      <c r="P117">
        <v>-0.24007154219419741</v>
      </c>
      <c r="Q117">
        <v>-0.52486557418804092</v>
      </c>
      <c r="R117">
        <v>-1.0133570565517229</v>
      </c>
      <c r="S117">
        <v>9.2051621882940804</v>
      </c>
      <c r="T117">
        <v>0.1086075550332026</v>
      </c>
      <c r="U117">
        <v>9.0965546332608778</v>
      </c>
      <c r="V117">
        <v>-1.007018717342028</v>
      </c>
      <c r="W117">
        <v>4.6722959822409997</v>
      </c>
      <c r="X117">
        <v>0.1099156368821657</v>
      </c>
      <c r="Y117">
        <v>4.5623803453588341</v>
      </c>
      <c r="Z117">
        <v>0.45707008649360392</v>
      </c>
      <c r="AA117">
        <v>0.46856720757456588</v>
      </c>
      <c r="AB117">
        <v>-0.36105429762281449</v>
      </c>
      <c r="AC117">
        <v>-0.24320733419896781</v>
      </c>
      <c r="AD117">
        <v>-1.0260107370866789</v>
      </c>
      <c r="AE117">
        <v>-0.64807128581102713</v>
      </c>
      <c r="AF117">
        <v>-1.362154774621759</v>
      </c>
      <c r="AG117">
        <v>-0.92313860333066622</v>
      </c>
      <c r="AH117">
        <v>-1.135027343123304</v>
      </c>
      <c r="AI117">
        <v>-1.3023545323086789</v>
      </c>
      <c r="AJ117">
        <v>0.33685325153573242</v>
      </c>
      <c r="AK117">
        <v>0.50913213174116645</v>
      </c>
      <c r="AL117">
        <v>0.52974570217875006</v>
      </c>
      <c r="AM117">
        <v>-0.57030467169724974</v>
      </c>
      <c r="AN117">
        <v>-1.763251040694946</v>
      </c>
      <c r="AO117">
        <v>4.5845357124781744E-3</v>
      </c>
      <c r="AP117">
        <v>-0.484727620100873</v>
      </c>
      <c r="AQ117">
        <v>-0.52486557418804092</v>
      </c>
    </row>
    <row r="118" spans="1:43" x14ac:dyDescent="0.3">
      <c r="A118">
        <v>918</v>
      </c>
      <c r="B118">
        <v>2024</v>
      </c>
      <c r="C118" t="s">
        <v>183</v>
      </c>
      <c r="D118">
        <v>14.33333333333333</v>
      </c>
      <c r="E118">
        <v>13.87032109968071</v>
      </c>
      <c r="F118">
        <v>0.46301223365262351</v>
      </c>
      <c r="G118">
        <v>0.47407160095520368</v>
      </c>
      <c r="H118">
        <v>-3.6792850418479753E-2</v>
      </c>
      <c r="I118">
        <v>-0.24506842908998361</v>
      </c>
      <c r="J118">
        <v>0.1183796143085008</v>
      </c>
      <c r="K118">
        <v>0.30213081591089108</v>
      </c>
      <c r="L118">
        <v>-0.12611632693369881</v>
      </c>
      <c r="M118">
        <v>0.34274367458519012</v>
      </c>
      <c r="N118">
        <v>0.94381120858893319</v>
      </c>
      <c r="O118">
        <v>0.1142708014072041</v>
      </c>
      <c r="P118">
        <v>0.68119119312741039</v>
      </c>
      <c r="Q118">
        <v>-0.52486557418804092</v>
      </c>
      <c r="R118">
        <v>0.47407160095520368</v>
      </c>
      <c r="S118">
        <v>9.2051621882940804</v>
      </c>
      <c r="T118">
        <v>0.1086075550332026</v>
      </c>
      <c r="U118">
        <v>9.0965546332608778</v>
      </c>
      <c r="V118">
        <v>-3.6792850418479753E-2</v>
      </c>
      <c r="W118">
        <v>4.6722959822409997</v>
      </c>
      <c r="X118">
        <v>0.1099156368821657</v>
      </c>
      <c r="Y118">
        <v>4.5623803453588341</v>
      </c>
      <c r="Z118">
        <v>-0.24506842908998361</v>
      </c>
      <c r="AA118">
        <v>-0.1183796143085008</v>
      </c>
      <c r="AB118">
        <v>-0.36105429762281449</v>
      </c>
      <c r="AC118">
        <v>-0.24320733419896781</v>
      </c>
      <c r="AD118">
        <v>8.1207690354748049E-2</v>
      </c>
      <c r="AE118">
        <v>7.0906944917348393E-3</v>
      </c>
      <c r="AF118">
        <v>-0.30240718839496489</v>
      </c>
      <c r="AG118">
        <v>7.3818703102291891E-3</v>
      </c>
      <c r="AH118">
        <v>-0.16188242762449009</v>
      </c>
      <c r="AI118">
        <v>-0.38808860073944967</v>
      </c>
      <c r="AJ118">
        <v>-2.1380405217297331E-2</v>
      </c>
      <c r="AK118">
        <v>0.34710034860987871</v>
      </c>
      <c r="AL118">
        <v>0.70251108036298882</v>
      </c>
      <c r="AM118">
        <v>-0.94381120858893319</v>
      </c>
      <c r="AN118">
        <v>0.1142708014072041</v>
      </c>
      <c r="AO118">
        <v>0.80942688330602663</v>
      </c>
      <c r="AP118">
        <v>0.55295550294879403</v>
      </c>
      <c r="AQ118">
        <v>-0.52486557418804092</v>
      </c>
    </row>
    <row r="119" spans="1:43" x14ac:dyDescent="0.3">
      <c r="A119">
        <v>921</v>
      </c>
      <c r="B119">
        <v>2024</v>
      </c>
      <c r="C119" t="s">
        <v>184</v>
      </c>
      <c r="D119">
        <v>8</v>
      </c>
      <c r="E119">
        <v>8.8808372455343001</v>
      </c>
      <c r="F119">
        <v>-0.8808372455343001</v>
      </c>
      <c r="G119">
        <v>-0.1670615242321801</v>
      </c>
      <c r="H119">
        <v>-0.98625066102171177</v>
      </c>
      <c r="I119">
        <v>-0.28183006508807967</v>
      </c>
      <c r="J119">
        <v>-0.66303960893505554</v>
      </c>
      <c r="K119">
        <v>-1.3532392676251841</v>
      </c>
      <c r="L119">
        <v>-0.24605592577884591</v>
      </c>
      <c r="M119">
        <v>0.163537130417691</v>
      </c>
      <c r="N119">
        <v>0.53540998184780353</v>
      </c>
      <c r="O119">
        <v>-1.19874148788868</v>
      </c>
      <c r="P119">
        <v>0.58150407402507676</v>
      </c>
      <c r="Q119">
        <v>-0.52486557418804092</v>
      </c>
      <c r="R119">
        <v>-0.1670615242321801</v>
      </c>
      <c r="S119">
        <v>9.2051621882940804</v>
      </c>
      <c r="T119">
        <v>0.1086075550332026</v>
      </c>
      <c r="U119">
        <v>9.0965546332608778</v>
      </c>
      <c r="V119">
        <v>-0.98625066102171177</v>
      </c>
      <c r="W119">
        <v>4.6722959822409997</v>
      </c>
      <c r="X119">
        <v>0.1099156368821657</v>
      </c>
      <c r="Y119">
        <v>4.5623803453588341</v>
      </c>
      <c r="Z119">
        <v>-0.28183006508807967</v>
      </c>
      <c r="AA119">
        <v>0.66303960893505554</v>
      </c>
      <c r="AB119">
        <v>2.7696665199223802</v>
      </c>
      <c r="AC119">
        <v>-6.3187984672011782E-2</v>
      </c>
      <c r="AD119">
        <v>0.1579523858182407</v>
      </c>
      <c r="AE119">
        <v>-0.45609852016108832</v>
      </c>
      <c r="AF119">
        <v>-5.7966906153393137E-2</v>
      </c>
      <c r="AG119">
        <v>-0.37969443561342231</v>
      </c>
      <c r="AH119">
        <v>-0.29985256530869703</v>
      </c>
      <c r="AI119">
        <v>-0.4406755132547156</v>
      </c>
      <c r="AJ119">
        <v>-0.2666182201865282</v>
      </c>
      <c r="AK119">
        <v>0.38505076624755308</v>
      </c>
      <c r="AL119">
        <v>0.37217884519204808</v>
      </c>
      <c r="AM119">
        <v>-0.53540998184780353</v>
      </c>
      <c r="AN119">
        <v>-1.19874148788868</v>
      </c>
      <c r="AO119">
        <v>0.72982722786107124</v>
      </c>
      <c r="AP119">
        <v>0.43318092018908227</v>
      </c>
      <c r="AQ119">
        <v>-0.52486557418804092</v>
      </c>
    </row>
    <row r="120" spans="1:43" x14ac:dyDescent="0.3">
      <c r="A120">
        <v>922</v>
      </c>
      <c r="B120">
        <v>2024</v>
      </c>
      <c r="C120" t="s">
        <v>185</v>
      </c>
      <c r="D120">
        <v>1</v>
      </c>
      <c r="E120">
        <v>10.032089279229121</v>
      </c>
      <c r="F120">
        <v>-9.0320892792291154</v>
      </c>
      <c r="G120">
        <v>0.35300233795771102</v>
      </c>
      <c r="H120">
        <v>1.5099256538068631</v>
      </c>
      <c r="I120">
        <v>-0.68729955857301783</v>
      </c>
      <c r="J120">
        <v>-0.25532105531260291</v>
      </c>
      <c r="K120">
        <v>-3.5248968317784541</v>
      </c>
      <c r="L120">
        <v>-1.255673173217448</v>
      </c>
      <c r="M120">
        <v>0.54397564908193374</v>
      </c>
      <c r="N120">
        <v>1.0501344395235119</v>
      </c>
      <c r="O120">
        <v>0.69159483485372641</v>
      </c>
      <c r="P120">
        <v>0.70774174322753536</v>
      </c>
      <c r="Q120">
        <v>-0.52486557418804092</v>
      </c>
      <c r="R120">
        <v>0.35300233795771102</v>
      </c>
      <c r="S120">
        <v>9.2051621882940804</v>
      </c>
      <c r="T120">
        <v>0.1086075550332026</v>
      </c>
      <c r="U120">
        <v>9.0965546332608778</v>
      </c>
      <c r="V120">
        <v>1.5099256538068631</v>
      </c>
      <c r="W120">
        <v>4.6722959822409997</v>
      </c>
      <c r="X120">
        <v>0.1099156368821657</v>
      </c>
      <c r="Y120">
        <v>4.5623803453588341</v>
      </c>
      <c r="Z120">
        <v>-0.68729955857301783</v>
      </c>
      <c r="AA120">
        <v>0.25532105531260291</v>
      </c>
      <c r="AB120">
        <v>2.7696665199223802</v>
      </c>
      <c r="AC120">
        <v>4.2801271436345276</v>
      </c>
      <c r="AD120">
        <v>-1.703454287052236</v>
      </c>
      <c r="AE120">
        <v>-1.127915957637982</v>
      </c>
      <c r="AF120">
        <v>-0.71702646332299935</v>
      </c>
      <c r="AG120">
        <v>-1.5608500288021641</v>
      </c>
      <c r="AH120">
        <v>-1.372640184744065</v>
      </c>
      <c r="AI120">
        <v>-1.052152117745238</v>
      </c>
      <c r="AJ120">
        <v>0.40007980039812452</v>
      </c>
      <c r="AK120">
        <v>0.48363935119759838</v>
      </c>
      <c r="AL120">
        <v>0.74820779565007833</v>
      </c>
      <c r="AM120">
        <v>-1.0501344395235119</v>
      </c>
      <c r="AN120">
        <v>0.69159483485372641</v>
      </c>
      <c r="AO120">
        <v>0.43935051515858747</v>
      </c>
      <c r="AP120">
        <v>0.97613297129648313</v>
      </c>
      <c r="AQ120">
        <v>-0.52486557418804092</v>
      </c>
    </row>
    <row r="121" spans="1:43" x14ac:dyDescent="0.3">
      <c r="A121">
        <v>924</v>
      </c>
      <c r="B121">
        <v>2024</v>
      </c>
      <c r="C121" t="s">
        <v>186</v>
      </c>
      <c r="D121">
        <v>18</v>
      </c>
      <c r="E121">
        <v>15.389162560507421</v>
      </c>
      <c r="F121">
        <v>2.6108374394925788</v>
      </c>
      <c r="G121">
        <v>0.26877919956862167</v>
      </c>
      <c r="H121">
        <v>2.6346913353171191</v>
      </c>
      <c r="I121">
        <v>0.57041118750436026</v>
      </c>
      <c r="J121">
        <v>0.56753778882323092</v>
      </c>
      <c r="K121">
        <v>0.30213081591089108</v>
      </c>
      <c r="L121">
        <v>-0.45403336834557823</v>
      </c>
      <c r="M121">
        <v>-0.38719196824574692</v>
      </c>
      <c r="N121">
        <v>-0.84095771706255795</v>
      </c>
      <c r="O121">
        <v>0.39838762141497591</v>
      </c>
      <c r="P121">
        <v>0.56177077873985681</v>
      </c>
      <c r="Q121">
        <v>-0.52486557418804092</v>
      </c>
      <c r="R121">
        <v>0.26877919956862167</v>
      </c>
      <c r="S121">
        <v>9.2051621882940804</v>
      </c>
      <c r="T121">
        <v>0.1086075550332026</v>
      </c>
      <c r="U121">
        <v>9.0965546332608778</v>
      </c>
      <c r="V121">
        <v>2.6346913353171191</v>
      </c>
      <c r="W121">
        <v>4.6722959822409997</v>
      </c>
      <c r="X121">
        <v>0.1099156368821657</v>
      </c>
      <c r="Y121">
        <v>4.5623803453588341</v>
      </c>
      <c r="Z121">
        <v>0.57041118750436026</v>
      </c>
      <c r="AA121">
        <v>-0.56753778882323092</v>
      </c>
      <c r="AB121">
        <v>-0.36105429762281449</v>
      </c>
      <c r="AC121">
        <v>-0.24320733419896781</v>
      </c>
      <c r="AD121">
        <v>-1.955532345098745</v>
      </c>
      <c r="AE121">
        <v>-0.2254707981637292</v>
      </c>
      <c r="AF121">
        <v>0.66817610025822083</v>
      </c>
      <c r="AG121">
        <v>-0.40808364656461998</v>
      </c>
      <c r="AH121">
        <v>-0.75043356312373133</v>
      </c>
      <c r="AI121">
        <v>-5.2855957380863967E-2</v>
      </c>
      <c r="AJ121">
        <v>-1.250526567961098</v>
      </c>
      <c r="AK121">
        <v>-0.31373192373310299</v>
      </c>
      <c r="AL121">
        <v>0.40268258695695991</v>
      </c>
      <c r="AM121">
        <v>0.84095771706255795</v>
      </c>
      <c r="AN121">
        <v>0.39838762141497591</v>
      </c>
      <c r="AO121">
        <v>0.3697077409274851</v>
      </c>
      <c r="AP121">
        <v>0.75383381655222848</v>
      </c>
      <c r="AQ121">
        <v>-0.52486557418804092</v>
      </c>
    </row>
    <row r="122" spans="1:43" x14ac:dyDescent="0.3">
      <c r="A122">
        <v>926</v>
      </c>
      <c r="B122">
        <v>2024</v>
      </c>
      <c r="C122" t="s">
        <v>187</v>
      </c>
      <c r="D122">
        <v>1.6666666666666681</v>
      </c>
      <c r="E122">
        <v>6.3569368311535506</v>
      </c>
      <c r="F122">
        <v>-4.6902701644868827</v>
      </c>
      <c r="G122">
        <v>-0.37458240833517642</v>
      </c>
      <c r="H122">
        <v>0.23986970061584709</v>
      </c>
      <c r="I122">
        <v>-1.443794649949514</v>
      </c>
      <c r="J122">
        <v>-0.71228254702113658</v>
      </c>
      <c r="K122">
        <v>-3.5248968317784541</v>
      </c>
      <c r="L122">
        <v>-0.71189105767305083</v>
      </c>
      <c r="M122">
        <v>7.0089558148439132E-2</v>
      </c>
      <c r="N122">
        <v>-0.87988085438666142</v>
      </c>
      <c r="O122">
        <v>-0.38342500622428738</v>
      </c>
      <c r="P122">
        <v>0.44409477481346959</v>
      </c>
      <c r="Q122">
        <v>-0.52486557418804092</v>
      </c>
      <c r="R122">
        <v>-0.37458240833517642</v>
      </c>
      <c r="S122">
        <v>9.2051621882940804</v>
      </c>
      <c r="T122">
        <v>0.1086075550332026</v>
      </c>
      <c r="U122">
        <v>9.0965546332608778</v>
      </c>
      <c r="V122">
        <v>0.23986970061584709</v>
      </c>
      <c r="W122">
        <v>4.6722959822409997</v>
      </c>
      <c r="X122">
        <v>0.1099156368821657</v>
      </c>
      <c r="Y122">
        <v>4.5623803453588341</v>
      </c>
      <c r="Z122">
        <v>-1.443794649949514</v>
      </c>
      <c r="AA122">
        <v>0.71228254702113658</v>
      </c>
      <c r="AB122">
        <v>2.7696665199223802</v>
      </c>
      <c r="AC122">
        <v>4.2801271436345276</v>
      </c>
      <c r="AD122">
        <v>-0.27275979979752302</v>
      </c>
      <c r="AE122">
        <v>-0.56117795711049445</v>
      </c>
      <c r="AF122">
        <v>-1.0325521707706209</v>
      </c>
      <c r="AG122">
        <v>-0.67351288308882684</v>
      </c>
      <c r="AH122">
        <v>-0.9022977324089364</v>
      </c>
      <c r="AI122">
        <v>-0.82904580286190277</v>
      </c>
      <c r="AJ122">
        <v>-1.8605136570849521</v>
      </c>
      <c r="AK122">
        <v>2.0341614144203191</v>
      </c>
      <c r="AL122">
        <v>3.6620917109949983E-2</v>
      </c>
      <c r="AM122">
        <v>0.87988085438666142</v>
      </c>
      <c r="AN122">
        <v>-0.38342500622428738</v>
      </c>
      <c r="AO122">
        <v>0.50626049823130681</v>
      </c>
      <c r="AP122">
        <v>0.38192905139563238</v>
      </c>
      <c r="AQ122">
        <v>-0.52486557418804092</v>
      </c>
    </row>
    <row r="123" spans="1:43" x14ac:dyDescent="0.3">
      <c r="A123">
        <v>927</v>
      </c>
      <c r="B123">
        <v>2024</v>
      </c>
      <c r="C123" t="s">
        <v>188</v>
      </c>
      <c r="D123">
        <v>10</v>
      </c>
      <c r="E123">
        <v>10.31046744805171</v>
      </c>
      <c r="F123">
        <v>-0.31046744805171039</v>
      </c>
      <c r="G123">
        <v>-0.83756213836968907</v>
      </c>
      <c r="H123">
        <v>-2.4248800116918649E-2</v>
      </c>
      <c r="I123">
        <v>1.0898330206033491</v>
      </c>
      <c r="J123">
        <v>-0.86882586627580338</v>
      </c>
      <c r="K123">
        <v>0.30213081591089108</v>
      </c>
      <c r="L123">
        <v>-0.75915488088552474</v>
      </c>
      <c r="M123">
        <v>2.8064197161728109E-2</v>
      </c>
      <c r="N123">
        <v>0.70552159486385368</v>
      </c>
      <c r="O123">
        <v>-0.50977242331403527</v>
      </c>
      <c r="P123">
        <v>-0.16102950897352619</v>
      </c>
      <c r="Q123">
        <v>-0.52486557418804092</v>
      </c>
      <c r="R123">
        <v>-0.83756213836968907</v>
      </c>
      <c r="S123">
        <v>9.2051621882940804</v>
      </c>
      <c r="T123">
        <v>0.1086075550332026</v>
      </c>
      <c r="U123">
        <v>9.0965546332608778</v>
      </c>
      <c r="V123">
        <v>-2.4248800116918649E-2</v>
      </c>
      <c r="W123">
        <v>4.6722959822409997</v>
      </c>
      <c r="X123">
        <v>0.1099156368821657</v>
      </c>
      <c r="Y123">
        <v>4.5623803453588341</v>
      </c>
      <c r="Z123">
        <v>1.0898330206033491</v>
      </c>
      <c r="AA123">
        <v>0.86882586627580338</v>
      </c>
      <c r="AB123">
        <v>-0.36105429762281449</v>
      </c>
      <c r="AC123">
        <v>-0.24320733419896781</v>
      </c>
      <c r="AD123">
        <v>-1.2866555078297019</v>
      </c>
      <c r="AE123">
        <v>-7.3125289229442447E-2</v>
      </c>
      <c r="AF123">
        <v>-0.51452443133185055</v>
      </c>
      <c r="AG123">
        <v>-0.9346987113048475</v>
      </c>
      <c r="AH123">
        <v>-0.83331589749458546</v>
      </c>
      <c r="AI123">
        <v>-0.91260944812272093</v>
      </c>
      <c r="AJ123">
        <v>-9.0220409071832292E-2</v>
      </c>
      <c r="AK123">
        <v>-0.3449997678302304</v>
      </c>
      <c r="AL123">
        <v>0.51941276838724704</v>
      </c>
      <c r="AM123">
        <v>-0.70552159486385368</v>
      </c>
      <c r="AN123">
        <v>-0.50977242331403527</v>
      </c>
      <c r="AO123">
        <v>-0.18995344357075269</v>
      </c>
      <c r="AP123">
        <v>-0.13210557437629969</v>
      </c>
      <c r="AQ123">
        <v>-0.52486557418804092</v>
      </c>
    </row>
    <row r="124" spans="1:43" x14ac:dyDescent="0.3">
      <c r="A124">
        <v>935</v>
      </c>
      <c r="B124">
        <v>2024</v>
      </c>
      <c r="C124" t="s">
        <v>189</v>
      </c>
      <c r="D124">
        <v>19</v>
      </c>
      <c r="E124">
        <v>17.95439967930087</v>
      </c>
      <c r="F124">
        <v>1.045600320699126</v>
      </c>
      <c r="G124">
        <v>0.93010481996161398</v>
      </c>
      <c r="H124">
        <v>0.55240222132139416</v>
      </c>
      <c r="I124">
        <v>-0.75457946483556659</v>
      </c>
      <c r="J124">
        <v>2.704836881525411E-2</v>
      </c>
      <c r="K124">
        <v>0.30213081591089108</v>
      </c>
      <c r="L124">
        <v>1.06573356720766</v>
      </c>
      <c r="M124">
        <v>0.49781210234883361</v>
      </c>
      <c r="N124">
        <v>0.40866668957616842</v>
      </c>
      <c r="O124">
        <v>0.159877938862484</v>
      </c>
      <c r="P124">
        <v>0.75620640776977455</v>
      </c>
      <c r="Q124">
        <v>-0.52486557418804092</v>
      </c>
      <c r="R124">
        <v>0.93010481996161398</v>
      </c>
      <c r="S124">
        <v>9.2051621882940804</v>
      </c>
      <c r="T124">
        <v>0.1086075550332026</v>
      </c>
      <c r="U124">
        <v>9.0965546332608778</v>
      </c>
      <c r="V124">
        <v>0.55240222132139416</v>
      </c>
      <c r="W124">
        <v>4.6722959822409997</v>
      </c>
      <c r="X124">
        <v>0.1099156368821657</v>
      </c>
      <c r="Y124">
        <v>4.5623803453588341</v>
      </c>
      <c r="Z124">
        <v>-0.75457946483556659</v>
      </c>
      <c r="AA124">
        <v>-2.704836881525411E-2</v>
      </c>
      <c r="AB124">
        <v>-0.36105429762281449</v>
      </c>
      <c r="AC124">
        <v>-0.24320733419896781</v>
      </c>
      <c r="AD124">
        <v>1.2174455706255951</v>
      </c>
      <c r="AE124">
        <v>1.128574188777157</v>
      </c>
      <c r="AF124">
        <v>0.98854355002230521</v>
      </c>
      <c r="AG124">
        <v>1.0987286750734271</v>
      </c>
      <c r="AH124">
        <v>1.1548360502842621</v>
      </c>
      <c r="AI124">
        <v>0.80627336846321285</v>
      </c>
      <c r="AJ124">
        <v>-5.2530068410303311E-2</v>
      </c>
      <c r="AK124">
        <v>0.93665183652035888</v>
      </c>
      <c r="AL124">
        <v>0.60931453893644516</v>
      </c>
      <c r="AM124">
        <v>-0.40866668957616842</v>
      </c>
      <c r="AN124">
        <v>0.159877938862484</v>
      </c>
      <c r="AO124">
        <v>0.90680598580825544</v>
      </c>
      <c r="AP124">
        <v>0.60560682973129354</v>
      </c>
      <c r="AQ124">
        <v>-0.52486557418804092</v>
      </c>
    </row>
    <row r="125" spans="1:43" x14ac:dyDescent="0.3">
      <c r="A125">
        <v>936</v>
      </c>
      <c r="B125">
        <v>2024</v>
      </c>
      <c r="C125" t="s">
        <v>190</v>
      </c>
      <c r="D125">
        <v>17</v>
      </c>
      <c r="E125">
        <v>15.60357022327079</v>
      </c>
      <c r="F125">
        <v>1.39642977672921</v>
      </c>
      <c r="G125">
        <v>0.78206642443581964</v>
      </c>
      <c r="H125">
        <v>8.5016006956049286E-2</v>
      </c>
      <c r="I125">
        <v>-0.57072762494485119</v>
      </c>
      <c r="J125">
        <v>2.525494139173929E-2</v>
      </c>
      <c r="K125">
        <v>0.30213081591089108</v>
      </c>
      <c r="L125">
        <v>0.42893900591012862</v>
      </c>
      <c r="M125">
        <v>0.39490939068895581</v>
      </c>
      <c r="N125">
        <v>2.2685856711235491E-2</v>
      </c>
      <c r="O125">
        <v>-6.2778511333848735E-2</v>
      </c>
      <c r="P125">
        <v>-0.50744435956475709</v>
      </c>
      <c r="Q125">
        <v>1.9052497423687671</v>
      </c>
      <c r="R125">
        <v>0.78206642443581964</v>
      </c>
      <c r="S125">
        <v>9.2051621882940804</v>
      </c>
      <c r="T125">
        <v>0.1086075550332026</v>
      </c>
      <c r="U125">
        <v>9.0965546332608778</v>
      </c>
      <c r="V125">
        <v>8.5016006956049286E-2</v>
      </c>
      <c r="W125">
        <v>4.6722959822409997</v>
      </c>
      <c r="X125">
        <v>0.1099156368821657</v>
      </c>
      <c r="Y125">
        <v>4.5623803453588341</v>
      </c>
      <c r="Z125">
        <v>-0.57072762494485119</v>
      </c>
      <c r="AA125">
        <v>-2.525494139173929E-2</v>
      </c>
      <c r="AB125">
        <v>-0.36105429762281449</v>
      </c>
      <c r="AC125">
        <v>-0.24320733419896781</v>
      </c>
      <c r="AD125">
        <v>0.86335041452179007</v>
      </c>
      <c r="AE125">
        <v>0.72241015005273035</v>
      </c>
      <c r="AF125">
        <v>0.39712501054008098</v>
      </c>
      <c r="AG125">
        <v>0.1422817860389462</v>
      </c>
      <c r="AH125">
        <v>0.47874356849861749</v>
      </c>
      <c r="AI125">
        <v>-3.027689419139358E-2</v>
      </c>
      <c r="AJ125">
        <v>-0.43291682432875328</v>
      </c>
      <c r="AK125">
        <v>1.0260828206926169</v>
      </c>
      <c r="AL125">
        <v>0.5915621757030034</v>
      </c>
      <c r="AM125">
        <v>-2.2685856711235491E-2</v>
      </c>
      <c r="AN125">
        <v>-6.2778511333848735E-2</v>
      </c>
      <c r="AO125">
        <v>-0.2053506396101894</v>
      </c>
      <c r="AP125">
        <v>-0.80953807951932488</v>
      </c>
      <c r="AQ125">
        <v>1.9052497423687671</v>
      </c>
    </row>
    <row r="126" spans="1:43" x14ac:dyDescent="0.3">
      <c r="A126">
        <v>939</v>
      </c>
      <c r="B126">
        <v>2024</v>
      </c>
      <c r="C126" t="s">
        <v>191</v>
      </c>
      <c r="D126">
        <v>18</v>
      </c>
      <c r="E126">
        <v>17.881885350940369</v>
      </c>
      <c r="F126">
        <v>0.11811464905962769</v>
      </c>
      <c r="G126">
        <v>0.92247889683688167</v>
      </c>
      <c r="H126">
        <v>-0.53610776693487583</v>
      </c>
      <c r="I126">
        <v>-0.87804966270090579</v>
      </c>
      <c r="J126">
        <v>2.1744402605284902E-2</v>
      </c>
      <c r="K126">
        <v>0.30213081591089108</v>
      </c>
      <c r="L126">
        <v>1.27390741601152</v>
      </c>
      <c r="M126">
        <v>0.53709175648185092</v>
      </c>
      <c r="N126">
        <v>0.96248097895424212</v>
      </c>
      <c r="O126">
        <v>-0.13228187504865729</v>
      </c>
      <c r="P126">
        <v>-0.57739815721488696</v>
      </c>
      <c r="Q126">
        <v>1.9052497423687671</v>
      </c>
      <c r="R126">
        <v>0.92247889683688167</v>
      </c>
      <c r="S126">
        <v>9.2051621882940804</v>
      </c>
      <c r="T126">
        <v>0.1086075550332026</v>
      </c>
      <c r="U126">
        <v>9.0965546332608778</v>
      </c>
      <c r="V126">
        <v>-0.53610776693487583</v>
      </c>
      <c r="W126">
        <v>4.6722959822409997</v>
      </c>
      <c r="X126">
        <v>0.1099156368821657</v>
      </c>
      <c r="Y126">
        <v>4.5623803453588341</v>
      </c>
      <c r="Z126">
        <v>-0.87804966270090579</v>
      </c>
      <c r="AA126">
        <v>-2.1744402605284902E-2</v>
      </c>
      <c r="AB126">
        <v>-0.36105429762281449</v>
      </c>
      <c r="AC126">
        <v>-0.24320733419896781</v>
      </c>
      <c r="AD126">
        <v>1.3918165283432029</v>
      </c>
      <c r="AE126">
        <v>0.80087406776382619</v>
      </c>
      <c r="AF126">
        <v>1.1247074538565891</v>
      </c>
      <c r="AG126">
        <v>1.29042898130341</v>
      </c>
      <c r="AH126">
        <v>1.4764145920729921</v>
      </c>
      <c r="AI126">
        <v>1.5592028727291001</v>
      </c>
      <c r="AJ126">
        <v>-0.14805904354444491</v>
      </c>
      <c r="AK126">
        <v>1.047945561288234</v>
      </c>
      <c r="AL126">
        <v>0.71138875170176363</v>
      </c>
      <c r="AM126">
        <v>-0.96248097895424212</v>
      </c>
      <c r="AN126">
        <v>-0.13228187504865729</v>
      </c>
      <c r="AO126">
        <v>-0.36302042222700182</v>
      </c>
      <c r="AP126">
        <v>-0.79177589220277222</v>
      </c>
      <c r="AQ126">
        <v>1.9052497423687671</v>
      </c>
    </row>
    <row r="127" spans="1:43" x14ac:dyDescent="0.3">
      <c r="A127">
        <v>941</v>
      </c>
      <c r="B127">
        <v>2024</v>
      </c>
      <c r="C127" t="s">
        <v>192</v>
      </c>
      <c r="D127">
        <v>16.333333333333329</v>
      </c>
      <c r="E127">
        <v>16.01488169412632</v>
      </c>
      <c r="F127">
        <v>0.3184516392070087</v>
      </c>
      <c r="G127">
        <v>0.69299310279195758</v>
      </c>
      <c r="H127">
        <v>-0.53139595928207228</v>
      </c>
      <c r="I127">
        <v>-0.64136934352551545</v>
      </c>
      <c r="J127">
        <v>7.3639323796350534E-2</v>
      </c>
      <c r="K127">
        <v>0.30213081591089108</v>
      </c>
      <c r="L127">
        <v>0.82895661623325612</v>
      </c>
      <c r="M127">
        <v>0.49650121865225261</v>
      </c>
      <c r="N127">
        <v>0.31376202355251548</v>
      </c>
      <c r="O127">
        <v>-0.1625530144824</v>
      </c>
      <c r="P127">
        <v>-0.41064824685392282</v>
      </c>
      <c r="Q127">
        <v>1.9052497423687671</v>
      </c>
      <c r="R127">
        <v>0.69299310279195758</v>
      </c>
      <c r="S127">
        <v>9.2051621882940804</v>
      </c>
      <c r="T127">
        <v>0.1086075550332026</v>
      </c>
      <c r="U127">
        <v>9.0965546332608778</v>
      </c>
      <c r="V127">
        <v>-0.53139595928207228</v>
      </c>
      <c r="W127">
        <v>4.6722959822409997</v>
      </c>
      <c r="X127">
        <v>0.1099156368821657</v>
      </c>
      <c r="Y127">
        <v>4.5623803453588341</v>
      </c>
      <c r="Z127">
        <v>-0.64136934352551545</v>
      </c>
      <c r="AA127">
        <v>-7.3639323796350534E-2</v>
      </c>
      <c r="AB127">
        <v>-0.36105429762281449</v>
      </c>
      <c r="AC127">
        <v>-0.24320733419896781</v>
      </c>
      <c r="AD127">
        <v>1.079145154445198</v>
      </c>
      <c r="AE127">
        <v>0.70528538948304087</v>
      </c>
      <c r="AF127">
        <v>0.49452880426257412</v>
      </c>
      <c r="AG127">
        <v>0.94599950699805324</v>
      </c>
      <c r="AH127">
        <v>1.0505451141913329</v>
      </c>
      <c r="AI127">
        <v>0.69823572801933664</v>
      </c>
      <c r="AJ127">
        <v>-0.16179196022165071</v>
      </c>
      <c r="AK127">
        <v>1.092083547019008</v>
      </c>
      <c r="AL127">
        <v>0.5592120691594008</v>
      </c>
      <c r="AM127">
        <v>-0.31376202355251548</v>
      </c>
      <c r="AN127">
        <v>-0.1625530144824</v>
      </c>
      <c r="AO127">
        <v>-0.2100116459034492</v>
      </c>
      <c r="AP127">
        <v>-0.61128484780439629</v>
      </c>
      <c r="AQ127">
        <v>1.9052497423687671</v>
      </c>
    </row>
    <row r="128" spans="1:43" x14ac:dyDescent="0.3">
      <c r="A128">
        <v>942</v>
      </c>
      <c r="B128">
        <v>2024</v>
      </c>
      <c r="C128" t="s">
        <v>193</v>
      </c>
      <c r="D128">
        <v>12</v>
      </c>
      <c r="E128">
        <v>12.06290625943867</v>
      </c>
      <c r="F128">
        <v>-6.2906259438669565E-2</v>
      </c>
      <c r="G128">
        <v>0.28187383910722857</v>
      </c>
      <c r="H128">
        <v>-0.1574136790435666</v>
      </c>
      <c r="I128">
        <v>0.18214369471211811</v>
      </c>
      <c r="J128">
        <v>-6.7068412888983533E-2</v>
      </c>
      <c r="K128">
        <v>0.30213081591089108</v>
      </c>
      <c r="L128">
        <v>-0.4051545908232963</v>
      </c>
      <c r="M128">
        <v>0.43901738314013328</v>
      </c>
      <c r="N128">
        <v>0.37702254010282521</v>
      </c>
      <c r="O128">
        <v>-0.44019147444903328</v>
      </c>
      <c r="P128">
        <v>0.6068482458141079</v>
      </c>
      <c r="Q128">
        <v>-0.52486557418804092</v>
      </c>
      <c r="R128">
        <v>0.28187383910722857</v>
      </c>
      <c r="S128">
        <v>9.2051621882940804</v>
      </c>
      <c r="T128">
        <v>0.1086075550332026</v>
      </c>
      <c r="U128">
        <v>9.0965546332608778</v>
      </c>
      <c r="V128">
        <v>-0.1574136790435666</v>
      </c>
      <c r="W128">
        <v>4.6722959822409997</v>
      </c>
      <c r="X128">
        <v>0.1099156368821657</v>
      </c>
      <c r="Y128">
        <v>4.5623803453588341</v>
      </c>
      <c r="Z128">
        <v>0.18214369471211811</v>
      </c>
      <c r="AA128">
        <v>6.7068412888983533E-2</v>
      </c>
      <c r="AB128">
        <v>-0.36105429762281449</v>
      </c>
      <c r="AC128">
        <v>-0.24320733419896781</v>
      </c>
      <c r="AD128">
        <v>-0.65995753685587233</v>
      </c>
      <c r="AE128">
        <v>-0.24388554140018201</v>
      </c>
      <c r="AF128">
        <v>-0.23512460756532361</v>
      </c>
      <c r="AG128">
        <v>-0.23506358682702261</v>
      </c>
      <c r="AH128">
        <v>-0.34161982020917581</v>
      </c>
      <c r="AI128">
        <v>-0.71527645208220159</v>
      </c>
      <c r="AJ128">
        <v>4.9840304995511862E-2</v>
      </c>
      <c r="AK128">
        <v>0.94985198178563668</v>
      </c>
      <c r="AL128">
        <v>0.31735986263925131</v>
      </c>
      <c r="AM128">
        <v>-0.37702254010282521</v>
      </c>
      <c r="AN128">
        <v>-0.44019147444903328</v>
      </c>
      <c r="AO128">
        <v>0.71953740594371596</v>
      </c>
      <c r="AP128">
        <v>0.49415908568449979</v>
      </c>
      <c r="AQ128">
        <v>-0.52486557418804092</v>
      </c>
    </row>
    <row r="129" spans="1:43" x14ac:dyDescent="0.3">
      <c r="A129">
        <v>943</v>
      </c>
      <c r="B129">
        <v>2024</v>
      </c>
      <c r="C129" t="s">
        <v>194</v>
      </c>
      <c r="D129">
        <v>9.5</v>
      </c>
      <c r="E129">
        <v>10.275148098554819</v>
      </c>
      <c r="F129">
        <v>-0.77514809855481737</v>
      </c>
      <c r="G129">
        <v>0.26565783078052779</v>
      </c>
      <c r="H129">
        <v>-1.3978531498940241</v>
      </c>
      <c r="I129">
        <v>-6.4578401517383963E-2</v>
      </c>
      <c r="J129">
        <v>0.1213177826406419</v>
      </c>
      <c r="K129">
        <v>0.30213081591089108</v>
      </c>
      <c r="L129">
        <v>6.4412432872126654E-2</v>
      </c>
      <c r="M129">
        <v>0.28163444382550751</v>
      </c>
      <c r="N129">
        <v>-7.5191525724751018E-2</v>
      </c>
      <c r="O129">
        <v>-1.65553699050995</v>
      </c>
      <c r="P129">
        <v>0.3110802868402246</v>
      </c>
      <c r="Q129">
        <v>-0.52486557418804092</v>
      </c>
      <c r="R129">
        <v>0.26565783078052779</v>
      </c>
      <c r="S129">
        <v>9.2051621882940804</v>
      </c>
      <c r="T129">
        <v>0.1086075550332026</v>
      </c>
      <c r="U129">
        <v>9.0965546332608778</v>
      </c>
      <c r="V129">
        <v>-1.3978531498940241</v>
      </c>
      <c r="W129">
        <v>4.6722959822409997</v>
      </c>
      <c r="X129">
        <v>0.1099156368821657</v>
      </c>
      <c r="Y129">
        <v>4.5623803453588341</v>
      </c>
      <c r="Z129">
        <v>-6.4578401517383963E-2</v>
      </c>
      <c r="AA129">
        <v>-0.1213177826406419</v>
      </c>
      <c r="AB129">
        <v>-0.36105429762281449</v>
      </c>
      <c r="AC129">
        <v>-0.24320733419896781</v>
      </c>
      <c r="AD129">
        <v>0.27496641411383471</v>
      </c>
      <c r="AE129">
        <v>0.35838113285508921</v>
      </c>
      <c r="AF129">
        <v>6.590090661821256E-2</v>
      </c>
      <c r="AG129">
        <v>-0.17844472632695141</v>
      </c>
      <c r="AH129">
        <v>6.9585951266370988E-2</v>
      </c>
      <c r="AI129">
        <v>-0.20391508129379621</v>
      </c>
      <c r="AJ129">
        <v>-0.36943967479706941</v>
      </c>
      <c r="AK129">
        <v>0.9292267548086397</v>
      </c>
      <c r="AL129">
        <v>0.28511625146495212</v>
      </c>
      <c r="AM129">
        <v>7.5191525724751018E-2</v>
      </c>
      <c r="AN129">
        <v>-1.65553699050995</v>
      </c>
      <c r="AO129">
        <v>0.46136617905755611</v>
      </c>
      <c r="AP129">
        <v>0.16079439462289311</v>
      </c>
      <c r="AQ129">
        <v>-0.52486557418804092</v>
      </c>
    </row>
    <row r="130" spans="1:43" x14ac:dyDescent="0.3">
      <c r="A130">
        <v>944</v>
      </c>
      <c r="B130">
        <v>2024</v>
      </c>
      <c r="C130" t="s">
        <v>195</v>
      </c>
      <c r="D130">
        <v>13.66666666666667</v>
      </c>
      <c r="E130">
        <v>13.48373094048948</v>
      </c>
      <c r="F130">
        <v>0.18293572617719001</v>
      </c>
      <c r="G130">
        <v>0.69394468177282487</v>
      </c>
      <c r="H130">
        <v>0.32171388018704328</v>
      </c>
      <c r="I130">
        <v>-0.32666878262970039</v>
      </c>
      <c r="J130">
        <v>-0.26680662242915493</v>
      </c>
      <c r="K130">
        <v>0.30213081591089108</v>
      </c>
      <c r="L130">
        <v>9.370813935347988E-2</v>
      </c>
      <c r="M130">
        <v>7.7671989289750817E-2</v>
      </c>
      <c r="N130">
        <v>-0.42794461252285487</v>
      </c>
      <c r="O130">
        <v>7.0047265797037489E-2</v>
      </c>
      <c r="P130">
        <v>0.18609455120053589</v>
      </c>
      <c r="Q130">
        <v>-0.52486557418804092</v>
      </c>
      <c r="R130">
        <v>0.69394468177282487</v>
      </c>
      <c r="S130">
        <v>9.2051621882940804</v>
      </c>
      <c r="T130">
        <v>0.1086075550332026</v>
      </c>
      <c r="U130">
        <v>9.0965546332608778</v>
      </c>
      <c r="V130">
        <v>0.32171388018704328</v>
      </c>
      <c r="W130">
        <v>4.6722959822409997</v>
      </c>
      <c r="X130">
        <v>0.1099156368821657</v>
      </c>
      <c r="Y130">
        <v>4.5623803453588341</v>
      </c>
      <c r="Z130">
        <v>-0.32666878262970039</v>
      </c>
      <c r="AA130">
        <v>0.26680662242915493</v>
      </c>
      <c r="AB130">
        <v>-0.36105429762281449</v>
      </c>
      <c r="AC130">
        <v>-0.24320733419896781</v>
      </c>
      <c r="AD130">
        <v>-0.18188673903095359</v>
      </c>
      <c r="AE130">
        <v>0.48409788578862689</v>
      </c>
      <c r="AF130">
        <v>0.21998665333952069</v>
      </c>
      <c r="AG130">
        <v>6.1736808884570608E-2</v>
      </c>
      <c r="AH130">
        <v>8.1393021491037915E-2</v>
      </c>
      <c r="AI130">
        <v>-0.1030787943519232</v>
      </c>
      <c r="AJ130">
        <v>-0.58575817252999374</v>
      </c>
      <c r="AK130">
        <v>1.03540542328622</v>
      </c>
      <c r="AL130">
        <v>-0.21663128288697359</v>
      </c>
      <c r="AM130">
        <v>0.42794461252285487</v>
      </c>
      <c r="AN130">
        <v>7.0047265797037489E-2</v>
      </c>
      <c r="AO130">
        <v>0.35430837501505469</v>
      </c>
      <c r="AP130">
        <v>1.7880727386017151E-2</v>
      </c>
      <c r="AQ130">
        <v>-0.52486557418804092</v>
      </c>
    </row>
    <row r="131" spans="1:43" x14ac:dyDescent="0.3">
      <c r="A131">
        <v>946</v>
      </c>
      <c r="B131">
        <v>2024</v>
      </c>
      <c r="C131" t="s">
        <v>196</v>
      </c>
      <c r="D131">
        <v>17</v>
      </c>
      <c r="E131">
        <v>17.941120154545992</v>
      </c>
      <c r="F131">
        <v>-0.94112015454599174</v>
      </c>
      <c r="G131">
        <v>0.8713592416549707</v>
      </c>
      <c r="H131">
        <v>-0.18278931009261351</v>
      </c>
      <c r="I131">
        <v>-0.31536086846876588</v>
      </c>
      <c r="J131">
        <v>2.296545957448614E-2</v>
      </c>
      <c r="K131">
        <v>0.30213081591089108</v>
      </c>
      <c r="L131">
        <v>1.113407244433853</v>
      </c>
      <c r="M131">
        <v>0.50996597042488057</v>
      </c>
      <c r="N131">
        <v>0.5508014294406326</v>
      </c>
      <c r="O131">
        <v>0.49161911023056087</v>
      </c>
      <c r="P131">
        <v>-0.60647104828065235</v>
      </c>
      <c r="Q131">
        <v>1.9052497423687671</v>
      </c>
      <c r="R131">
        <v>0.8713592416549707</v>
      </c>
      <c r="S131">
        <v>9.2051621882940804</v>
      </c>
      <c r="T131">
        <v>0.1086075550332026</v>
      </c>
      <c r="U131">
        <v>9.0965546332608778</v>
      </c>
      <c r="V131">
        <v>-0.18278931009261351</v>
      </c>
      <c r="W131">
        <v>4.6722959822409997</v>
      </c>
      <c r="X131">
        <v>0.1099156368821657</v>
      </c>
      <c r="Y131">
        <v>4.5623803453588341</v>
      </c>
      <c r="Z131">
        <v>-0.31536086846876588</v>
      </c>
      <c r="AA131">
        <v>-2.296545957448614E-2</v>
      </c>
      <c r="AB131">
        <v>-0.36105429762281449</v>
      </c>
      <c r="AC131">
        <v>-0.24320733419896781</v>
      </c>
      <c r="AD131">
        <v>1.1824738292011581</v>
      </c>
      <c r="AE131">
        <v>1.0895173161884131</v>
      </c>
      <c r="AF131">
        <v>1.0160396396427529</v>
      </c>
      <c r="AG131">
        <v>1.1677366690945381</v>
      </c>
      <c r="AH131">
        <v>1.3554527584155169</v>
      </c>
      <c r="AI131">
        <v>0.86922325406074119</v>
      </c>
      <c r="AJ131">
        <v>0.2131567611731611</v>
      </c>
      <c r="AK131">
        <v>0.72874954859222962</v>
      </c>
      <c r="AL131">
        <v>0.58799160150925078</v>
      </c>
      <c r="AM131">
        <v>-0.5508014294406326</v>
      </c>
      <c r="AN131">
        <v>0.49161911023056087</v>
      </c>
      <c r="AO131">
        <v>-0.35441283725826572</v>
      </c>
      <c r="AP131">
        <v>-0.85852925930303892</v>
      </c>
      <c r="AQ131">
        <v>1.9052497423687671</v>
      </c>
    </row>
    <row r="132" spans="1:43" x14ac:dyDescent="0.3">
      <c r="A132">
        <v>948</v>
      </c>
      <c r="B132">
        <v>2024</v>
      </c>
      <c r="C132" t="s">
        <v>197</v>
      </c>
      <c r="D132">
        <v>8.6666666666666661</v>
      </c>
      <c r="E132">
        <v>10.715166122176351</v>
      </c>
      <c r="F132">
        <v>-2.0484994555096878</v>
      </c>
      <c r="G132">
        <v>-0.25263401961269849</v>
      </c>
      <c r="H132">
        <v>-0.846371129310586</v>
      </c>
      <c r="I132">
        <v>0.54478282606625816</v>
      </c>
      <c r="J132">
        <v>-0.67200674605262944</v>
      </c>
      <c r="K132">
        <v>0.30213081591089108</v>
      </c>
      <c r="L132">
        <v>-0.27035592298016498</v>
      </c>
      <c r="M132">
        <v>0.59374122049951261</v>
      </c>
      <c r="N132">
        <v>0.38874671137389699</v>
      </c>
      <c r="O132">
        <v>-0.94770180357997413</v>
      </c>
      <c r="P132">
        <v>0.37801765918602659</v>
      </c>
      <c r="Q132">
        <v>-0.52486557418804092</v>
      </c>
      <c r="R132">
        <v>-0.25263401961269849</v>
      </c>
      <c r="S132">
        <v>9.2051621882940804</v>
      </c>
      <c r="T132">
        <v>0.1086075550332026</v>
      </c>
      <c r="U132">
        <v>9.0965546332608778</v>
      </c>
      <c r="V132">
        <v>-0.846371129310586</v>
      </c>
      <c r="W132">
        <v>4.6722959822409997</v>
      </c>
      <c r="X132">
        <v>0.1099156368821657</v>
      </c>
      <c r="Y132">
        <v>4.5623803453588341</v>
      </c>
      <c r="Z132">
        <v>0.54478282606625816</v>
      </c>
      <c r="AA132">
        <v>0.67200674605262944</v>
      </c>
      <c r="AB132">
        <v>-0.36105429762281449</v>
      </c>
      <c r="AC132">
        <v>-0.24320733419896781</v>
      </c>
      <c r="AD132">
        <v>-1.3154906420412629E-2</v>
      </c>
      <c r="AE132">
        <v>0.46490819027848429</v>
      </c>
      <c r="AF132">
        <v>-0.79402211405001455</v>
      </c>
      <c r="AG132">
        <v>-0.40745927585987318</v>
      </c>
      <c r="AH132">
        <v>-0.23349021187393529</v>
      </c>
      <c r="AI132">
        <v>-0.63891721995523854</v>
      </c>
      <c r="AJ132">
        <v>0.56697984614665053</v>
      </c>
      <c r="AK132">
        <v>0.78303514599568569</v>
      </c>
      <c r="AL132">
        <v>0.43120866935620178</v>
      </c>
      <c r="AM132">
        <v>-0.38874671137389699</v>
      </c>
      <c r="AN132">
        <v>-0.94770180357997413</v>
      </c>
      <c r="AO132">
        <v>0.47834484524183318</v>
      </c>
      <c r="AP132">
        <v>0.27769047313021988</v>
      </c>
      <c r="AQ132">
        <v>-0.52486557418804092</v>
      </c>
    </row>
    <row r="133" spans="1:43" x14ac:dyDescent="0.3">
      <c r="A133">
        <v>960</v>
      </c>
      <c r="B133">
        <v>2024</v>
      </c>
      <c r="C133" t="s">
        <v>198</v>
      </c>
      <c r="D133">
        <v>16</v>
      </c>
      <c r="E133">
        <v>15.16068300762173</v>
      </c>
      <c r="F133">
        <v>0.83931699237826685</v>
      </c>
      <c r="G133">
        <v>0.71818892821559011</v>
      </c>
      <c r="H133">
        <v>-0.13690876582983119</v>
      </c>
      <c r="I133">
        <v>8.8138907781018898E-3</v>
      </c>
      <c r="J133">
        <v>0.19433317359586549</v>
      </c>
      <c r="K133">
        <v>0.30213081591089108</v>
      </c>
      <c r="L133">
        <v>0.32759175060593598</v>
      </c>
      <c r="M133">
        <v>0.70940758567909101</v>
      </c>
      <c r="N133">
        <v>1.354544830321971E-2</v>
      </c>
      <c r="O133">
        <v>0.25771281325620338</v>
      </c>
      <c r="P133">
        <v>-1.161922801511359</v>
      </c>
      <c r="Q133">
        <v>1.9052497423687671</v>
      </c>
      <c r="R133">
        <v>0.71818892821559011</v>
      </c>
      <c r="S133">
        <v>9.2051621882940804</v>
      </c>
      <c r="T133">
        <v>0.1086075550332026</v>
      </c>
      <c r="U133">
        <v>9.0965546332608778</v>
      </c>
      <c r="V133">
        <v>-0.13690876582983119</v>
      </c>
      <c r="W133">
        <v>4.6722959822409997</v>
      </c>
      <c r="X133">
        <v>0.1099156368821657</v>
      </c>
      <c r="Y133">
        <v>4.5623803453588341</v>
      </c>
      <c r="Z133">
        <v>8.8138907781018898E-3</v>
      </c>
      <c r="AA133">
        <v>-0.19433317359586549</v>
      </c>
      <c r="AB133">
        <v>-0.36105429762281449</v>
      </c>
      <c r="AC133">
        <v>-0.24320733419896781</v>
      </c>
      <c r="AD133">
        <v>0.55616649421578246</v>
      </c>
      <c r="AE133">
        <v>0.65867874893602052</v>
      </c>
      <c r="AF133">
        <v>0.4565037741828481</v>
      </c>
      <c r="AG133">
        <v>4.8866999753338818E-3</v>
      </c>
      <c r="AH133">
        <v>0.28097810666922002</v>
      </c>
      <c r="AI133">
        <v>8.336679656410691E-3</v>
      </c>
      <c r="AJ133">
        <v>0.2048618790195933</v>
      </c>
      <c r="AK133">
        <v>1.3729166375377979</v>
      </c>
      <c r="AL133">
        <v>0.55044424047988205</v>
      </c>
      <c r="AM133">
        <v>-1.354544830321971E-2</v>
      </c>
      <c r="AN133">
        <v>0.25771281325620338</v>
      </c>
      <c r="AO133">
        <v>-1.0179173116236639</v>
      </c>
      <c r="AP133">
        <v>-1.305928291399054</v>
      </c>
      <c r="AQ133">
        <v>1.9052497423687671</v>
      </c>
    </row>
    <row r="134" spans="1:43" x14ac:dyDescent="0.3">
      <c r="A134">
        <v>961</v>
      </c>
      <c r="B134">
        <v>2024</v>
      </c>
      <c r="C134" t="s">
        <v>199</v>
      </c>
      <c r="D134">
        <v>17.333333333333329</v>
      </c>
      <c r="E134">
        <v>15.87277634445261</v>
      </c>
      <c r="F134">
        <v>1.4605569888807151</v>
      </c>
      <c r="G134">
        <v>0.99030704078864562</v>
      </c>
      <c r="H134">
        <v>-0.26164167716292902</v>
      </c>
      <c r="I134">
        <v>-0.34513692042921901</v>
      </c>
      <c r="J134">
        <v>0.30056512991639978</v>
      </c>
      <c r="K134">
        <v>0.30213081591089108</v>
      </c>
      <c r="L134">
        <v>0.7979272403522919</v>
      </c>
      <c r="M134">
        <v>0.63603087513607071</v>
      </c>
      <c r="N134">
        <v>-0.23732959098061721</v>
      </c>
      <c r="O134">
        <v>0.63251374298154772</v>
      </c>
      <c r="P134">
        <v>-2.4669924639061178</v>
      </c>
      <c r="Q134">
        <v>1.9052497423687671</v>
      </c>
      <c r="R134">
        <v>0.99030704078864562</v>
      </c>
      <c r="S134">
        <v>9.2051621882940804</v>
      </c>
      <c r="T134">
        <v>0.1086075550332026</v>
      </c>
      <c r="U134">
        <v>9.0965546332608778</v>
      </c>
      <c r="V134">
        <v>-0.26164167716292902</v>
      </c>
      <c r="W134">
        <v>4.6722959822409997</v>
      </c>
      <c r="X134">
        <v>0.1099156368821657</v>
      </c>
      <c r="Y134">
        <v>4.5623803453588341</v>
      </c>
      <c r="Z134">
        <v>-0.34513692042921901</v>
      </c>
      <c r="AA134">
        <v>-0.30056512991639978</v>
      </c>
      <c r="AB134">
        <v>-0.36105429762281449</v>
      </c>
      <c r="AC134">
        <v>-0.24320733419896781</v>
      </c>
      <c r="AD134">
        <v>1.0018897951755701</v>
      </c>
      <c r="AE134">
        <v>0.82655218355306137</v>
      </c>
      <c r="AF134">
        <v>0.8884167740757708</v>
      </c>
      <c r="AG134">
        <v>0.59721446890606444</v>
      </c>
      <c r="AH134">
        <v>0.92903566876775501</v>
      </c>
      <c r="AI134">
        <v>0.54445455163552958</v>
      </c>
      <c r="AJ134">
        <v>-6.4308299867031057E-2</v>
      </c>
      <c r="AK134">
        <v>1.330676172688908</v>
      </c>
      <c r="AL134">
        <v>0.64172475258633555</v>
      </c>
      <c r="AM134">
        <v>0.23732959098061721</v>
      </c>
      <c r="AN134">
        <v>0.63251374298154772</v>
      </c>
      <c r="AO134">
        <v>-1.1528948266179071</v>
      </c>
      <c r="AP134">
        <v>-3.7810901011943301</v>
      </c>
      <c r="AQ134">
        <v>1.9052497423687671</v>
      </c>
    </row>
    <row r="135" spans="1:43" x14ac:dyDescent="0.3">
      <c r="A135">
        <v>962</v>
      </c>
      <c r="B135">
        <v>2024</v>
      </c>
      <c r="C135" t="s">
        <v>200</v>
      </c>
      <c r="D135">
        <v>11</v>
      </c>
      <c r="E135">
        <v>10.65884167752059</v>
      </c>
      <c r="F135">
        <v>0.34115832247941391</v>
      </c>
      <c r="G135">
        <v>-1.517125819243049E-2</v>
      </c>
      <c r="H135">
        <v>-1.0318296970758221</v>
      </c>
      <c r="I135">
        <v>-0.36002494640944549</v>
      </c>
      <c r="J135">
        <v>0.10676049408594231</v>
      </c>
      <c r="K135">
        <v>0.30213081591089108</v>
      </c>
      <c r="L135">
        <v>-0.19629783689792549</v>
      </c>
      <c r="M135">
        <v>-3.3536193146663222E-2</v>
      </c>
      <c r="N135">
        <v>8.9335825619532627E-2</v>
      </c>
      <c r="O135">
        <v>-0.13941970886643859</v>
      </c>
      <c r="P135">
        <v>0.45644018154799282</v>
      </c>
      <c r="Q135">
        <v>-0.52486557418804092</v>
      </c>
      <c r="R135">
        <v>-1.517125819243049E-2</v>
      </c>
      <c r="S135">
        <v>9.2051621882940804</v>
      </c>
      <c r="T135">
        <v>0.1086075550332026</v>
      </c>
      <c r="U135">
        <v>9.0965546332608778</v>
      </c>
      <c r="V135">
        <v>-1.0318296970758221</v>
      </c>
      <c r="W135">
        <v>4.6722959822409997</v>
      </c>
      <c r="X135">
        <v>0.1099156368821657</v>
      </c>
      <c r="Y135">
        <v>4.5623803453588341</v>
      </c>
      <c r="Z135">
        <v>-0.36002494640944549</v>
      </c>
      <c r="AA135">
        <v>-0.10676049408594231</v>
      </c>
      <c r="AB135">
        <v>-0.36105429762281449</v>
      </c>
      <c r="AC135">
        <v>-0.24320733419896781</v>
      </c>
      <c r="AD135">
        <v>-7.1169806515716028E-2</v>
      </c>
      <c r="AE135">
        <v>0.14653637675838951</v>
      </c>
      <c r="AF135">
        <v>-0.38793477423099021</v>
      </c>
      <c r="AG135">
        <v>-1.774442558764389E-2</v>
      </c>
      <c r="AH135">
        <v>-0.36840967771154243</v>
      </c>
      <c r="AI135">
        <v>-0.4790647141000498</v>
      </c>
      <c r="AJ135">
        <v>-0.52556389176603591</v>
      </c>
      <c r="AK135">
        <v>0.237209139276439</v>
      </c>
      <c r="AL135">
        <v>0.1877461730496072</v>
      </c>
      <c r="AM135">
        <v>-8.9335825619532627E-2</v>
      </c>
      <c r="AN135">
        <v>-0.13941970886643859</v>
      </c>
      <c r="AO135">
        <v>0.68423682935780472</v>
      </c>
      <c r="AP135">
        <v>0.2286435337381808</v>
      </c>
      <c r="AQ135">
        <v>-0.52486557418804092</v>
      </c>
    </row>
    <row r="136" spans="1:43" x14ac:dyDescent="0.3">
      <c r="A136">
        <v>963</v>
      </c>
      <c r="B136">
        <v>2024</v>
      </c>
      <c r="C136" t="s">
        <v>201</v>
      </c>
      <c r="D136">
        <v>8</v>
      </c>
      <c r="E136">
        <v>10.750570918006421</v>
      </c>
      <c r="F136">
        <v>-2.7505709180064208</v>
      </c>
      <c r="G136">
        <v>-6.6530732402017734E-2</v>
      </c>
      <c r="H136">
        <v>-0.73218526723733102</v>
      </c>
      <c r="I136">
        <v>-0.19481588391918969</v>
      </c>
      <c r="J136">
        <v>0.27677359803211371</v>
      </c>
      <c r="K136">
        <v>0.30213081591089108</v>
      </c>
      <c r="L136">
        <v>-0.69455986396594771</v>
      </c>
      <c r="M136">
        <v>0.60618344987967088</v>
      </c>
      <c r="N136">
        <v>0.79245271312732279</v>
      </c>
      <c r="O136">
        <v>-0.28137467200340022</v>
      </c>
      <c r="P136">
        <v>0.59316231645579753</v>
      </c>
      <c r="Q136">
        <v>-0.52486557418804092</v>
      </c>
      <c r="R136">
        <v>-6.6530732402017734E-2</v>
      </c>
      <c r="S136">
        <v>9.2051621882940804</v>
      </c>
      <c r="T136">
        <v>0.1086075550332026</v>
      </c>
      <c r="U136">
        <v>9.0965546332608778</v>
      </c>
      <c r="V136">
        <v>-0.73218526723733102</v>
      </c>
      <c r="W136">
        <v>4.6722959822409997</v>
      </c>
      <c r="X136">
        <v>0.1099156368821657</v>
      </c>
      <c r="Y136">
        <v>4.5623803453588341</v>
      </c>
      <c r="Z136">
        <v>-0.19481588391918969</v>
      </c>
      <c r="AA136">
        <v>-0.27677359803211371</v>
      </c>
      <c r="AB136">
        <v>-0.36105429762281449</v>
      </c>
      <c r="AC136">
        <v>-0.24320733419896781</v>
      </c>
      <c r="AD136">
        <v>-0.58291495417213413</v>
      </c>
      <c r="AE136">
        <v>-0.64390290898484448</v>
      </c>
      <c r="AF136">
        <v>-1.074054607317823</v>
      </c>
      <c r="AG136">
        <v>-0.73016527460822722</v>
      </c>
      <c r="AH136">
        <v>-0.46995932104620158</v>
      </c>
      <c r="AI136">
        <v>-0.66636211766645614</v>
      </c>
      <c r="AJ136">
        <v>0.28761022001983849</v>
      </c>
      <c r="AK136">
        <v>0.99308245752942226</v>
      </c>
      <c r="AL136">
        <v>0.53785767208975166</v>
      </c>
      <c r="AM136">
        <v>-0.79245271312732279</v>
      </c>
      <c r="AN136">
        <v>-0.28137467200340022</v>
      </c>
      <c r="AO136">
        <v>0.74150556028204839</v>
      </c>
      <c r="AP136">
        <v>0.44481907262954667</v>
      </c>
      <c r="AQ136">
        <v>-0.52486557418804092</v>
      </c>
    </row>
    <row r="137" spans="1:43" x14ac:dyDescent="0.3">
      <c r="A137">
        <v>964</v>
      </c>
      <c r="B137">
        <v>2024</v>
      </c>
      <c r="C137" t="s">
        <v>202</v>
      </c>
      <c r="D137">
        <v>16.333333333333329</v>
      </c>
      <c r="E137">
        <v>16.708878843132759</v>
      </c>
      <c r="F137">
        <v>-0.37554550979943357</v>
      </c>
      <c r="G137">
        <v>0.7476746550934531</v>
      </c>
      <c r="H137">
        <v>1.0581692931333531</v>
      </c>
      <c r="I137">
        <v>-4.7289081024217618E-2</v>
      </c>
      <c r="J137">
        <v>-0.1440331599789684</v>
      </c>
      <c r="K137">
        <v>0.30213081591089108</v>
      </c>
      <c r="L137">
        <v>0.54553041120900636</v>
      </c>
      <c r="M137">
        <v>0.30558007045675922</v>
      </c>
      <c r="N137">
        <v>7.7361612781068276E-2</v>
      </c>
      <c r="O137">
        <v>0.18716205001378561</v>
      </c>
      <c r="P137">
        <v>0.36670569437810457</v>
      </c>
      <c r="Q137">
        <v>-0.52486557418804092</v>
      </c>
      <c r="R137">
        <v>0.7476746550934531</v>
      </c>
      <c r="S137">
        <v>9.2051621882940804</v>
      </c>
      <c r="T137">
        <v>0.1086075550332026</v>
      </c>
      <c r="U137">
        <v>9.0965546332608778</v>
      </c>
      <c r="V137">
        <v>1.0581692931333531</v>
      </c>
      <c r="W137">
        <v>4.6722959822409997</v>
      </c>
      <c r="X137">
        <v>0.1099156368821657</v>
      </c>
      <c r="Y137">
        <v>4.5623803453588341</v>
      </c>
      <c r="Z137">
        <v>-4.7289081024217618E-2</v>
      </c>
      <c r="AA137">
        <v>0.1440331599789684</v>
      </c>
      <c r="AB137">
        <v>-0.36105429762281449</v>
      </c>
      <c r="AC137">
        <v>-0.24320733419896781</v>
      </c>
      <c r="AD137">
        <v>0.66910612368208322</v>
      </c>
      <c r="AE137">
        <v>0.55909738176687651</v>
      </c>
      <c r="AF137">
        <v>0.41512991974651797</v>
      </c>
      <c r="AG137">
        <v>0.46733611238237532</v>
      </c>
      <c r="AH137">
        <v>0.49595560997376192</v>
      </c>
      <c r="AI137">
        <v>0.66655731970242349</v>
      </c>
      <c r="AJ137">
        <v>-0.45090995238392462</v>
      </c>
      <c r="AK137">
        <v>1.1072637140740771</v>
      </c>
      <c r="AL137">
        <v>0.26038644968012498</v>
      </c>
      <c r="AM137">
        <v>-7.7361612781068276E-2</v>
      </c>
      <c r="AN137">
        <v>0.18716205001378561</v>
      </c>
      <c r="AO137">
        <v>0.45412746859904712</v>
      </c>
      <c r="AP137">
        <v>0.27928392015716208</v>
      </c>
      <c r="AQ137">
        <v>-0.52486557418804092</v>
      </c>
    </row>
    <row r="138" spans="1:43" x14ac:dyDescent="0.3">
      <c r="A138">
        <v>968</v>
      </c>
      <c r="B138">
        <v>2024</v>
      </c>
      <c r="C138" t="s">
        <v>203</v>
      </c>
      <c r="D138">
        <v>13</v>
      </c>
      <c r="E138">
        <v>13.94344632584621</v>
      </c>
      <c r="F138">
        <v>-0.9434463258462138</v>
      </c>
      <c r="G138">
        <v>0.58653950779420105</v>
      </c>
      <c r="H138">
        <v>0.60367294838451968</v>
      </c>
      <c r="I138">
        <v>-0.17263665459967339</v>
      </c>
      <c r="J138">
        <v>-0.14229696960088481</v>
      </c>
      <c r="K138">
        <v>0.30213081591089108</v>
      </c>
      <c r="L138">
        <v>0.13682121744442749</v>
      </c>
      <c r="M138">
        <v>-0.26689196071382038</v>
      </c>
      <c r="N138">
        <v>1.7018247850338161E-2</v>
      </c>
      <c r="O138">
        <v>-0.66406342533172757</v>
      </c>
      <c r="P138">
        <v>0.3250466919826811</v>
      </c>
      <c r="Q138">
        <v>-0.52486557418804092</v>
      </c>
      <c r="R138">
        <v>0.58653950779420105</v>
      </c>
      <c r="S138">
        <v>9.2051621882940804</v>
      </c>
      <c r="T138">
        <v>0.1086075550332026</v>
      </c>
      <c r="U138">
        <v>9.0965546332608778</v>
      </c>
      <c r="V138">
        <v>0.60367294838451968</v>
      </c>
      <c r="W138">
        <v>4.6722959822409997</v>
      </c>
      <c r="X138">
        <v>0.1099156368821657</v>
      </c>
      <c r="Y138">
        <v>4.5623803453588341</v>
      </c>
      <c r="Z138">
        <v>-0.17263665459967339</v>
      </c>
      <c r="AA138">
        <v>0.14229696960088481</v>
      </c>
      <c r="AB138">
        <v>-0.36105429762281449</v>
      </c>
      <c r="AC138">
        <v>-0.24320733419896781</v>
      </c>
      <c r="AD138">
        <v>0.27104150447565373</v>
      </c>
      <c r="AE138">
        <v>0.15023785687309441</v>
      </c>
      <c r="AF138">
        <v>0.1246504144440575</v>
      </c>
      <c r="AG138">
        <v>0.1177116425651161</v>
      </c>
      <c r="AH138">
        <v>0.27409630841173133</v>
      </c>
      <c r="AI138">
        <v>-0.1168104221030876</v>
      </c>
      <c r="AJ138">
        <v>-1.0817470171928809</v>
      </c>
      <c r="AK138">
        <v>0.1525632077628436</v>
      </c>
      <c r="AL138">
        <v>0.12850792728857591</v>
      </c>
      <c r="AM138">
        <v>-1.7018247850338161E-2</v>
      </c>
      <c r="AN138">
        <v>-0.66406342533172757</v>
      </c>
      <c r="AO138">
        <v>0.32727159863930178</v>
      </c>
      <c r="AP138">
        <v>0.32282178532606048</v>
      </c>
      <c r="AQ138">
        <v>-0.52486557418804092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Q139"/>
  <sheetViews>
    <sheetView workbookViewId="0">
      <selection activeCell="E1" sqref="E1"/>
    </sheetView>
  </sheetViews>
  <sheetFormatPr defaultRowHeight="14.4" x14ac:dyDescent="0.3"/>
  <sheetData>
    <row r="1" spans="1:43" x14ac:dyDescent="0.3">
      <c r="A1" t="s">
        <v>210</v>
      </c>
      <c r="B1" t="s">
        <v>211</v>
      </c>
      <c r="C1" t="s">
        <v>0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  <c r="AE1" t="s">
        <v>239</v>
      </c>
      <c r="AF1" t="s">
        <v>240</v>
      </c>
      <c r="AG1" t="s">
        <v>241</v>
      </c>
      <c r="AH1" t="s">
        <v>242</v>
      </c>
      <c r="AI1" t="s">
        <v>243</v>
      </c>
      <c r="AJ1" t="s">
        <v>244</v>
      </c>
      <c r="AK1" t="s">
        <v>245</v>
      </c>
      <c r="AL1" t="s">
        <v>246</v>
      </c>
      <c r="AM1" t="s">
        <v>247</v>
      </c>
      <c r="AN1" t="s">
        <v>248</v>
      </c>
      <c r="AO1" t="s">
        <v>249</v>
      </c>
      <c r="AP1" t="s">
        <v>250</v>
      </c>
      <c r="AQ1" t="s">
        <v>251</v>
      </c>
    </row>
    <row r="2" spans="1:43" x14ac:dyDescent="0.3">
      <c r="A2">
        <v>111</v>
      </c>
      <c r="B2">
        <v>2025</v>
      </c>
      <c r="C2" t="s">
        <v>10</v>
      </c>
      <c r="D2">
        <v>21</v>
      </c>
      <c r="E2">
        <v>18.856549391747318</v>
      </c>
      <c r="F2">
        <v>2.1434506082526821</v>
      </c>
      <c r="G2">
        <v>1.7165950624219799</v>
      </c>
      <c r="H2">
        <v>2.8756599867515158</v>
      </c>
      <c r="I2">
        <v>-0.42158540574117398</v>
      </c>
      <c r="J2">
        <v>0.25658800001000043</v>
      </c>
      <c r="K2">
        <v>0.30213081591089108</v>
      </c>
      <c r="L2">
        <v>0.90987171206692075</v>
      </c>
      <c r="M2">
        <v>-0.59856299004348079</v>
      </c>
      <c r="N2">
        <v>-1.86143291838422</v>
      </c>
      <c r="O2">
        <v>-0.26667228604177462</v>
      </c>
      <c r="P2">
        <v>-2.4129084700399108</v>
      </c>
      <c r="Q2">
        <v>1.9052497423687671</v>
      </c>
      <c r="R2">
        <v>1.7165950624219799</v>
      </c>
      <c r="S2">
        <v>9.2569804564363469</v>
      </c>
      <c r="T2">
        <v>0.15551986573479051</v>
      </c>
      <c r="U2">
        <v>9.1014605907015564</v>
      </c>
      <c r="V2">
        <v>2.8756599867515158</v>
      </c>
      <c r="W2">
        <v>4.6758098629890217</v>
      </c>
      <c r="X2">
        <v>8.4774446653113067E-2</v>
      </c>
      <c r="Y2">
        <v>4.5910354163359086</v>
      </c>
      <c r="Z2">
        <v>-0.42158540574117398</v>
      </c>
      <c r="AA2">
        <v>-0.25658800001000043</v>
      </c>
      <c r="AB2">
        <v>-0.36105429762281449</v>
      </c>
      <c r="AC2">
        <v>-0.24320733419896781</v>
      </c>
      <c r="AD2">
        <v>0.82446263453161928</v>
      </c>
      <c r="AE2">
        <v>5.8924097794714652E-3</v>
      </c>
      <c r="AF2">
        <v>1.0970560927526209</v>
      </c>
      <c r="AG2">
        <v>1.264017256941371</v>
      </c>
      <c r="AH2">
        <v>1.257669702556939</v>
      </c>
      <c r="AI2">
        <v>1.010132175839501</v>
      </c>
      <c r="AJ2">
        <v>-1.47859823708382</v>
      </c>
      <c r="AK2">
        <v>8.3757450567581923E-2</v>
      </c>
      <c r="AL2">
        <v>-0.40084818361420421</v>
      </c>
      <c r="AM2">
        <v>1.86143291838422</v>
      </c>
      <c r="AN2">
        <v>-0.26667228604177462</v>
      </c>
      <c r="AO2">
        <v>-2.73225188696704</v>
      </c>
      <c r="AP2">
        <v>-2.0935650531127821</v>
      </c>
      <c r="AQ2">
        <v>1.9052497423687671</v>
      </c>
    </row>
    <row r="3" spans="1:43" x14ac:dyDescent="0.3">
      <c r="A3">
        <v>112</v>
      </c>
      <c r="B3">
        <v>2025</v>
      </c>
      <c r="C3" t="s">
        <v>15</v>
      </c>
      <c r="D3">
        <v>19.333333333333329</v>
      </c>
      <c r="E3">
        <v>19.33286027083431</v>
      </c>
      <c r="F3">
        <v>4.7306249902234748E-4</v>
      </c>
      <c r="G3">
        <v>1.367696449300476</v>
      </c>
      <c r="H3">
        <v>1.807989546824148</v>
      </c>
      <c r="I3">
        <v>-0.8962558410990128</v>
      </c>
      <c r="J3">
        <v>0.23216686062596961</v>
      </c>
      <c r="K3">
        <v>0.30213081591089108</v>
      </c>
      <c r="L3">
        <v>1.1678865398034659</v>
      </c>
      <c r="M3">
        <v>8.1403644466085515E-2</v>
      </c>
      <c r="N3">
        <v>-1.258860523364604</v>
      </c>
      <c r="O3">
        <v>-0.12581644586588439</v>
      </c>
      <c r="P3">
        <v>-0.60202004005337773</v>
      </c>
      <c r="Q3">
        <v>1.9052497423687671</v>
      </c>
      <c r="R3">
        <v>1.367696449300476</v>
      </c>
      <c r="S3">
        <v>9.2569804564363469</v>
      </c>
      <c r="T3">
        <v>0.15551986573479051</v>
      </c>
      <c r="U3">
        <v>9.1014605907015564</v>
      </c>
      <c r="V3">
        <v>1.807989546824148</v>
      </c>
      <c r="W3">
        <v>4.6758098629890217</v>
      </c>
      <c r="X3">
        <v>8.4774446653113067E-2</v>
      </c>
      <c r="Y3">
        <v>4.5910354163359086</v>
      </c>
      <c r="Z3">
        <v>-0.8962558410990128</v>
      </c>
      <c r="AA3">
        <v>-0.23216686062596961</v>
      </c>
      <c r="AB3">
        <v>-0.36105429762281449</v>
      </c>
      <c r="AC3">
        <v>-0.24320733419896781</v>
      </c>
      <c r="AD3">
        <v>1.2527490197120781</v>
      </c>
      <c r="AE3">
        <v>0.58652216471911089</v>
      </c>
      <c r="AF3">
        <v>1.034259225876478</v>
      </c>
      <c r="AG3">
        <v>1.426237343097488</v>
      </c>
      <c r="AH3">
        <v>1.333625163269393</v>
      </c>
      <c r="AI3">
        <v>1.3739263221462461</v>
      </c>
      <c r="AJ3">
        <v>-0.70990574409729057</v>
      </c>
      <c r="AK3">
        <v>0.82082056181754393</v>
      </c>
      <c r="AL3">
        <v>0.1332961156780032</v>
      </c>
      <c r="AM3">
        <v>1.258860523364604</v>
      </c>
      <c r="AN3">
        <v>-0.12581644586588439</v>
      </c>
      <c r="AO3">
        <v>-0.71388399518843737</v>
      </c>
      <c r="AP3">
        <v>-0.49015608491831808</v>
      </c>
      <c r="AQ3">
        <v>1.9052497423687671</v>
      </c>
    </row>
    <row r="4" spans="1:43" x14ac:dyDescent="0.3">
      <c r="A4">
        <v>122</v>
      </c>
      <c r="B4">
        <v>2025</v>
      </c>
      <c r="C4" t="s">
        <v>18</v>
      </c>
      <c r="D4">
        <v>20.666666666666671</v>
      </c>
      <c r="E4">
        <v>18.75096374320449</v>
      </c>
      <c r="F4">
        <v>1.915702923462185</v>
      </c>
      <c r="G4">
        <v>1.432490476724144</v>
      </c>
      <c r="H4">
        <v>0.79318469282908943</v>
      </c>
      <c r="I4">
        <v>-1.110102032451358</v>
      </c>
      <c r="J4">
        <v>0.21703720161695669</v>
      </c>
      <c r="K4">
        <v>0.30213081591089108</v>
      </c>
      <c r="L4">
        <v>1.2393601875000799</v>
      </c>
      <c r="M4">
        <v>0.64367348046136208</v>
      </c>
      <c r="N4">
        <v>-0.66609531426604984</v>
      </c>
      <c r="O4">
        <v>0.44703351058615909</v>
      </c>
      <c r="P4">
        <v>-1.5350174798135241</v>
      </c>
      <c r="Q4">
        <v>1.9052497423687671</v>
      </c>
      <c r="R4">
        <v>1.432490476724144</v>
      </c>
      <c r="S4">
        <v>9.2569804564363469</v>
      </c>
      <c r="T4">
        <v>0.15551986573479051</v>
      </c>
      <c r="U4">
        <v>9.1014605907015564</v>
      </c>
      <c r="V4">
        <v>0.79318469282908943</v>
      </c>
      <c r="W4">
        <v>4.6758098629890217</v>
      </c>
      <c r="X4">
        <v>8.4774446653113067E-2</v>
      </c>
      <c r="Y4">
        <v>4.5910354163359086</v>
      </c>
      <c r="Z4">
        <v>-1.110102032451358</v>
      </c>
      <c r="AA4">
        <v>-0.21703720161695669</v>
      </c>
      <c r="AB4">
        <v>-0.36105429762281449</v>
      </c>
      <c r="AC4">
        <v>-0.24320733419896781</v>
      </c>
      <c r="AD4">
        <v>1.4195834063934309</v>
      </c>
      <c r="AE4">
        <v>0.8413153850151599</v>
      </c>
      <c r="AF4">
        <v>1.219696946611128</v>
      </c>
      <c r="AG4">
        <v>1.227261802019781</v>
      </c>
      <c r="AH4">
        <v>1.7077709230110141</v>
      </c>
      <c r="AI4">
        <v>1.0205326619499651</v>
      </c>
      <c r="AJ4">
        <v>-0.46005687681308571</v>
      </c>
      <c r="AK4">
        <v>1.853896930641366</v>
      </c>
      <c r="AL4">
        <v>0.53718038755580633</v>
      </c>
      <c r="AM4">
        <v>0.66609531426604984</v>
      </c>
      <c r="AN4">
        <v>0.44703351058615909</v>
      </c>
      <c r="AO4">
        <v>-1.4373216763132259</v>
      </c>
      <c r="AP4">
        <v>-1.6327132833138229</v>
      </c>
      <c r="AQ4">
        <v>1.9052497423687671</v>
      </c>
    </row>
    <row r="5" spans="1:43" x14ac:dyDescent="0.3">
      <c r="A5">
        <v>124</v>
      </c>
      <c r="B5">
        <v>2025</v>
      </c>
      <c r="C5" t="s">
        <v>20</v>
      </c>
      <c r="D5">
        <v>19</v>
      </c>
      <c r="E5">
        <v>17.424721331284228</v>
      </c>
      <c r="F5">
        <v>1.575278668715772</v>
      </c>
      <c r="G5">
        <v>1.4165765268111901</v>
      </c>
      <c r="H5">
        <v>0.91617923755310449</v>
      </c>
      <c r="I5">
        <v>-0.80622912681388914</v>
      </c>
      <c r="J5">
        <v>0.310428980745731</v>
      </c>
      <c r="K5">
        <v>0.30213081591089108</v>
      </c>
      <c r="L5">
        <v>1.021882541251298</v>
      </c>
      <c r="M5">
        <v>0.44382668606411718</v>
      </c>
      <c r="N5">
        <v>-1.3739074267615441</v>
      </c>
      <c r="O5">
        <v>0.1488349858183079</v>
      </c>
      <c r="P5">
        <v>-1.6631219866182561</v>
      </c>
      <c r="Q5">
        <v>1.9052497423687671</v>
      </c>
      <c r="R5">
        <v>1.4165765268111901</v>
      </c>
      <c r="S5">
        <v>9.2569804564363469</v>
      </c>
      <c r="T5">
        <v>0.15551986573479051</v>
      </c>
      <c r="U5">
        <v>9.1014605907015564</v>
      </c>
      <c r="V5">
        <v>0.91617923755310449</v>
      </c>
      <c r="W5">
        <v>4.6758098629890217</v>
      </c>
      <c r="X5">
        <v>8.4774446653113067E-2</v>
      </c>
      <c r="Y5">
        <v>4.5910354163359086</v>
      </c>
      <c r="Z5">
        <v>-0.80622912681388914</v>
      </c>
      <c r="AA5">
        <v>-0.310428980745731</v>
      </c>
      <c r="AB5">
        <v>-0.36105429762281449</v>
      </c>
      <c r="AC5">
        <v>-0.24320733419896781</v>
      </c>
      <c r="AD5">
        <v>1.324227648529702</v>
      </c>
      <c r="AE5">
        <v>0.45367636911826981</v>
      </c>
      <c r="AF5">
        <v>0.89521734222858229</v>
      </c>
      <c r="AG5">
        <v>1.0079022759922029</v>
      </c>
      <c r="AH5">
        <v>1.2229595785274801</v>
      </c>
      <c r="AI5">
        <v>1.2273120331115479</v>
      </c>
      <c r="AJ5">
        <v>-0.75626686791632569</v>
      </c>
      <c r="AK5">
        <v>1.676024973191744</v>
      </c>
      <c r="AL5">
        <v>0.41172195291693292</v>
      </c>
      <c r="AM5">
        <v>1.3739074267615441</v>
      </c>
      <c r="AN5">
        <v>0.1488349858183079</v>
      </c>
      <c r="AO5">
        <v>-1.4609951719831951</v>
      </c>
      <c r="AP5">
        <v>-1.865248801253317</v>
      </c>
      <c r="AQ5">
        <v>1.9052497423687671</v>
      </c>
    </row>
    <row r="6" spans="1:43" x14ac:dyDescent="0.3">
      <c r="A6">
        <v>128</v>
      </c>
      <c r="B6">
        <v>2025</v>
      </c>
      <c r="C6" t="s">
        <v>23</v>
      </c>
      <c r="D6">
        <v>22</v>
      </c>
      <c r="E6">
        <v>23.32583687921252</v>
      </c>
      <c r="F6">
        <v>-1.3258368792125199</v>
      </c>
      <c r="G6">
        <v>1.5970640711805191</v>
      </c>
      <c r="H6">
        <v>0.68409035925290007</v>
      </c>
      <c r="I6">
        <v>-0.61622124099000086</v>
      </c>
      <c r="J6">
        <v>0.3988220579068365</v>
      </c>
      <c r="K6">
        <v>0.30213081591089108</v>
      </c>
      <c r="L6">
        <v>1.7698904223026399</v>
      </c>
      <c r="M6">
        <v>1.252840398705636</v>
      </c>
      <c r="N6">
        <v>0.7895911263004971</v>
      </c>
      <c r="O6">
        <v>1.594349780785939</v>
      </c>
      <c r="P6">
        <v>0.61700818353654441</v>
      </c>
      <c r="Q6">
        <v>1.9052497423687671</v>
      </c>
      <c r="R6">
        <v>1.5970640711805191</v>
      </c>
      <c r="S6">
        <v>9.2569804564363469</v>
      </c>
      <c r="T6">
        <v>0.15551986573479051</v>
      </c>
      <c r="U6">
        <v>9.1014605907015564</v>
      </c>
      <c r="V6">
        <v>0.68409035925290007</v>
      </c>
      <c r="W6">
        <v>4.6758098629890217</v>
      </c>
      <c r="X6">
        <v>8.4774446653113067E-2</v>
      </c>
      <c r="Y6">
        <v>4.5910354163359086</v>
      </c>
      <c r="Z6">
        <v>-0.61622124099000086</v>
      </c>
      <c r="AA6">
        <v>-0.3988220579068365</v>
      </c>
      <c r="AB6">
        <v>-0.36105429762281449</v>
      </c>
      <c r="AC6">
        <v>-0.24320733419896781</v>
      </c>
      <c r="AD6">
        <v>1.7021874146994209</v>
      </c>
      <c r="AE6">
        <v>0.98824427243919188</v>
      </c>
      <c r="AF6">
        <v>1.991487445343201</v>
      </c>
      <c r="AG6">
        <v>1.7703085149561071</v>
      </c>
      <c r="AH6">
        <v>1.8822413297468359</v>
      </c>
      <c r="AI6">
        <v>2.284873556631084</v>
      </c>
      <c r="AJ6">
        <v>1.060337383781971</v>
      </c>
      <c r="AK6">
        <v>1.7624859246793161</v>
      </c>
      <c r="AL6">
        <v>0.93569788765562267</v>
      </c>
      <c r="AM6">
        <v>-0.7895911263004971</v>
      </c>
      <c r="AN6">
        <v>1.594349780785939</v>
      </c>
      <c r="AO6">
        <v>0.65691050275236607</v>
      </c>
      <c r="AP6">
        <v>0.57710586432072264</v>
      </c>
      <c r="AQ6">
        <v>1.9052497423687671</v>
      </c>
    </row>
    <row r="7" spans="1:43" x14ac:dyDescent="0.3">
      <c r="A7">
        <v>132</v>
      </c>
      <c r="B7">
        <v>2025</v>
      </c>
      <c r="C7" t="s">
        <v>26</v>
      </c>
      <c r="D7">
        <v>18.666666666666671</v>
      </c>
      <c r="E7">
        <v>18.393059112438841</v>
      </c>
      <c r="F7">
        <v>0.27360755422783362</v>
      </c>
      <c r="G7">
        <v>1.256818793854017</v>
      </c>
      <c r="H7">
        <v>1.722635742315785</v>
      </c>
      <c r="I7">
        <v>-0.9663299809766186</v>
      </c>
      <c r="J7">
        <v>0.40021482601233199</v>
      </c>
      <c r="K7">
        <v>0.30213081591089108</v>
      </c>
      <c r="L7">
        <v>0.94904983699918388</v>
      </c>
      <c r="M7">
        <v>0.44103246239790811</v>
      </c>
      <c r="N7">
        <v>-1.624032341343203</v>
      </c>
      <c r="O7">
        <v>0.13602050517805209</v>
      </c>
      <c r="P7">
        <v>-1.100464988814839</v>
      </c>
      <c r="Q7">
        <v>1.9052497423687671</v>
      </c>
      <c r="R7">
        <v>1.256818793854017</v>
      </c>
      <c r="S7">
        <v>9.2569804564363469</v>
      </c>
      <c r="T7">
        <v>0.15551986573479051</v>
      </c>
      <c r="U7">
        <v>9.1014605907015564</v>
      </c>
      <c r="V7">
        <v>1.722635742315785</v>
      </c>
      <c r="W7">
        <v>4.6758098629890217</v>
      </c>
      <c r="X7">
        <v>8.4774446653113067E-2</v>
      </c>
      <c r="Y7">
        <v>4.5910354163359086</v>
      </c>
      <c r="Z7">
        <v>-0.9663299809766186</v>
      </c>
      <c r="AA7">
        <v>-0.40021482601233199</v>
      </c>
      <c r="AB7">
        <v>-0.36105429762281449</v>
      </c>
      <c r="AC7">
        <v>-0.24320733419896781</v>
      </c>
      <c r="AD7">
        <v>1.1334157806207661</v>
      </c>
      <c r="AE7">
        <v>0.38173611872560309</v>
      </c>
      <c r="AF7">
        <v>1.015756677619436</v>
      </c>
      <c r="AG7">
        <v>0.99118441002038904</v>
      </c>
      <c r="AH7">
        <v>1.0996007239604739</v>
      </c>
      <c r="AI7">
        <v>1.0726053110484339</v>
      </c>
      <c r="AJ7">
        <v>-0.91194000368056649</v>
      </c>
      <c r="AK7">
        <v>1.8543919360888139</v>
      </c>
      <c r="AL7">
        <v>0.38064545478547701</v>
      </c>
      <c r="AM7">
        <v>1.624032341343203</v>
      </c>
      <c r="AN7">
        <v>0.13602050517805209</v>
      </c>
      <c r="AO7">
        <v>-1.0812834219924949</v>
      </c>
      <c r="AP7">
        <v>-1.1196465556371831</v>
      </c>
      <c r="AQ7">
        <v>1.9052497423687671</v>
      </c>
    </row>
    <row r="8" spans="1:43" x14ac:dyDescent="0.3">
      <c r="A8">
        <v>134</v>
      </c>
      <c r="B8">
        <v>2025</v>
      </c>
      <c r="C8" t="s">
        <v>28</v>
      </c>
      <c r="D8">
        <v>22</v>
      </c>
      <c r="E8">
        <v>21.285506171828651</v>
      </c>
      <c r="F8">
        <v>0.71449382817135287</v>
      </c>
      <c r="G8">
        <v>1.4103440813732611</v>
      </c>
      <c r="H8">
        <v>1.9312787783721681</v>
      </c>
      <c r="I8">
        <v>-1.1836689643477849</v>
      </c>
      <c r="J8">
        <v>0.29436444999467309</v>
      </c>
      <c r="K8">
        <v>0.30213081591089108</v>
      </c>
      <c r="L8">
        <v>1.267290829888857</v>
      </c>
      <c r="M8">
        <v>0.64163880637022996</v>
      </c>
      <c r="N8">
        <v>-0.17701400844626419</v>
      </c>
      <c r="O8">
        <v>0.87610525287169916</v>
      </c>
      <c r="P8">
        <v>-1.5764097942577491</v>
      </c>
      <c r="Q8">
        <v>1.9052497423687671</v>
      </c>
      <c r="R8">
        <v>1.4103440813732611</v>
      </c>
      <c r="S8">
        <v>9.2569804564363469</v>
      </c>
      <c r="T8">
        <v>0.15551986573479051</v>
      </c>
      <c r="U8">
        <v>9.1014605907015564</v>
      </c>
      <c r="V8">
        <v>1.9312787783721681</v>
      </c>
      <c r="W8">
        <v>4.6758098629890217</v>
      </c>
      <c r="X8">
        <v>8.4774446653113067E-2</v>
      </c>
      <c r="Y8">
        <v>4.5910354163359086</v>
      </c>
      <c r="Z8">
        <v>-1.1836689643477849</v>
      </c>
      <c r="AA8">
        <v>-0.29436444999467309</v>
      </c>
      <c r="AB8">
        <v>-0.36105429762281449</v>
      </c>
      <c r="AC8">
        <v>-0.24320733419896781</v>
      </c>
      <c r="AD8">
        <v>1.475488491670055</v>
      </c>
      <c r="AE8">
        <v>0.67269140853164211</v>
      </c>
      <c r="AF8">
        <v>1.0614512617420371</v>
      </c>
      <c r="AG8">
        <v>1.3358427514922839</v>
      </c>
      <c r="AH8">
        <v>1.497856497105587</v>
      </c>
      <c r="AI8">
        <v>1.560414568791533</v>
      </c>
      <c r="AJ8">
        <v>-0.18840575130046969</v>
      </c>
      <c r="AK8">
        <v>1.5277708416810909</v>
      </c>
      <c r="AL8">
        <v>0.58555132873006865</v>
      </c>
      <c r="AM8">
        <v>0.17701400844626419</v>
      </c>
      <c r="AN8">
        <v>0.87610525287169916</v>
      </c>
      <c r="AO8">
        <v>-1.6269339313607121</v>
      </c>
      <c r="AP8">
        <v>-1.5258856571547861</v>
      </c>
      <c r="AQ8">
        <v>1.9052497423687671</v>
      </c>
    </row>
    <row r="9" spans="1:43" x14ac:dyDescent="0.3">
      <c r="A9">
        <v>136</v>
      </c>
      <c r="B9">
        <v>2025</v>
      </c>
      <c r="C9" t="s">
        <v>30</v>
      </c>
      <c r="D9">
        <v>14.33333333333333</v>
      </c>
      <c r="E9">
        <v>16.48874007468266</v>
      </c>
      <c r="F9">
        <v>-2.1554067413493261</v>
      </c>
      <c r="G9">
        <v>1.1604992405406229</v>
      </c>
      <c r="H9">
        <v>1.577122043989845</v>
      </c>
      <c r="I9">
        <v>-0.98348832176907919</v>
      </c>
      <c r="J9">
        <v>0.34765213929123429</v>
      </c>
      <c r="K9">
        <v>0.30213081591089108</v>
      </c>
      <c r="L9">
        <v>0.54432527887520954</v>
      </c>
      <c r="M9">
        <v>0.27018495140412069</v>
      </c>
      <c r="N9">
        <v>-2.1889040244793021</v>
      </c>
      <c r="O9">
        <v>0.35605199112617902</v>
      </c>
      <c r="P9">
        <v>-0.86426134859539672</v>
      </c>
      <c r="Q9">
        <v>1.9052497423687671</v>
      </c>
      <c r="R9">
        <v>1.1604992405406229</v>
      </c>
      <c r="S9">
        <v>9.2569804564363469</v>
      </c>
      <c r="T9">
        <v>0.15551986573479051</v>
      </c>
      <c r="U9">
        <v>9.1014605907015564</v>
      </c>
      <c r="V9">
        <v>1.577122043989845</v>
      </c>
      <c r="W9">
        <v>4.6758098629890217</v>
      </c>
      <c r="X9">
        <v>8.4774446653113067E-2</v>
      </c>
      <c r="Y9">
        <v>4.5910354163359086</v>
      </c>
      <c r="Z9">
        <v>-0.98348832176907919</v>
      </c>
      <c r="AA9">
        <v>-0.34765213929123429</v>
      </c>
      <c r="AB9">
        <v>-0.36105429762281449</v>
      </c>
      <c r="AC9">
        <v>-0.24320733419896781</v>
      </c>
      <c r="AD9">
        <v>1.089851783617342</v>
      </c>
      <c r="AE9">
        <v>0.66830479331361703</v>
      </c>
      <c r="AF9">
        <v>0.41802366182197082</v>
      </c>
      <c r="AG9">
        <v>0.41256339573656847</v>
      </c>
      <c r="AH9">
        <v>0.25050446263592913</v>
      </c>
      <c r="AI9">
        <v>0.42670357612583032</v>
      </c>
      <c r="AJ9">
        <v>-0.63886045435298555</v>
      </c>
      <c r="AK9">
        <v>1.483055349594961</v>
      </c>
      <c r="AL9">
        <v>-3.3640041029613453E-2</v>
      </c>
      <c r="AM9">
        <v>2.1889040244793021</v>
      </c>
      <c r="AN9">
        <v>0.35605199112617902</v>
      </c>
      <c r="AO9">
        <v>-0.94007686210504426</v>
      </c>
      <c r="AP9">
        <v>-0.78844583508574917</v>
      </c>
      <c r="AQ9">
        <v>1.9052497423687671</v>
      </c>
    </row>
    <row r="10" spans="1:43" x14ac:dyDescent="0.3">
      <c r="A10">
        <v>137</v>
      </c>
      <c r="B10">
        <v>2025</v>
      </c>
      <c r="C10" t="s">
        <v>33</v>
      </c>
      <c r="D10">
        <v>22</v>
      </c>
      <c r="E10">
        <v>21.038680308498201</v>
      </c>
      <c r="F10">
        <v>0.96131969150179586</v>
      </c>
      <c r="G10">
        <v>2.092592347243929</v>
      </c>
      <c r="H10">
        <v>-0.1086398365514093</v>
      </c>
      <c r="I10">
        <v>-0.72043742285158663</v>
      </c>
      <c r="J10">
        <v>0.3764232941280457</v>
      </c>
      <c r="K10">
        <v>0.30213081591089108</v>
      </c>
      <c r="L10">
        <v>1.6981915782777419</v>
      </c>
      <c r="M10">
        <v>0.89322819541336396</v>
      </c>
      <c r="N10">
        <v>0.85926937641388179</v>
      </c>
      <c r="O10">
        <v>1.3704519681865139</v>
      </c>
      <c r="P10">
        <v>-1.539742995891606</v>
      </c>
      <c r="Q10">
        <v>1.9052497423687671</v>
      </c>
      <c r="R10">
        <v>2.092592347243929</v>
      </c>
      <c r="S10">
        <v>9.2569804564363469</v>
      </c>
      <c r="T10">
        <v>0.15551986573479051</v>
      </c>
      <c r="U10">
        <v>9.1014605907015564</v>
      </c>
      <c r="V10">
        <v>-0.1086398365514093</v>
      </c>
      <c r="W10">
        <v>4.6758098629890217</v>
      </c>
      <c r="X10">
        <v>8.4774446653113067E-2</v>
      </c>
      <c r="Y10">
        <v>4.5910354163359086</v>
      </c>
      <c r="Z10">
        <v>-0.72043742285158663</v>
      </c>
      <c r="AA10">
        <v>-0.3764232941280457</v>
      </c>
      <c r="AB10">
        <v>-0.36105429762281449</v>
      </c>
      <c r="AC10">
        <v>-0.24320733419896781</v>
      </c>
      <c r="AD10">
        <v>1.666466498190547</v>
      </c>
      <c r="AE10">
        <v>1.231199132854317</v>
      </c>
      <c r="AF10">
        <v>1.877857580052815</v>
      </c>
      <c r="AG10">
        <v>1.8720047019611421</v>
      </c>
      <c r="AH10">
        <v>1.714078338051503</v>
      </c>
      <c r="AI10">
        <v>1.827543218556126</v>
      </c>
      <c r="AJ10">
        <v>0.37624767674844761</v>
      </c>
      <c r="AK10">
        <v>1.496337995768148</v>
      </c>
      <c r="AL10">
        <v>0.80709891372349674</v>
      </c>
      <c r="AM10">
        <v>-0.85926937641388179</v>
      </c>
      <c r="AN10">
        <v>1.3704519681865139</v>
      </c>
      <c r="AO10">
        <v>-2.4445640830182072</v>
      </c>
      <c r="AP10">
        <v>-0.63492190876500543</v>
      </c>
      <c r="AQ10">
        <v>1.9052497423687671</v>
      </c>
    </row>
    <row r="11" spans="1:43" x14ac:dyDescent="0.3">
      <c r="A11">
        <v>138</v>
      </c>
      <c r="B11">
        <v>2025</v>
      </c>
      <c r="C11" t="s">
        <v>36</v>
      </c>
      <c r="D11">
        <v>22</v>
      </c>
      <c r="E11">
        <v>21.516544562485091</v>
      </c>
      <c r="F11">
        <v>0.48345543751491249</v>
      </c>
      <c r="G11">
        <v>1.562415458805577</v>
      </c>
      <c r="H11">
        <v>1.234991015446546</v>
      </c>
      <c r="I11">
        <v>-0.76553809979461895</v>
      </c>
      <c r="J11">
        <v>0.22810303040034571</v>
      </c>
      <c r="K11">
        <v>0.30213081591089108</v>
      </c>
      <c r="L11">
        <v>1.4952929352448201</v>
      </c>
      <c r="M11">
        <v>0.64221538738928119</v>
      </c>
      <c r="N11">
        <v>0.38930235930143597</v>
      </c>
      <c r="O11">
        <v>1.336211055234549</v>
      </c>
      <c r="P11">
        <v>-2.0211072602799698</v>
      </c>
      <c r="Q11">
        <v>1.9052497423687671</v>
      </c>
      <c r="R11">
        <v>1.562415458805577</v>
      </c>
      <c r="S11">
        <v>9.2569804564363469</v>
      </c>
      <c r="T11">
        <v>0.15551986573479051</v>
      </c>
      <c r="U11">
        <v>9.1014605907015564</v>
      </c>
      <c r="V11">
        <v>1.234991015446546</v>
      </c>
      <c r="W11">
        <v>4.6758098629890217</v>
      </c>
      <c r="X11">
        <v>8.4774446653113067E-2</v>
      </c>
      <c r="Y11">
        <v>4.5910354163359086</v>
      </c>
      <c r="Z11">
        <v>-0.76553809979461895</v>
      </c>
      <c r="AA11">
        <v>-0.22810303040034571</v>
      </c>
      <c r="AB11">
        <v>-0.36105429762281449</v>
      </c>
      <c r="AC11">
        <v>-0.24320733419896781</v>
      </c>
      <c r="AD11">
        <v>1.5812797613831591</v>
      </c>
      <c r="AE11">
        <v>0.75795175715177998</v>
      </c>
      <c r="AF11">
        <v>1.5544735434002079</v>
      </c>
      <c r="AG11">
        <v>1.7151645431901119</v>
      </c>
      <c r="AH11">
        <v>1.5959556050334409</v>
      </c>
      <c r="AI11">
        <v>1.766932401310221</v>
      </c>
      <c r="AJ11">
        <v>0.14860202876352099</v>
      </c>
      <c r="AK11">
        <v>1.1398515726977321</v>
      </c>
      <c r="AL11">
        <v>0.63819256070659058</v>
      </c>
      <c r="AM11">
        <v>-0.38930235930143597</v>
      </c>
      <c r="AN11">
        <v>1.336211055234549</v>
      </c>
      <c r="AO11">
        <v>-1.860043999152176</v>
      </c>
      <c r="AP11">
        <v>-2.1821705214077651</v>
      </c>
      <c r="AQ11">
        <v>1.9052497423687671</v>
      </c>
    </row>
    <row r="12" spans="1:43" x14ac:dyDescent="0.3">
      <c r="A12">
        <v>142</v>
      </c>
      <c r="B12">
        <v>2025</v>
      </c>
      <c r="C12" t="s">
        <v>38</v>
      </c>
      <c r="D12">
        <v>22</v>
      </c>
      <c r="E12">
        <v>23.834110759616159</v>
      </c>
      <c r="F12">
        <v>-1.834110759616159</v>
      </c>
      <c r="G12">
        <v>1.7357667543525661</v>
      </c>
      <c r="H12">
        <v>0.74560497178442164</v>
      </c>
      <c r="I12">
        <v>-0.74440670808074905</v>
      </c>
      <c r="J12">
        <v>0.31888098445442298</v>
      </c>
      <c r="K12">
        <v>0.30213081591089108</v>
      </c>
      <c r="L12">
        <v>1.655148192585215</v>
      </c>
      <c r="M12">
        <v>2.4858292903593231</v>
      </c>
      <c r="N12">
        <v>0.42589177532987599</v>
      </c>
      <c r="O12">
        <v>2.1992682659845371</v>
      </c>
      <c r="P12">
        <v>0.48740377773214699</v>
      </c>
      <c r="Q12">
        <v>1.9052497423687671</v>
      </c>
      <c r="R12">
        <v>1.7357667543525661</v>
      </c>
      <c r="S12">
        <v>9.2569804564363469</v>
      </c>
      <c r="T12">
        <v>0.15551986573479051</v>
      </c>
      <c r="U12">
        <v>9.1014605907015564</v>
      </c>
      <c r="V12">
        <v>0.74560497178442164</v>
      </c>
      <c r="W12">
        <v>4.6758098629890217</v>
      </c>
      <c r="X12">
        <v>8.4774446653113067E-2</v>
      </c>
      <c r="Y12">
        <v>4.5910354163359086</v>
      </c>
      <c r="Z12">
        <v>-0.74440670808074905</v>
      </c>
      <c r="AA12">
        <v>-0.31888098445442298</v>
      </c>
      <c r="AB12">
        <v>-0.36105429762281449</v>
      </c>
      <c r="AC12">
        <v>-0.24320733419896781</v>
      </c>
      <c r="AD12">
        <v>1.827688967878855</v>
      </c>
      <c r="AE12">
        <v>1.0384834541987391</v>
      </c>
      <c r="AF12">
        <v>1.7498419470856761</v>
      </c>
      <c r="AG12">
        <v>1.4954665712345721</v>
      </c>
      <c r="AH12">
        <v>1.8017019793303399</v>
      </c>
      <c r="AI12">
        <v>2.017706235783105</v>
      </c>
      <c r="AJ12">
        <v>3.5203337938207562</v>
      </c>
      <c r="AK12">
        <v>2.6624058281396459</v>
      </c>
      <c r="AL12">
        <v>1.2747482491175679</v>
      </c>
      <c r="AM12">
        <v>-0.42589177532987599</v>
      </c>
      <c r="AN12">
        <v>2.1992682659845371</v>
      </c>
      <c r="AO12">
        <v>0.37985595113501908</v>
      </c>
      <c r="AP12">
        <v>0.59495160432927485</v>
      </c>
      <c r="AQ12">
        <v>1.9052497423687671</v>
      </c>
    </row>
    <row r="13" spans="1:43" x14ac:dyDescent="0.3">
      <c r="A13">
        <v>144</v>
      </c>
      <c r="B13">
        <v>2025</v>
      </c>
      <c r="C13" t="s">
        <v>40</v>
      </c>
      <c r="D13">
        <v>22</v>
      </c>
      <c r="E13">
        <v>21.825525852521221</v>
      </c>
      <c r="F13">
        <v>0.1744741474787759</v>
      </c>
      <c r="G13">
        <v>1.4366997628963041</v>
      </c>
      <c r="H13">
        <v>0.87478822771254039</v>
      </c>
      <c r="I13">
        <v>-0.83526296047034265</v>
      </c>
      <c r="J13">
        <v>0.33904750346139217</v>
      </c>
      <c r="K13">
        <v>0.30213081591089108</v>
      </c>
      <c r="L13">
        <v>1.52081558251142</v>
      </c>
      <c r="M13">
        <v>0.90008030769100922</v>
      </c>
      <c r="N13">
        <v>0.66362574112741679</v>
      </c>
      <c r="O13">
        <v>0.90772120157545844</v>
      </c>
      <c r="P13">
        <v>-0.21808277212369381</v>
      </c>
      <c r="Q13">
        <v>1.9052497423687671</v>
      </c>
      <c r="R13">
        <v>1.4366997628963041</v>
      </c>
      <c r="S13">
        <v>9.2569804564363469</v>
      </c>
      <c r="T13">
        <v>0.15551986573479051</v>
      </c>
      <c r="U13">
        <v>9.1014605907015564</v>
      </c>
      <c r="V13">
        <v>0.87478822771254039</v>
      </c>
      <c r="W13">
        <v>4.6758098629890217</v>
      </c>
      <c r="X13">
        <v>8.4774446653113067E-2</v>
      </c>
      <c r="Y13">
        <v>4.5910354163359086</v>
      </c>
      <c r="Z13">
        <v>-0.83526296047034265</v>
      </c>
      <c r="AA13">
        <v>-0.33904750346139217</v>
      </c>
      <c r="AB13">
        <v>-0.36105429762281449</v>
      </c>
      <c r="AC13">
        <v>-0.24320733419896781</v>
      </c>
      <c r="AD13">
        <v>1.6019835314461119</v>
      </c>
      <c r="AE13">
        <v>0.87764249075745293</v>
      </c>
      <c r="AF13">
        <v>1.527421534084999</v>
      </c>
      <c r="AG13">
        <v>1.6323145700394439</v>
      </c>
      <c r="AH13">
        <v>1.5546071147143501</v>
      </c>
      <c r="AI13">
        <v>1.9309242540261611</v>
      </c>
      <c r="AJ13">
        <v>0.41148213085091417</v>
      </c>
      <c r="AK13">
        <v>1.505990601993382</v>
      </c>
      <c r="AL13">
        <v>0.78276819022873179</v>
      </c>
      <c r="AM13">
        <v>-0.66362574112741679</v>
      </c>
      <c r="AN13">
        <v>0.90772120157545844</v>
      </c>
      <c r="AO13">
        <v>-0.21279921996215881</v>
      </c>
      <c r="AP13">
        <v>-0.2233663242852289</v>
      </c>
      <c r="AQ13">
        <v>1.9052497423687671</v>
      </c>
    </row>
    <row r="14" spans="1:43" x14ac:dyDescent="0.3">
      <c r="A14">
        <v>146</v>
      </c>
      <c r="B14">
        <v>2025</v>
      </c>
      <c r="C14" t="s">
        <v>42</v>
      </c>
      <c r="D14">
        <v>22</v>
      </c>
      <c r="E14">
        <v>23.457717470568589</v>
      </c>
      <c r="F14">
        <v>-1.4577174705685889</v>
      </c>
      <c r="G14">
        <v>1.879989898971651</v>
      </c>
      <c r="H14">
        <v>1.091222351725927</v>
      </c>
      <c r="I14">
        <v>-0.75540900294003677</v>
      </c>
      <c r="J14">
        <v>0.71641134399010042</v>
      </c>
      <c r="K14">
        <v>0.30213081591089108</v>
      </c>
      <c r="L14">
        <v>1.728927329399903</v>
      </c>
      <c r="M14">
        <v>0.53340874510731018</v>
      </c>
      <c r="N14">
        <v>0.58819653496400393</v>
      </c>
      <c r="O14">
        <v>1.0639906249230791</v>
      </c>
      <c r="P14">
        <v>1.426121755496955</v>
      </c>
      <c r="Q14">
        <v>1.9052497423687671</v>
      </c>
      <c r="R14">
        <v>1.879989898971651</v>
      </c>
      <c r="S14">
        <v>9.2569804564363469</v>
      </c>
      <c r="T14">
        <v>0.15551986573479051</v>
      </c>
      <c r="U14">
        <v>9.1014605907015564</v>
      </c>
      <c r="V14">
        <v>1.091222351725927</v>
      </c>
      <c r="W14">
        <v>4.6758098629890217</v>
      </c>
      <c r="X14">
        <v>8.4774446653113067E-2</v>
      </c>
      <c r="Y14">
        <v>4.5910354163359086</v>
      </c>
      <c r="Z14">
        <v>-0.75540900294003677</v>
      </c>
      <c r="AA14">
        <v>-0.71641134399010042</v>
      </c>
      <c r="AB14">
        <v>-0.36105429762281449</v>
      </c>
      <c r="AC14">
        <v>-0.24320733419896781</v>
      </c>
      <c r="AD14">
        <v>1.7025531426496929</v>
      </c>
      <c r="AE14">
        <v>1.252058277519746</v>
      </c>
      <c r="AF14">
        <v>2.1251041403243378</v>
      </c>
      <c r="AG14">
        <v>1.6452198085610279</v>
      </c>
      <c r="AH14">
        <v>1.7240616758949761</v>
      </c>
      <c r="AI14">
        <v>1.924566931449637</v>
      </c>
      <c r="AJ14">
        <v>0.6114364048790657</v>
      </c>
      <c r="AK14">
        <v>0.2416641883034705</v>
      </c>
      <c r="AL14">
        <v>0.74712564213939425</v>
      </c>
      <c r="AM14">
        <v>-0.58819653496400393</v>
      </c>
      <c r="AN14">
        <v>1.0639906249230791</v>
      </c>
      <c r="AO14">
        <v>1.394859426071577</v>
      </c>
      <c r="AP14">
        <v>1.457384084922333</v>
      </c>
      <c r="AQ14">
        <v>1.9052497423687671</v>
      </c>
    </row>
    <row r="15" spans="1:43" x14ac:dyDescent="0.3">
      <c r="A15">
        <v>156</v>
      </c>
      <c r="B15">
        <v>2025</v>
      </c>
      <c r="C15" t="s">
        <v>43</v>
      </c>
      <c r="D15">
        <v>21.666666666666671</v>
      </c>
      <c r="E15">
        <v>19.78411461353139</v>
      </c>
      <c r="F15">
        <v>1.882552053135278</v>
      </c>
      <c r="G15">
        <v>1.3441430307488831</v>
      </c>
      <c r="H15">
        <v>1.520826590805225</v>
      </c>
      <c r="I15">
        <v>-0.69642447772218907</v>
      </c>
      <c r="J15">
        <v>0.36940221655513678</v>
      </c>
      <c r="K15">
        <v>0.30213081591089108</v>
      </c>
      <c r="L15">
        <v>1.402255839364678</v>
      </c>
      <c r="M15">
        <v>0.58299349155974378</v>
      </c>
      <c r="N15">
        <v>-1.5526871474472019</v>
      </c>
      <c r="O15">
        <v>7.9771271287927922E-2</v>
      </c>
      <c r="P15">
        <v>-0.52525134200438872</v>
      </c>
      <c r="Q15">
        <v>1.9052497423687671</v>
      </c>
      <c r="R15">
        <v>1.3441430307488831</v>
      </c>
      <c r="S15">
        <v>9.2569804564363469</v>
      </c>
      <c r="T15">
        <v>0.15551986573479051</v>
      </c>
      <c r="U15">
        <v>9.1014605907015564</v>
      </c>
      <c r="V15">
        <v>1.520826590805225</v>
      </c>
      <c r="W15">
        <v>4.6758098629890217</v>
      </c>
      <c r="X15">
        <v>8.4774446653113067E-2</v>
      </c>
      <c r="Y15">
        <v>4.5910354163359086</v>
      </c>
      <c r="Z15">
        <v>-0.69642447772218907</v>
      </c>
      <c r="AA15">
        <v>-0.36940221655513678</v>
      </c>
      <c r="AB15">
        <v>-0.36105429762281449</v>
      </c>
      <c r="AC15">
        <v>-0.24320733419896781</v>
      </c>
      <c r="AD15">
        <v>1.4958488342675089</v>
      </c>
      <c r="AE15">
        <v>0.95424800449949698</v>
      </c>
      <c r="AF15">
        <v>1.432673969056204</v>
      </c>
      <c r="AG15">
        <v>1.549058007485385</v>
      </c>
      <c r="AH15">
        <v>1.4138271153344899</v>
      </c>
      <c r="AI15">
        <v>1.567879105544983</v>
      </c>
      <c r="AJ15">
        <v>-1.9275359595244079E-2</v>
      </c>
      <c r="AK15">
        <v>1.0759958699769501</v>
      </c>
      <c r="AL15">
        <v>0.69225996429752545</v>
      </c>
      <c r="AM15">
        <v>1.5526871474472019</v>
      </c>
      <c r="AN15">
        <v>7.9771271287927922E-2</v>
      </c>
      <c r="AO15">
        <v>-0.61921053211778299</v>
      </c>
      <c r="AP15">
        <v>-0.43129215189099429</v>
      </c>
      <c r="AQ15">
        <v>1.9052497423687671</v>
      </c>
    </row>
    <row r="16" spans="1:43" x14ac:dyDescent="0.3">
      <c r="A16">
        <v>158</v>
      </c>
      <c r="B16">
        <v>2025</v>
      </c>
      <c r="C16" t="s">
        <v>46</v>
      </c>
      <c r="D16">
        <v>17.666666666666671</v>
      </c>
      <c r="E16">
        <v>18.15177799990699</v>
      </c>
      <c r="F16">
        <v>-0.48511133324031519</v>
      </c>
      <c r="G16">
        <v>0.99466003825239113</v>
      </c>
      <c r="H16">
        <v>1.8486891153654299</v>
      </c>
      <c r="I16">
        <v>-1.2168941484268241</v>
      </c>
      <c r="J16">
        <v>0.50396651036417561</v>
      </c>
      <c r="K16">
        <v>0.30213081591089108</v>
      </c>
      <c r="L16">
        <v>1.310967693719113</v>
      </c>
      <c r="M16">
        <v>0.3527163176439479</v>
      </c>
      <c r="N16">
        <v>-4.0756560151033927</v>
      </c>
      <c r="O16">
        <v>0.660379742759299</v>
      </c>
      <c r="P16">
        <v>0.88035430230913714</v>
      </c>
      <c r="Q16">
        <v>1.9052497423687671</v>
      </c>
      <c r="R16">
        <v>0.99466003825239113</v>
      </c>
      <c r="S16">
        <v>9.2569804564363469</v>
      </c>
      <c r="T16">
        <v>0.15551986573479051</v>
      </c>
      <c r="U16">
        <v>9.1014605907015564</v>
      </c>
      <c r="V16">
        <v>1.8486891153654299</v>
      </c>
      <c r="W16">
        <v>4.6758098629890217</v>
      </c>
      <c r="X16">
        <v>8.4774446653113067E-2</v>
      </c>
      <c r="Y16">
        <v>4.5910354163359086</v>
      </c>
      <c r="Z16">
        <v>-1.2168941484268241</v>
      </c>
      <c r="AA16">
        <v>-0.50396651036417561</v>
      </c>
      <c r="AB16">
        <v>-0.36105429762281449</v>
      </c>
      <c r="AC16">
        <v>-0.24320733419896781</v>
      </c>
      <c r="AD16">
        <v>1.0786725506007979</v>
      </c>
      <c r="AE16">
        <v>1.1081801685638659</v>
      </c>
      <c r="AF16">
        <v>1.5608957211054579</v>
      </c>
      <c r="AG16">
        <v>1.3498700859092589</v>
      </c>
      <c r="AH16">
        <v>1.481019889563947</v>
      </c>
      <c r="AI16">
        <v>1.2871677465713509</v>
      </c>
      <c r="AJ16">
        <v>-0.27040229029283858</v>
      </c>
      <c r="AK16">
        <v>0.65829377323880822</v>
      </c>
      <c r="AL16">
        <v>0.67025746998587399</v>
      </c>
      <c r="AM16">
        <v>4.0756560151033927</v>
      </c>
      <c r="AN16">
        <v>0.660379742759299</v>
      </c>
      <c r="AO16">
        <v>0.69733967350718662</v>
      </c>
      <c r="AP16">
        <v>1.0633689311110881</v>
      </c>
      <c r="AQ16">
        <v>1.9052497423687671</v>
      </c>
    </row>
    <row r="17" spans="1:43" x14ac:dyDescent="0.3">
      <c r="A17">
        <v>172</v>
      </c>
      <c r="B17">
        <v>2025</v>
      </c>
      <c r="C17" t="s">
        <v>48</v>
      </c>
      <c r="D17">
        <v>20.666666666666671</v>
      </c>
      <c r="E17">
        <v>19.620265532150601</v>
      </c>
      <c r="F17">
        <v>1.0464011345160711</v>
      </c>
      <c r="G17">
        <v>1.3599017362913199</v>
      </c>
      <c r="H17">
        <v>0.4864384445788999</v>
      </c>
      <c r="I17">
        <v>-1.135817713689931</v>
      </c>
      <c r="J17">
        <v>0.41023130896281351</v>
      </c>
      <c r="K17">
        <v>0.30213081591089108</v>
      </c>
      <c r="L17">
        <v>1.65504693900521</v>
      </c>
      <c r="M17">
        <v>0.82214861807595641</v>
      </c>
      <c r="N17">
        <v>-0.79831173862394345</v>
      </c>
      <c r="O17">
        <v>0.15488662753338331</v>
      </c>
      <c r="P17">
        <v>-0.7093105466302061</v>
      </c>
      <c r="Q17">
        <v>1.9052497423687671</v>
      </c>
      <c r="R17">
        <v>1.3599017362913199</v>
      </c>
      <c r="S17">
        <v>9.2569804564363469</v>
      </c>
      <c r="T17">
        <v>0.15551986573479051</v>
      </c>
      <c r="U17">
        <v>9.1014605907015564</v>
      </c>
      <c r="V17">
        <v>0.4864384445788999</v>
      </c>
      <c r="W17">
        <v>4.6758098629890217</v>
      </c>
      <c r="X17">
        <v>8.4774446653113067E-2</v>
      </c>
      <c r="Y17">
        <v>4.5910354163359086</v>
      </c>
      <c r="Z17">
        <v>-1.135817713689931</v>
      </c>
      <c r="AA17">
        <v>-0.41023130896281351</v>
      </c>
      <c r="AB17">
        <v>-0.36105429762281449</v>
      </c>
      <c r="AC17">
        <v>-0.24320733419896781</v>
      </c>
      <c r="AD17">
        <v>1.6664363925361041</v>
      </c>
      <c r="AE17">
        <v>0.82457018701003781</v>
      </c>
      <c r="AF17">
        <v>1.681141560846779</v>
      </c>
      <c r="AG17">
        <v>1.685843541437781</v>
      </c>
      <c r="AH17">
        <v>1.944681515096552</v>
      </c>
      <c r="AI17">
        <v>2.1276084371040058</v>
      </c>
      <c r="AJ17">
        <v>-0.24536728343055969</v>
      </c>
      <c r="AK17">
        <v>2.0069361148106828</v>
      </c>
      <c r="AL17">
        <v>0.70487702284774578</v>
      </c>
      <c r="AM17">
        <v>0.79831173862394345</v>
      </c>
      <c r="AN17">
        <v>0.15488662753338331</v>
      </c>
      <c r="AO17">
        <v>-0.79914053965687226</v>
      </c>
      <c r="AP17">
        <v>-0.61948055360353982</v>
      </c>
      <c r="AQ17">
        <v>1.9052497423687671</v>
      </c>
    </row>
    <row r="18" spans="1:43" x14ac:dyDescent="0.3">
      <c r="A18">
        <v>174</v>
      </c>
      <c r="B18">
        <v>2025</v>
      </c>
      <c r="C18" t="s">
        <v>50</v>
      </c>
      <c r="D18">
        <v>13.33333333333333</v>
      </c>
      <c r="E18">
        <v>13.07511989008912</v>
      </c>
      <c r="F18">
        <v>0.25821344324420892</v>
      </c>
      <c r="G18">
        <v>0.80811271124992112</v>
      </c>
      <c r="H18">
        <v>0.42917027419242021</v>
      </c>
      <c r="I18">
        <v>-0.5974474838888354</v>
      </c>
      <c r="J18">
        <v>0.35177320656228961</v>
      </c>
      <c r="K18">
        <v>0.30213081591089108</v>
      </c>
      <c r="L18">
        <v>0.2494178433316348</v>
      </c>
      <c r="M18">
        <v>0.60423186843736576</v>
      </c>
      <c r="N18">
        <v>-2.462671758377744</v>
      </c>
      <c r="O18">
        <v>-0.59977119753823394</v>
      </c>
      <c r="P18">
        <v>-1.2183436652319191</v>
      </c>
      <c r="Q18">
        <v>1.9052497423687671</v>
      </c>
      <c r="R18">
        <v>0.80811271124992112</v>
      </c>
      <c r="S18">
        <v>9.2569804564363469</v>
      </c>
      <c r="T18">
        <v>0.15551986573479051</v>
      </c>
      <c r="U18">
        <v>9.1014605907015564</v>
      </c>
      <c r="V18">
        <v>0.42917027419242021</v>
      </c>
      <c r="W18">
        <v>4.6758098629890217</v>
      </c>
      <c r="X18">
        <v>8.4774446653113067E-2</v>
      </c>
      <c r="Y18">
        <v>4.5910354163359086</v>
      </c>
      <c r="Z18">
        <v>-0.5974474838888354</v>
      </c>
      <c r="AA18">
        <v>-0.35177320656228961</v>
      </c>
      <c r="AB18">
        <v>-0.36105429762281449</v>
      </c>
      <c r="AC18">
        <v>-0.24320733419896781</v>
      </c>
      <c r="AD18">
        <v>0.97459841821519122</v>
      </c>
      <c r="AE18">
        <v>0.25741599921235769</v>
      </c>
      <c r="AF18">
        <v>-0.1006727678959651</v>
      </c>
      <c r="AG18">
        <v>0.33863113207032142</v>
      </c>
      <c r="AH18">
        <v>6.0100042674311849E-2</v>
      </c>
      <c r="AI18">
        <v>-3.3565764286408548E-2</v>
      </c>
      <c r="AJ18">
        <v>-1.103059757553468E-2</v>
      </c>
      <c r="AK18">
        <v>1.6841100621667271</v>
      </c>
      <c r="AL18">
        <v>0.13961614072090481</v>
      </c>
      <c r="AM18">
        <v>2.462671758377744</v>
      </c>
      <c r="AN18">
        <v>-0.59977119753823394</v>
      </c>
      <c r="AO18">
        <v>-1.1775659316538469</v>
      </c>
      <c r="AP18">
        <v>-1.259121398809991</v>
      </c>
      <c r="AQ18">
        <v>1.9052497423687671</v>
      </c>
    </row>
    <row r="19" spans="1:43" x14ac:dyDescent="0.3">
      <c r="A19">
        <v>176</v>
      </c>
      <c r="B19">
        <v>2025</v>
      </c>
      <c r="C19" t="s">
        <v>52</v>
      </c>
      <c r="D19">
        <v>17.666666666666671</v>
      </c>
      <c r="E19">
        <v>17.449564753190099</v>
      </c>
      <c r="F19">
        <v>0.2171019134765757</v>
      </c>
      <c r="G19">
        <v>1.7859954459810099</v>
      </c>
      <c r="H19">
        <v>-0.61172632171221764</v>
      </c>
      <c r="I19">
        <v>-0.41599693851105968</v>
      </c>
      <c r="J19">
        <v>2.8078635633017889E-2</v>
      </c>
      <c r="K19">
        <v>0.30213081591089108</v>
      </c>
      <c r="L19">
        <v>1.437122027044953</v>
      </c>
      <c r="M19">
        <v>0.46083857091405628</v>
      </c>
      <c r="N19">
        <v>0.29525894756546839</v>
      </c>
      <c r="O19">
        <v>6.2198234769151213E-2</v>
      </c>
      <c r="P19">
        <v>0.38278469885852268</v>
      </c>
      <c r="Q19">
        <v>-0.52486557418804092</v>
      </c>
      <c r="R19">
        <v>1.7859954459810099</v>
      </c>
      <c r="S19">
        <v>9.2569804564363469</v>
      </c>
      <c r="T19">
        <v>0.15551986573479051</v>
      </c>
      <c r="U19">
        <v>9.1014605907015564</v>
      </c>
      <c r="V19">
        <v>-0.61172632171221764</v>
      </c>
      <c r="W19">
        <v>4.6758098629890217</v>
      </c>
      <c r="X19">
        <v>8.4774446653113067E-2</v>
      </c>
      <c r="Y19">
        <v>4.5910354163359086</v>
      </c>
      <c r="Z19">
        <v>-0.41599693851105968</v>
      </c>
      <c r="AA19">
        <v>-2.8078635633017889E-2</v>
      </c>
      <c r="AB19">
        <v>-0.36105429762281449</v>
      </c>
      <c r="AC19">
        <v>-0.24320733419896781</v>
      </c>
      <c r="AD19">
        <v>1.4582234563590479</v>
      </c>
      <c r="AE19">
        <v>1.4230262468678569</v>
      </c>
      <c r="AF19">
        <v>1.475598267906681</v>
      </c>
      <c r="AG19">
        <v>1.139895052172788</v>
      </c>
      <c r="AH19">
        <v>1.6804276878261191</v>
      </c>
      <c r="AI19">
        <v>1.4455614511372259</v>
      </c>
      <c r="AJ19">
        <v>-0.1102434025482695</v>
      </c>
      <c r="AK19">
        <v>1.172521932229295</v>
      </c>
      <c r="AL19">
        <v>0.32023718306114318</v>
      </c>
      <c r="AM19">
        <v>-0.29525894756546839</v>
      </c>
      <c r="AN19">
        <v>6.2198234769151213E-2</v>
      </c>
      <c r="AO19">
        <v>0.32849965761455069</v>
      </c>
      <c r="AP19">
        <v>0.43706974010249472</v>
      </c>
      <c r="AQ19">
        <v>-0.52486557418804092</v>
      </c>
    </row>
    <row r="20" spans="1:43" x14ac:dyDescent="0.3">
      <c r="A20">
        <v>178</v>
      </c>
      <c r="B20">
        <v>2025</v>
      </c>
      <c r="C20" t="s">
        <v>53</v>
      </c>
      <c r="D20">
        <v>19.666666666666671</v>
      </c>
      <c r="E20">
        <v>21.606811814275261</v>
      </c>
      <c r="F20">
        <v>-1.9401451476085929</v>
      </c>
      <c r="G20">
        <v>1.994864155295591</v>
      </c>
      <c r="H20">
        <v>0.91016885017290339</v>
      </c>
      <c r="I20">
        <v>0.71815628990050873</v>
      </c>
      <c r="J20">
        <v>0.38922531328951809</v>
      </c>
      <c r="K20">
        <v>0.30213081591089108</v>
      </c>
      <c r="L20">
        <v>1.464936415538026</v>
      </c>
      <c r="M20">
        <v>0.28777105470459602</v>
      </c>
      <c r="N20">
        <v>0.69604779769931446</v>
      </c>
      <c r="O20">
        <v>1.3871457063364341</v>
      </c>
      <c r="P20">
        <v>-1.5985156048154301</v>
      </c>
      <c r="Q20">
        <v>1.9052497423687671</v>
      </c>
      <c r="R20">
        <v>1.994864155295591</v>
      </c>
      <c r="S20">
        <v>9.2569804564363469</v>
      </c>
      <c r="T20">
        <v>0.15551986573479051</v>
      </c>
      <c r="U20">
        <v>9.1014605907015564</v>
      </c>
      <c r="V20">
        <v>0.91016885017290339</v>
      </c>
      <c r="W20">
        <v>4.6758098629890217</v>
      </c>
      <c r="X20">
        <v>8.4774446653113067E-2</v>
      </c>
      <c r="Y20">
        <v>4.5910354163359086</v>
      </c>
      <c r="Z20">
        <v>0.71815628990050873</v>
      </c>
      <c r="AA20">
        <v>-0.38922531328951809</v>
      </c>
      <c r="AB20">
        <v>-0.36105429762281449</v>
      </c>
      <c r="AC20">
        <v>-0.24320733419896781</v>
      </c>
      <c r="AD20">
        <v>1.500097076616705</v>
      </c>
      <c r="AE20">
        <v>1.0493124620502161</v>
      </c>
      <c r="AF20">
        <v>1.5159539197175389</v>
      </c>
      <c r="AG20">
        <v>1.66791612877711</v>
      </c>
      <c r="AH20">
        <v>1.5863709130128001</v>
      </c>
      <c r="AI20">
        <v>1.469967993053789</v>
      </c>
      <c r="AJ20">
        <v>0.76816206345433324</v>
      </c>
      <c r="AK20">
        <v>-0.53112181607065068</v>
      </c>
      <c r="AL20">
        <v>0.62627291673010543</v>
      </c>
      <c r="AM20">
        <v>-0.69604779769931446</v>
      </c>
      <c r="AN20">
        <v>1.3871457063364341</v>
      </c>
      <c r="AO20">
        <v>-1.6782654685647149</v>
      </c>
      <c r="AP20">
        <v>-1.518765741066145</v>
      </c>
      <c r="AQ20">
        <v>1.9052497423687671</v>
      </c>
    </row>
    <row r="21" spans="1:43" x14ac:dyDescent="0.3">
      <c r="A21">
        <v>181</v>
      </c>
      <c r="B21">
        <v>2025</v>
      </c>
      <c r="C21" t="s">
        <v>54</v>
      </c>
      <c r="D21">
        <v>17</v>
      </c>
      <c r="E21">
        <v>15.56402471488274</v>
      </c>
      <c r="F21">
        <v>1.4359752851172589</v>
      </c>
      <c r="G21">
        <v>1.261398134856947</v>
      </c>
      <c r="H21">
        <v>-0.78116764590028309</v>
      </c>
      <c r="I21">
        <v>0.76539630195506925</v>
      </c>
      <c r="J21">
        <v>0.39363256578772993</v>
      </c>
      <c r="K21">
        <v>0.30213081591089108</v>
      </c>
      <c r="L21">
        <v>0.51106105554388803</v>
      </c>
      <c r="M21">
        <v>6.5526687691390514E-2</v>
      </c>
      <c r="N21">
        <v>0.31015031202351218</v>
      </c>
      <c r="O21">
        <v>0.93694494148159191</v>
      </c>
      <c r="P21">
        <v>-0.22120107049492249</v>
      </c>
      <c r="Q21">
        <v>1.9052497423687671</v>
      </c>
      <c r="R21">
        <v>1.261398134856947</v>
      </c>
      <c r="S21">
        <v>9.2569804564363469</v>
      </c>
      <c r="T21">
        <v>0.15551986573479051</v>
      </c>
      <c r="U21">
        <v>9.1014605907015564</v>
      </c>
      <c r="V21">
        <v>-0.78116764590028309</v>
      </c>
      <c r="W21">
        <v>4.6758098629890217</v>
      </c>
      <c r="X21">
        <v>8.4774446653113067E-2</v>
      </c>
      <c r="Y21">
        <v>4.5910354163359086</v>
      </c>
      <c r="Z21">
        <v>0.76539630195506925</v>
      </c>
      <c r="AA21">
        <v>-0.39363256578772993</v>
      </c>
      <c r="AB21">
        <v>-0.36105429762281449</v>
      </c>
      <c r="AC21">
        <v>-0.24320733419896781</v>
      </c>
      <c r="AD21">
        <v>0.86475515041889239</v>
      </c>
      <c r="AE21">
        <v>0.99694335616217844</v>
      </c>
      <c r="AF21">
        <v>0.17863203091887869</v>
      </c>
      <c r="AG21">
        <v>0.46177093506814271</v>
      </c>
      <c r="AH21">
        <v>0.5857204699215145</v>
      </c>
      <c r="AI21">
        <v>-2.1455609226278729E-2</v>
      </c>
      <c r="AJ21">
        <v>-0.44469505578548102</v>
      </c>
      <c r="AK21">
        <v>0.25313181450268052</v>
      </c>
      <c r="AL21">
        <v>0.38814330435697209</v>
      </c>
      <c r="AM21">
        <v>-0.31015031202351218</v>
      </c>
      <c r="AN21">
        <v>0.93694494148159191</v>
      </c>
      <c r="AO21">
        <v>-0.1121256771860336</v>
      </c>
      <c r="AP21">
        <v>-0.33027646380381143</v>
      </c>
      <c r="AQ21">
        <v>1.9052497423687671</v>
      </c>
    </row>
    <row r="22" spans="1:43" x14ac:dyDescent="0.3">
      <c r="A22">
        <v>182</v>
      </c>
      <c r="B22">
        <v>2025</v>
      </c>
      <c r="C22" t="s">
        <v>56</v>
      </c>
      <c r="D22">
        <v>17</v>
      </c>
      <c r="E22">
        <v>16.790909738014111</v>
      </c>
      <c r="F22">
        <v>0.20909026198589231</v>
      </c>
      <c r="G22">
        <v>0.9186378074288204</v>
      </c>
      <c r="H22">
        <v>0.52357998147506268</v>
      </c>
      <c r="I22">
        <v>-0.63281200307940288</v>
      </c>
      <c r="J22">
        <v>0.35459690080356809</v>
      </c>
      <c r="K22">
        <v>0.30213081591089108</v>
      </c>
      <c r="L22">
        <v>0.82534139022546815</v>
      </c>
      <c r="M22">
        <v>0.65294959477092274</v>
      </c>
      <c r="N22">
        <v>-0.91391428994842216</v>
      </c>
      <c r="O22">
        <v>0.29381576981280721</v>
      </c>
      <c r="P22">
        <v>-1.225387920164728</v>
      </c>
      <c r="Q22">
        <v>1.9052497423687671</v>
      </c>
      <c r="R22">
        <v>0.9186378074288204</v>
      </c>
      <c r="S22">
        <v>9.2569804564363469</v>
      </c>
      <c r="T22">
        <v>0.15551986573479051</v>
      </c>
      <c r="U22">
        <v>9.1014605907015564</v>
      </c>
      <c r="V22">
        <v>0.52357998147506268</v>
      </c>
      <c r="W22">
        <v>4.6758098629890217</v>
      </c>
      <c r="X22">
        <v>8.4774446653113067E-2</v>
      </c>
      <c r="Y22">
        <v>4.5910354163359086</v>
      </c>
      <c r="Z22">
        <v>-0.63281200307940288</v>
      </c>
      <c r="AA22">
        <v>-0.35459690080356809</v>
      </c>
      <c r="AB22">
        <v>-0.36105429762281449</v>
      </c>
      <c r="AC22">
        <v>-0.24320733419896781</v>
      </c>
      <c r="AD22">
        <v>1.1966175845150111</v>
      </c>
      <c r="AE22">
        <v>0.82288514315992944</v>
      </c>
      <c r="AF22">
        <v>0.83979819423727753</v>
      </c>
      <c r="AG22">
        <v>0.53899793577136179</v>
      </c>
      <c r="AH22">
        <v>0.97828130274046121</v>
      </c>
      <c r="AI22">
        <v>0.57546818092876817</v>
      </c>
      <c r="AJ22">
        <v>0.42265892070134092</v>
      </c>
      <c r="AK22">
        <v>1.1917446437718571</v>
      </c>
      <c r="AL22">
        <v>0.34444521983957049</v>
      </c>
      <c r="AM22">
        <v>0.91391428994842216</v>
      </c>
      <c r="AN22">
        <v>0.29381576981280721</v>
      </c>
      <c r="AO22">
        <v>-1.0323459603499709</v>
      </c>
      <c r="AP22">
        <v>-1.4184298799794861</v>
      </c>
      <c r="AQ22">
        <v>1.9052497423687671</v>
      </c>
    </row>
    <row r="23" spans="1:43" x14ac:dyDescent="0.3">
      <c r="A23">
        <v>184</v>
      </c>
      <c r="B23">
        <v>2025</v>
      </c>
      <c r="C23" t="s">
        <v>57</v>
      </c>
      <c r="D23">
        <v>17</v>
      </c>
      <c r="E23">
        <v>17.592001808379241</v>
      </c>
      <c r="F23">
        <v>-0.59200180837924066</v>
      </c>
      <c r="G23">
        <v>1.0643345984985471</v>
      </c>
      <c r="H23">
        <v>1.4224664922135459</v>
      </c>
      <c r="I23">
        <v>-0.62447296213446657</v>
      </c>
      <c r="J23">
        <v>0.35230741898631518</v>
      </c>
      <c r="K23">
        <v>0.30213081591089108</v>
      </c>
      <c r="L23">
        <v>0.62668272432006578</v>
      </c>
      <c r="M23">
        <v>0.31739626501987889</v>
      </c>
      <c r="N23">
        <v>-1.176680194881593</v>
      </c>
      <c r="O23">
        <v>0.45816697963889402</v>
      </c>
      <c r="P23">
        <v>-0.55278234967738094</v>
      </c>
      <c r="Q23">
        <v>1.9052497423687671</v>
      </c>
      <c r="R23">
        <v>1.0643345984985471</v>
      </c>
      <c r="S23">
        <v>9.2569804564363469</v>
      </c>
      <c r="T23">
        <v>0.15551986573479051</v>
      </c>
      <c r="U23">
        <v>9.1014605907015564</v>
      </c>
      <c r="V23">
        <v>1.4224664922135459</v>
      </c>
      <c r="W23">
        <v>4.6758098629890217</v>
      </c>
      <c r="X23">
        <v>8.4774446653113067E-2</v>
      </c>
      <c r="Y23">
        <v>4.5910354163359086</v>
      </c>
      <c r="Z23">
        <v>-0.62447296213446657</v>
      </c>
      <c r="AA23">
        <v>-0.35230741898631518</v>
      </c>
      <c r="AB23">
        <v>-0.36105429762281449</v>
      </c>
      <c r="AC23">
        <v>-0.24320733419896781</v>
      </c>
      <c r="AD23">
        <v>1.178160588292904</v>
      </c>
      <c r="AE23">
        <v>0.314279352643835</v>
      </c>
      <c r="AF23">
        <v>0.57600609677640335</v>
      </c>
      <c r="AG23">
        <v>0.4690452510701445</v>
      </c>
      <c r="AH23">
        <v>0.71526209555205988</v>
      </c>
      <c r="AI23">
        <v>0.50734296158504777</v>
      </c>
      <c r="AJ23">
        <v>-0.37161990061991018</v>
      </c>
      <c r="AK23">
        <v>1.0572681638818371</v>
      </c>
      <c r="AL23">
        <v>0.26654053179771042</v>
      </c>
      <c r="AM23">
        <v>1.176680194881593</v>
      </c>
      <c r="AN23">
        <v>0.45816697963889402</v>
      </c>
      <c r="AO23">
        <v>-0.58567916465655057</v>
      </c>
      <c r="AP23">
        <v>-0.51988553469821142</v>
      </c>
      <c r="AQ23">
        <v>1.9052497423687671</v>
      </c>
    </row>
    <row r="24" spans="1:43" x14ac:dyDescent="0.3">
      <c r="A24">
        <v>186</v>
      </c>
      <c r="B24">
        <v>2025</v>
      </c>
      <c r="C24" t="s">
        <v>59</v>
      </c>
      <c r="D24">
        <v>10</v>
      </c>
      <c r="E24">
        <v>12.005381106972211</v>
      </c>
      <c r="F24">
        <v>-2.0053811069722141</v>
      </c>
      <c r="G24">
        <v>0.50295053260314726</v>
      </c>
      <c r="H24">
        <v>1.32375957375294</v>
      </c>
      <c r="I24">
        <v>0.60359271168316453</v>
      </c>
      <c r="J24">
        <v>-5.2960922513734454</v>
      </c>
      <c r="K24">
        <v>0.30213081591089108</v>
      </c>
      <c r="L24">
        <v>-0.80655186241241539</v>
      </c>
      <c r="M24">
        <v>-0.18589440205914259</v>
      </c>
      <c r="N24">
        <v>0.93786577576426644</v>
      </c>
      <c r="O24">
        <v>-7.0433579486251854E-2</v>
      </c>
      <c r="P24">
        <v>-0.28786495321796401</v>
      </c>
      <c r="Q24">
        <v>-0.52486557418804092</v>
      </c>
      <c r="R24">
        <v>0.50295053260314726</v>
      </c>
      <c r="S24">
        <v>9.2569804564363469</v>
      </c>
      <c r="T24">
        <v>0.15551986573479051</v>
      </c>
      <c r="U24">
        <v>9.1014605907015564</v>
      </c>
      <c r="V24">
        <v>1.32375957375294</v>
      </c>
      <c r="W24">
        <v>4.6758098629890217</v>
      </c>
      <c r="X24">
        <v>8.4774446653113067E-2</v>
      </c>
      <c r="Y24">
        <v>4.5910354163359086</v>
      </c>
      <c r="Z24">
        <v>0.60359271168316453</v>
      </c>
      <c r="AA24">
        <v>5.2960922513734454</v>
      </c>
      <c r="AB24">
        <v>-0.36105429762281449</v>
      </c>
      <c r="AC24">
        <v>-0.24320733419896781</v>
      </c>
      <c r="AD24">
        <v>-1.1135565345409391</v>
      </c>
      <c r="AE24">
        <v>-1.2384628430643769</v>
      </c>
      <c r="AF24">
        <v>-0.5441816613503907</v>
      </c>
      <c r="AG24">
        <v>-0.57953973447743135</v>
      </c>
      <c r="AH24">
        <v>-0.71906664951308874</v>
      </c>
      <c r="AI24">
        <v>-0.64450375152826611</v>
      </c>
      <c r="AJ24">
        <v>-0.30899479336381919</v>
      </c>
      <c r="AK24">
        <v>-4.5026466676786878E-2</v>
      </c>
      <c r="AL24">
        <v>-0.20366194613682159</v>
      </c>
      <c r="AM24">
        <v>-0.93786577576426644</v>
      </c>
      <c r="AN24">
        <v>-7.0433579486251854E-2</v>
      </c>
      <c r="AO24">
        <v>-0.37134121041494378</v>
      </c>
      <c r="AP24">
        <v>-0.20438869602098411</v>
      </c>
      <c r="AQ24">
        <v>-0.52486557418804092</v>
      </c>
    </row>
    <row r="25" spans="1:43" x14ac:dyDescent="0.3">
      <c r="A25">
        <v>193</v>
      </c>
      <c r="B25">
        <v>2025</v>
      </c>
      <c r="C25" t="s">
        <v>63</v>
      </c>
      <c r="D25">
        <v>22</v>
      </c>
      <c r="E25">
        <v>21.398344970654179</v>
      </c>
      <c r="F25">
        <v>0.60165502934582094</v>
      </c>
      <c r="G25">
        <v>1.4832344498459009</v>
      </c>
      <c r="H25">
        <v>1.405109417037312</v>
      </c>
      <c r="I25">
        <v>-0.47402094592373162</v>
      </c>
      <c r="J25">
        <v>0.26666172000591309</v>
      </c>
      <c r="K25">
        <v>0.30213081591089108</v>
      </c>
      <c r="L25">
        <v>1.5236769997935771</v>
      </c>
      <c r="M25">
        <v>0.31290224435019259</v>
      </c>
      <c r="N25">
        <v>0.19482558466280281</v>
      </c>
      <c r="O25">
        <v>0.1091372506360824</v>
      </c>
      <c r="P25">
        <v>-0.67303891516535774</v>
      </c>
      <c r="Q25">
        <v>1.9052497423687671</v>
      </c>
      <c r="R25">
        <v>1.4832344498459009</v>
      </c>
      <c r="S25">
        <v>9.2569804564363469</v>
      </c>
      <c r="T25">
        <v>0.15551986573479051</v>
      </c>
      <c r="U25">
        <v>9.1014605907015564</v>
      </c>
      <c r="V25">
        <v>1.405109417037312</v>
      </c>
      <c r="W25">
        <v>4.6758098629890217</v>
      </c>
      <c r="X25">
        <v>8.4774446653113067E-2</v>
      </c>
      <c r="Y25">
        <v>4.5910354163359086</v>
      </c>
      <c r="Z25">
        <v>-0.47402094592373162</v>
      </c>
      <c r="AA25">
        <v>-0.26666172000591309</v>
      </c>
      <c r="AB25">
        <v>-0.36105429762281449</v>
      </c>
      <c r="AC25">
        <v>-0.24320733419896781</v>
      </c>
      <c r="AD25">
        <v>1.525905427644124</v>
      </c>
      <c r="AE25">
        <v>1.0674245905881079</v>
      </c>
      <c r="AF25">
        <v>1.514535730815594</v>
      </c>
      <c r="AG25">
        <v>1.8869315302537739</v>
      </c>
      <c r="AH25">
        <v>1.4677442315017251</v>
      </c>
      <c r="AI25">
        <v>1.6795204879581329</v>
      </c>
      <c r="AJ25">
        <v>-0.15221901465469309</v>
      </c>
      <c r="AK25">
        <v>0.59303555508359018</v>
      </c>
      <c r="AL25">
        <v>0.49789019262168072</v>
      </c>
      <c r="AM25">
        <v>-0.19482558466280281</v>
      </c>
      <c r="AN25">
        <v>0.1091372506360824</v>
      </c>
      <c r="AO25">
        <v>-0.84159723261798403</v>
      </c>
      <c r="AP25">
        <v>-0.50448059771273135</v>
      </c>
      <c r="AQ25">
        <v>1.9052497423687671</v>
      </c>
    </row>
    <row r="26" spans="1:43" x14ac:dyDescent="0.3">
      <c r="A26">
        <v>196</v>
      </c>
      <c r="B26">
        <v>2025</v>
      </c>
      <c r="C26" t="s">
        <v>65</v>
      </c>
      <c r="D26">
        <v>21.333333333333329</v>
      </c>
      <c r="E26">
        <v>20.14683247201339</v>
      </c>
      <c r="F26">
        <v>1.186500861319935</v>
      </c>
      <c r="G26">
        <v>1.2630328862534981</v>
      </c>
      <c r="H26">
        <v>0.39254753808758058</v>
      </c>
      <c r="I26">
        <v>-0.59827702199330557</v>
      </c>
      <c r="J26">
        <v>0.27236634553390138</v>
      </c>
      <c r="K26">
        <v>0.30213081591089108</v>
      </c>
      <c r="L26">
        <v>1.7121728387818109</v>
      </c>
      <c r="M26">
        <v>0.28670728362345238</v>
      </c>
      <c r="N26">
        <v>0.13375987742627199</v>
      </c>
      <c r="O26">
        <v>-0.44986375650646182</v>
      </c>
      <c r="P26">
        <v>0.15021832163219809</v>
      </c>
      <c r="Q26">
        <v>1.9052497423687671</v>
      </c>
      <c r="R26">
        <v>1.2630328862534981</v>
      </c>
      <c r="S26">
        <v>9.2569804564363469</v>
      </c>
      <c r="T26">
        <v>0.15551986573479051</v>
      </c>
      <c r="U26">
        <v>9.1014605907015564</v>
      </c>
      <c r="V26">
        <v>0.39254753808758058</v>
      </c>
      <c r="W26">
        <v>4.6758098629890217</v>
      </c>
      <c r="X26">
        <v>8.4774446653113067E-2</v>
      </c>
      <c r="Y26">
        <v>4.5910354163359086</v>
      </c>
      <c r="Z26">
        <v>-0.59827702199330557</v>
      </c>
      <c r="AA26">
        <v>-0.27236634553390138</v>
      </c>
      <c r="AB26">
        <v>-0.36105429762281449</v>
      </c>
      <c r="AC26">
        <v>-0.24320733419896781</v>
      </c>
      <c r="AD26">
        <v>1.7279266342240449</v>
      </c>
      <c r="AE26">
        <v>1.5954364893765289</v>
      </c>
      <c r="AF26">
        <v>1.447431647250687</v>
      </c>
      <c r="AG26">
        <v>1.8506133292995171</v>
      </c>
      <c r="AH26">
        <v>1.663869380198532</v>
      </c>
      <c r="AI26">
        <v>1.987759552341555</v>
      </c>
      <c r="AJ26">
        <v>-0.15374767873737519</v>
      </c>
      <c r="AK26">
        <v>0.65895378050207232</v>
      </c>
      <c r="AL26">
        <v>0.35491574910565998</v>
      </c>
      <c r="AM26">
        <v>-0.13375987742627199</v>
      </c>
      <c r="AN26">
        <v>-0.44986375650646182</v>
      </c>
      <c r="AO26">
        <v>-3.5879207417032072E-2</v>
      </c>
      <c r="AP26">
        <v>0.33631585068142827</v>
      </c>
      <c r="AQ26">
        <v>1.9052497423687671</v>
      </c>
    </row>
    <row r="27" spans="1:43" x14ac:dyDescent="0.3">
      <c r="A27">
        <v>199</v>
      </c>
      <c r="B27">
        <v>2025</v>
      </c>
      <c r="C27" t="s">
        <v>67</v>
      </c>
      <c r="D27">
        <v>10.33333333333333</v>
      </c>
      <c r="E27">
        <v>11.835041459746281</v>
      </c>
      <c r="F27">
        <v>-1.5017081264129519</v>
      </c>
      <c r="G27">
        <v>-0.26157557293617428</v>
      </c>
      <c r="H27">
        <v>0.64492150699692474</v>
      </c>
      <c r="I27">
        <v>-0.99060488550742787</v>
      </c>
      <c r="J27">
        <v>0.10721839044939301</v>
      </c>
      <c r="K27">
        <v>0.30213081591089108</v>
      </c>
      <c r="L27">
        <v>-0.29585497123713922</v>
      </c>
      <c r="M27">
        <v>-0.69937485940542421</v>
      </c>
      <c r="N27">
        <v>-0.53596256963642686</v>
      </c>
      <c r="O27">
        <v>0.15042548139727011</v>
      </c>
      <c r="P27">
        <v>0.1926390283083875</v>
      </c>
      <c r="Q27">
        <v>-0.52486557418804092</v>
      </c>
      <c r="R27">
        <v>-0.26157557293617428</v>
      </c>
      <c r="S27">
        <v>9.2569804564363469</v>
      </c>
      <c r="T27">
        <v>0.15551986573479051</v>
      </c>
      <c r="U27">
        <v>9.1014605907015564</v>
      </c>
      <c r="V27">
        <v>0.64492150699692474</v>
      </c>
      <c r="W27">
        <v>4.6758098629890217</v>
      </c>
      <c r="X27">
        <v>8.4774446653113067E-2</v>
      </c>
      <c r="Y27">
        <v>4.5910354163359086</v>
      </c>
      <c r="Z27">
        <v>-0.99060488550742787</v>
      </c>
      <c r="AA27">
        <v>-0.10721839044939301</v>
      </c>
      <c r="AB27">
        <v>-0.36105429762281449</v>
      </c>
      <c r="AC27">
        <v>-0.24320733419896781</v>
      </c>
      <c r="AD27">
        <v>0.67658031483432624</v>
      </c>
      <c r="AE27">
        <v>-0.8253484516564803</v>
      </c>
      <c r="AF27">
        <v>-0.55430278040968561</v>
      </c>
      <c r="AG27">
        <v>-0.572938903157582</v>
      </c>
      <c r="AH27">
        <v>-7.6281958449888457E-2</v>
      </c>
      <c r="AI27">
        <v>-0.42283804858352492</v>
      </c>
      <c r="AJ27">
        <v>-0.81127371482593702</v>
      </c>
      <c r="AK27">
        <v>-0.14518256887708411</v>
      </c>
      <c r="AL27">
        <v>-1.141668294513251</v>
      </c>
      <c r="AM27">
        <v>0.53596256963642686</v>
      </c>
      <c r="AN27">
        <v>0.15042548139727011</v>
      </c>
      <c r="AO27">
        <v>0.1149819031899719</v>
      </c>
      <c r="AP27">
        <v>0.27029615342680302</v>
      </c>
      <c r="AQ27">
        <v>-0.52486557418804092</v>
      </c>
    </row>
    <row r="28" spans="1:43" x14ac:dyDescent="0.3">
      <c r="A28">
        <v>213</v>
      </c>
      <c r="B28">
        <v>2025</v>
      </c>
      <c r="C28" t="s">
        <v>69</v>
      </c>
      <c r="D28">
        <v>5.6666666666666679</v>
      </c>
      <c r="E28">
        <v>8.5183683761032469</v>
      </c>
      <c r="F28">
        <v>-2.8517017094365791</v>
      </c>
      <c r="G28">
        <v>0.3225681460978565</v>
      </c>
      <c r="H28">
        <v>0.89112084623071464</v>
      </c>
      <c r="I28">
        <v>-0.38731238405648832</v>
      </c>
      <c r="J28">
        <v>-6.8123118875173612</v>
      </c>
      <c r="K28">
        <v>-2.6576951119746899</v>
      </c>
      <c r="L28">
        <v>-0.40125152768504441</v>
      </c>
      <c r="M28">
        <v>0.24807762106206699</v>
      </c>
      <c r="N28">
        <v>-0.57763616420184827</v>
      </c>
      <c r="O28">
        <v>0.16349857920483679</v>
      </c>
      <c r="P28">
        <v>-1.451489763851471E-2</v>
      </c>
      <c r="Q28">
        <v>-0.52486557418804092</v>
      </c>
      <c r="R28">
        <v>0.3225681460978565</v>
      </c>
      <c r="S28">
        <v>9.2569804564363469</v>
      </c>
      <c r="T28">
        <v>0.15551986573479051</v>
      </c>
      <c r="U28">
        <v>9.1014605907015564</v>
      </c>
      <c r="V28">
        <v>0.89112084623071464</v>
      </c>
      <c r="W28">
        <v>4.6758098629890217</v>
      </c>
      <c r="X28">
        <v>8.4774446653113067E-2</v>
      </c>
      <c r="Y28">
        <v>4.5910354163359086</v>
      </c>
      <c r="Z28">
        <v>-0.38731238405648832</v>
      </c>
      <c r="AA28">
        <v>6.8123118875173612</v>
      </c>
      <c r="AB28">
        <v>2.7696665199223802</v>
      </c>
      <c r="AC28">
        <v>2.545723704027</v>
      </c>
      <c r="AD28">
        <v>0.44134365120974078</v>
      </c>
      <c r="AE28">
        <v>-0.1817980351939521</v>
      </c>
      <c r="AF28">
        <v>-0.68936678981524024</v>
      </c>
      <c r="AG28">
        <v>-0.86690644898274105</v>
      </c>
      <c r="AH28">
        <v>-0.61038354871490752</v>
      </c>
      <c r="AI28">
        <v>-0.50039799461316647</v>
      </c>
      <c r="AJ28">
        <v>0.16962742491712671</v>
      </c>
      <c r="AK28">
        <v>0.2290415493935479</v>
      </c>
      <c r="AL28">
        <v>0.34556388887552641</v>
      </c>
      <c r="AM28">
        <v>0.57763616420184827</v>
      </c>
      <c r="AN28">
        <v>0.16349857920483679</v>
      </c>
      <c r="AO28">
        <v>-0.35938737729837777</v>
      </c>
      <c r="AP28">
        <v>0.33035758202134841</v>
      </c>
      <c r="AQ28">
        <v>-0.52486557418804092</v>
      </c>
    </row>
    <row r="29" spans="1:43" x14ac:dyDescent="0.3">
      <c r="A29">
        <v>218</v>
      </c>
      <c r="B29">
        <v>2025</v>
      </c>
      <c r="C29" t="s">
        <v>73</v>
      </c>
      <c r="D29">
        <v>3.6666666666666679</v>
      </c>
      <c r="E29">
        <v>5.8755298865392529</v>
      </c>
      <c r="F29">
        <v>-2.208863219872585</v>
      </c>
      <c r="G29">
        <v>-0.54654873029816964</v>
      </c>
      <c r="H29">
        <v>-0.40458578651595573</v>
      </c>
      <c r="I29">
        <v>-1.0103516346709791</v>
      </c>
      <c r="J29">
        <v>-0.74028236453142138</v>
      </c>
      <c r="K29">
        <v>0.30213081591089108</v>
      </c>
      <c r="L29">
        <v>-0.99291646007805179</v>
      </c>
      <c r="M29">
        <v>-0.99802822865629137</v>
      </c>
      <c r="N29">
        <v>-0.99062148634517477</v>
      </c>
      <c r="O29">
        <v>9.8618920988451278E-2</v>
      </c>
      <c r="P29">
        <v>-3.3590277669119688</v>
      </c>
      <c r="Q29">
        <v>-0.52486557418804092</v>
      </c>
      <c r="R29">
        <v>-0.54654873029816964</v>
      </c>
      <c r="S29">
        <v>9.2569804564363469</v>
      </c>
      <c r="T29">
        <v>0.15551986573479051</v>
      </c>
      <c r="U29">
        <v>9.1014605907015564</v>
      </c>
      <c r="V29">
        <v>-0.40458578651595573</v>
      </c>
      <c r="W29">
        <v>4.6758098629890217</v>
      </c>
      <c r="X29">
        <v>8.4774446653113067E-2</v>
      </c>
      <c r="Y29">
        <v>4.5910354163359086</v>
      </c>
      <c r="Z29">
        <v>-1.0103516346709791</v>
      </c>
      <c r="AA29">
        <v>0.74028236453142138</v>
      </c>
      <c r="AB29">
        <v>-0.36105429762281449</v>
      </c>
      <c r="AC29">
        <v>-0.24320733419896781</v>
      </c>
      <c r="AD29">
        <v>-0.44968671319767922</v>
      </c>
      <c r="AE29">
        <v>-0.40383873886621308</v>
      </c>
      <c r="AF29">
        <v>-0.98282211170224909</v>
      </c>
      <c r="AG29">
        <v>-1.655762577934252</v>
      </c>
      <c r="AH29">
        <v>-1.479142397403322</v>
      </c>
      <c r="AI29">
        <v>-0.98624622136459561</v>
      </c>
      <c r="AJ29">
        <v>-2.137778237589711</v>
      </c>
      <c r="AK29">
        <v>-0.35737490401642852</v>
      </c>
      <c r="AL29">
        <v>-0.49893154436273512</v>
      </c>
      <c r="AM29">
        <v>0.99062148634517477</v>
      </c>
      <c r="AN29">
        <v>9.8618920988451278E-2</v>
      </c>
      <c r="AO29">
        <v>-3.57260997162019</v>
      </c>
      <c r="AP29">
        <v>-3.145445562203748</v>
      </c>
      <c r="AQ29">
        <v>-0.52486557418804092</v>
      </c>
    </row>
    <row r="30" spans="1:43" x14ac:dyDescent="0.3">
      <c r="A30">
        <v>223</v>
      </c>
      <c r="B30">
        <v>2025</v>
      </c>
      <c r="C30" t="s">
        <v>75</v>
      </c>
      <c r="D30">
        <v>11.33333333333333</v>
      </c>
      <c r="E30">
        <v>12.724257155984461</v>
      </c>
      <c r="F30">
        <v>-1.390923822651134</v>
      </c>
      <c r="G30">
        <v>8.9894832613527778E-2</v>
      </c>
      <c r="H30">
        <v>1.5146906119176631</v>
      </c>
      <c r="I30">
        <v>-0.4221529844442326</v>
      </c>
      <c r="J30">
        <v>-1.4162303895298021E-2</v>
      </c>
      <c r="K30">
        <v>0.30213081591089108</v>
      </c>
      <c r="L30">
        <v>-0.48766702834522663</v>
      </c>
      <c r="M30">
        <v>-0.44567743410094812</v>
      </c>
      <c r="N30">
        <v>-0.92722205781298039</v>
      </c>
      <c r="O30">
        <v>-7.42352518457223E-2</v>
      </c>
      <c r="P30">
        <v>0.51179255357932329</v>
      </c>
      <c r="Q30">
        <v>-0.52486557418804092</v>
      </c>
      <c r="R30">
        <v>8.9894832613527778E-2</v>
      </c>
      <c r="S30">
        <v>9.2569804564363469</v>
      </c>
      <c r="T30">
        <v>0.15551986573479051</v>
      </c>
      <c r="U30">
        <v>9.1014605907015564</v>
      </c>
      <c r="V30">
        <v>1.5146906119176631</v>
      </c>
      <c r="W30">
        <v>4.6758098629890217</v>
      </c>
      <c r="X30">
        <v>8.4774446653113067E-2</v>
      </c>
      <c r="Y30">
        <v>4.5910354163359086</v>
      </c>
      <c r="Z30">
        <v>-0.4221529844442326</v>
      </c>
      <c r="AA30">
        <v>1.4162303895298021E-2</v>
      </c>
      <c r="AB30">
        <v>-0.36105429762281449</v>
      </c>
      <c r="AC30">
        <v>-0.24320733419896781</v>
      </c>
      <c r="AD30">
        <v>0.2728991695278008</v>
      </c>
      <c r="AE30">
        <v>-0.51790986917049575</v>
      </c>
      <c r="AF30">
        <v>-0.87895937835187343</v>
      </c>
      <c r="AG30">
        <v>-0.65559693885245973</v>
      </c>
      <c r="AH30">
        <v>-0.50075702195325933</v>
      </c>
      <c r="AI30">
        <v>-0.64567813127107199</v>
      </c>
      <c r="AJ30">
        <v>-0.97484077167287875</v>
      </c>
      <c r="AK30">
        <v>0.83987827154428918</v>
      </c>
      <c r="AL30">
        <v>-1.2020698021742551</v>
      </c>
      <c r="AM30">
        <v>0.92722205781298039</v>
      </c>
      <c r="AN30">
        <v>-7.42352518457223E-2</v>
      </c>
      <c r="AO30">
        <v>0.22759969226026411</v>
      </c>
      <c r="AP30">
        <v>0.79598541489838259</v>
      </c>
      <c r="AQ30">
        <v>-0.52486557418804092</v>
      </c>
    </row>
    <row r="31" spans="1:43" x14ac:dyDescent="0.3">
      <c r="A31">
        <v>228</v>
      </c>
      <c r="B31">
        <v>2025</v>
      </c>
      <c r="C31" t="s">
        <v>76</v>
      </c>
      <c r="D31">
        <v>16.666666666666671</v>
      </c>
      <c r="E31">
        <v>15.923478732668791</v>
      </c>
      <c r="F31">
        <v>0.74318793399788419</v>
      </c>
      <c r="G31">
        <v>0.45918163672418322</v>
      </c>
      <c r="H31">
        <v>0.53765649390506476</v>
      </c>
      <c r="I31">
        <v>-0.4453363914691606</v>
      </c>
      <c r="J31">
        <v>-1.10715034420067E-2</v>
      </c>
      <c r="K31">
        <v>0.30213081591089108</v>
      </c>
      <c r="L31">
        <v>0.62328808978243944</v>
      </c>
      <c r="M31">
        <v>2.9304873376256761E-2</v>
      </c>
      <c r="N31">
        <v>0.42541947459146778</v>
      </c>
      <c r="O31">
        <v>-0.25146559660389262</v>
      </c>
      <c r="P31">
        <v>0.29848933526547072</v>
      </c>
      <c r="Q31">
        <v>-0.52486557418804092</v>
      </c>
      <c r="R31">
        <v>0.45918163672418322</v>
      </c>
      <c r="S31">
        <v>9.2569804564363469</v>
      </c>
      <c r="T31">
        <v>0.15551986573479051</v>
      </c>
      <c r="U31">
        <v>9.1014605907015564</v>
      </c>
      <c r="V31">
        <v>0.53765649390506476</v>
      </c>
      <c r="W31">
        <v>4.6758098629890217</v>
      </c>
      <c r="X31">
        <v>8.4774446653113067E-2</v>
      </c>
      <c r="Y31">
        <v>4.5910354163359086</v>
      </c>
      <c r="Z31">
        <v>-0.4453363914691606</v>
      </c>
      <c r="AA31">
        <v>1.10715034420067E-2</v>
      </c>
      <c r="AB31">
        <v>-0.36105429762281449</v>
      </c>
      <c r="AC31">
        <v>-0.24320733419896781</v>
      </c>
      <c r="AD31">
        <v>0.98104548836297223</v>
      </c>
      <c r="AE31">
        <v>0.13353836814804071</v>
      </c>
      <c r="AF31">
        <v>0.53734756675578732</v>
      </c>
      <c r="AG31">
        <v>0.7324970128737911</v>
      </c>
      <c r="AH31">
        <v>0.5027312206477248</v>
      </c>
      <c r="AI31">
        <v>0.85256888190632052</v>
      </c>
      <c r="AJ31">
        <v>9.167816369407061E-3</v>
      </c>
      <c r="AK31">
        <v>-0.38625022178422419</v>
      </c>
      <c r="AL31">
        <v>0.46499702554358752</v>
      </c>
      <c r="AM31">
        <v>-0.42541947459146778</v>
      </c>
      <c r="AN31">
        <v>-0.25146559660389262</v>
      </c>
      <c r="AO31">
        <v>0.19688964030164471</v>
      </c>
      <c r="AP31">
        <v>0.40008903022929682</v>
      </c>
      <c r="AQ31">
        <v>-0.52486557418804092</v>
      </c>
    </row>
    <row r="32" spans="1:43" x14ac:dyDescent="0.3">
      <c r="A32">
        <v>233</v>
      </c>
      <c r="B32">
        <v>2025</v>
      </c>
      <c r="C32" t="s">
        <v>78</v>
      </c>
      <c r="D32">
        <v>12</v>
      </c>
      <c r="E32">
        <v>12.133574228073041</v>
      </c>
      <c r="F32">
        <v>-0.13357422807303901</v>
      </c>
      <c r="G32">
        <v>-9.9412446647162714E-2</v>
      </c>
      <c r="H32">
        <v>0.65909591345949203</v>
      </c>
      <c r="I32">
        <v>-0.26279434858550282</v>
      </c>
      <c r="J32">
        <v>-9.8586945906498455E-2</v>
      </c>
      <c r="K32">
        <v>0.30213081591089108</v>
      </c>
      <c r="L32">
        <v>-0.41284554999491951</v>
      </c>
      <c r="M32">
        <v>-0.54125249650950957</v>
      </c>
      <c r="N32">
        <v>-2.271057896869691E-2</v>
      </c>
      <c r="O32">
        <v>-0.23000037171708679</v>
      </c>
      <c r="P32">
        <v>0.43953478643456528</v>
      </c>
      <c r="Q32">
        <v>-0.52486557418804092</v>
      </c>
      <c r="R32">
        <v>-9.9412446647162714E-2</v>
      </c>
      <c r="S32">
        <v>9.2569804564363469</v>
      </c>
      <c r="T32">
        <v>0.15551986573479051</v>
      </c>
      <c r="U32">
        <v>9.1014605907015564</v>
      </c>
      <c r="V32">
        <v>0.65909591345949203</v>
      </c>
      <c r="W32">
        <v>4.6758098629890217</v>
      </c>
      <c r="X32">
        <v>8.4774446653113067E-2</v>
      </c>
      <c r="Y32">
        <v>4.5910354163359086</v>
      </c>
      <c r="Z32">
        <v>-0.26279434858550282</v>
      </c>
      <c r="AA32">
        <v>9.8586945906498455E-2</v>
      </c>
      <c r="AB32">
        <v>-0.36105429762281449</v>
      </c>
      <c r="AC32">
        <v>-0.24320733419896781</v>
      </c>
      <c r="AD32">
        <v>7.4826263776881854E-2</v>
      </c>
      <c r="AE32">
        <v>-0.88714256150669202</v>
      </c>
      <c r="AF32">
        <v>-0.3514670408471548</v>
      </c>
      <c r="AG32">
        <v>-0.20413278544297581</v>
      </c>
      <c r="AH32">
        <v>-0.66136508432156016</v>
      </c>
      <c r="AI32">
        <v>-0.44779209162801598</v>
      </c>
      <c r="AJ32">
        <v>-0.66444678268770674</v>
      </c>
      <c r="AK32">
        <v>-0.15318515694415899</v>
      </c>
      <c r="AL32">
        <v>-0.80612554989666296</v>
      </c>
      <c r="AM32">
        <v>2.271057896869691E-2</v>
      </c>
      <c r="AN32">
        <v>-0.23000037171708679</v>
      </c>
      <c r="AO32">
        <v>0.14822453060872201</v>
      </c>
      <c r="AP32">
        <v>0.73084504226040869</v>
      </c>
      <c r="AQ32">
        <v>-0.52486557418804092</v>
      </c>
    </row>
    <row r="33" spans="1:43" x14ac:dyDescent="0.3">
      <c r="A33">
        <v>238</v>
      </c>
      <c r="B33">
        <v>2025</v>
      </c>
      <c r="C33" t="s">
        <v>80</v>
      </c>
      <c r="D33">
        <v>10.66666666666667</v>
      </c>
      <c r="E33">
        <v>13.75966349033143</v>
      </c>
      <c r="F33">
        <v>-3.0929968236647611</v>
      </c>
      <c r="G33">
        <v>0.53996142971352779</v>
      </c>
      <c r="H33">
        <v>-9.8394754940618598E-2</v>
      </c>
      <c r="I33">
        <v>0.13359388565049951</v>
      </c>
      <c r="J33">
        <v>0.44671038591770951</v>
      </c>
      <c r="K33">
        <v>0.30213081591089108</v>
      </c>
      <c r="L33">
        <v>0.54861199126050308</v>
      </c>
      <c r="M33">
        <v>-1.2637335400296661</v>
      </c>
      <c r="N33">
        <v>-4.4603107313731731E-2</v>
      </c>
      <c r="O33">
        <v>-5.602860326703387E-2</v>
      </c>
      <c r="P33">
        <v>0.31043200509167462</v>
      </c>
      <c r="Q33">
        <v>-0.52486557418804092</v>
      </c>
      <c r="R33">
        <v>0.53996142971352779</v>
      </c>
      <c r="S33">
        <v>9.2569804564363469</v>
      </c>
      <c r="T33">
        <v>0.15551986573479051</v>
      </c>
      <c r="U33">
        <v>9.1014605907015564</v>
      </c>
      <c r="V33">
        <v>-9.8394754940618598E-2</v>
      </c>
      <c r="W33">
        <v>4.6758098629890217</v>
      </c>
      <c r="X33">
        <v>8.4774446653113067E-2</v>
      </c>
      <c r="Y33">
        <v>4.5910354163359086</v>
      </c>
      <c r="Z33">
        <v>0.13359388565049951</v>
      </c>
      <c r="AA33">
        <v>-0.44671038591770951</v>
      </c>
      <c r="AB33">
        <v>-0.36105429762281449</v>
      </c>
      <c r="AC33">
        <v>-0.24320733419896781</v>
      </c>
      <c r="AD33">
        <v>1.038978802729672</v>
      </c>
      <c r="AE33">
        <v>1.147706346200438</v>
      </c>
      <c r="AF33">
        <v>2.5007222211336711E-2</v>
      </c>
      <c r="AG33">
        <v>0.29844124598713051</v>
      </c>
      <c r="AH33">
        <v>0.249384815877464</v>
      </c>
      <c r="AI33">
        <v>0.53215351455697768</v>
      </c>
      <c r="AJ33">
        <v>-0.29929654746221568</v>
      </c>
      <c r="AK33">
        <v>-1.210186789061297</v>
      </c>
      <c r="AL33">
        <v>-2.281717283565484</v>
      </c>
      <c r="AM33">
        <v>4.4603107313731731E-2</v>
      </c>
      <c r="AN33">
        <v>-5.602860326703387E-2</v>
      </c>
      <c r="AO33">
        <v>0.2310899068362052</v>
      </c>
      <c r="AP33">
        <v>0.38977410334714407</v>
      </c>
      <c r="AQ33">
        <v>-0.52486557418804092</v>
      </c>
    </row>
    <row r="34" spans="1:43" x14ac:dyDescent="0.3">
      <c r="A34">
        <v>243</v>
      </c>
      <c r="B34">
        <v>2025</v>
      </c>
      <c r="C34" t="s">
        <v>81</v>
      </c>
      <c r="D34">
        <v>10.66666666666667</v>
      </c>
      <c r="E34">
        <v>11.84614963358365</v>
      </c>
      <c r="F34">
        <v>-1.17948296691698</v>
      </c>
      <c r="G34">
        <v>0.18080535200561601</v>
      </c>
      <c r="H34">
        <v>2.3945838635411072E-2</v>
      </c>
      <c r="I34">
        <v>0.38175675858776598</v>
      </c>
      <c r="J34">
        <v>-3.6866331916389342E-2</v>
      </c>
      <c r="K34">
        <v>0.30213081591089108</v>
      </c>
      <c r="L34">
        <v>-0.1132081288615038</v>
      </c>
      <c r="M34">
        <v>-0.95440400140767367</v>
      </c>
      <c r="N34">
        <v>-5.2965608623193008E-2</v>
      </c>
      <c r="O34">
        <v>-0.18889317297301669</v>
      </c>
      <c r="P34">
        <v>0.14353979448781151</v>
      </c>
      <c r="Q34">
        <v>-0.52486557418804092</v>
      </c>
      <c r="R34">
        <v>0.18080535200561601</v>
      </c>
      <c r="S34">
        <v>9.2569804564363469</v>
      </c>
      <c r="T34">
        <v>0.15551986573479051</v>
      </c>
      <c r="U34">
        <v>9.1014605907015564</v>
      </c>
      <c r="V34">
        <v>2.3945838635411072E-2</v>
      </c>
      <c r="W34">
        <v>4.6758098629890217</v>
      </c>
      <c r="X34">
        <v>8.4774446653113067E-2</v>
      </c>
      <c r="Y34">
        <v>4.5910354163359086</v>
      </c>
      <c r="Z34">
        <v>0.38175675858776598</v>
      </c>
      <c r="AA34">
        <v>3.6866331916389342E-2</v>
      </c>
      <c r="AB34">
        <v>-0.36105429762281449</v>
      </c>
      <c r="AC34">
        <v>-0.24320733419896781</v>
      </c>
      <c r="AD34">
        <v>0.2093795837255456</v>
      </c>
      <c r="AE34">
        <v>0.25654298146176929</v>
      </c>
      <c r="AF34">
        <v>-0.1230422893674714</v>
      </c>
      <c r="AG34">
        <v>-0.12445829824727971</v>
      </c>
      <c r="AH34">
        <v>-0.30711723117615453</v>
      </c>
      <c r="AI34">
        <v>-0.59055351956543234</v>
      </c>
      <c r="AJ34">
        <v>-0.24812389079277289</v>
      </c>
      <c r="AK34">
        <v>-1.1061531441893251</v>
      </c>
      <c r="AL34">
        <v>-1.5089349692409231</v>
      </c>
      <c r="AM34">
        <v>5.2965608623193008E-2</v>
      </c>
      <c r="AN34">
        <v>-0.18889317297301669</v>
      </c>
      <c r="AO34">
        <v>5.6121864260191841E-2</v>
      </c>
      <c r="AP34">
        <v>0.23095772471543119</v>
      </c>
      <c r="AQ34">
        <v>-0.52486557418804092</v>
      </c>
    </row>
    <row r="35" spans="1:43" x14ac:dyDescent="0.3">
      <c r="A35">
        <v>248</v>
      </c>
      <c r="B35">
        <v>2025</v>
      </c>
      <c r="C35" t="s">
        <v>83</v>
      </c>
      <c r="D35">
        <v>5.6666666666666679</v>
      </c>
      <c r="E35">
        <v>8.7027359829554172</v>
      </c>
      <c r="F35">
        <v>-3.0360693162887489</v>
      </c>
      <c r="G35">
        <v>-0.20191735366927069</v>
      </c>
      <c r="H35">
        <v>2.7078169566202102E-2</v>
      </c>
      <c r="I35">
        <v>-0.56998540664085162</v>
      </c>
      <c r="J35">
        <v>0.57305162419978173</v>
      </c>
      <c r="K35">
        <v>-2.6576951119746899</v>
      </c>
      <c r="L35">
        <v>-0.76690151746735369</v>
      </c>
      <c r="M35">
        <v>0.56654379927089094</v>
      </c>
      <c r="N35">
        <v>0.1193408137066362</v>
      </c>
      <c r="O35">
        <v>0.60815200582085949</v>
      </c>
      <c r="P35">
        <v>-0.42264604458054061</v>
      </c>
      <c r="Q35">
        <v>-0.52486557418804092</v>
      </c>
      <c r="R35">
        <v>-0.20191735366927069</v>
      </c>
      <c r="S35">
        <v>9.2569804564363469</v>
      </c>
      <c r="T35">
        <v>0.15551986573479051</v>
      </c>
      <c r="U35">
        <v>9.1014605907015564</v>
      </c>
      <c r="V35">
        <v>2.7078169566202102E-2</v>
      </c>
      <c r="W35">
        <v>4.6758098629890217</v>
      </c>
      <c r="X35">
        <v>8.4774446653113067E-2</v>
      </c>
      <c r="Y35">
        <v>4.5910354163359086</v>
      </c>
      <c r="Z35">
        <v>-0.56998540664085162</v>
      </c>
      <c r="AA35">
        <v>-0.57305162419978173</v>
      </c>
      <c r="AB35">
        <v>2.7696665199223802</v>
      </c>
      <c r="AC35">
        <v>2.545723704027</v>
      </c>
      <c r="AD35">
        <v>-0.223024585968188</v>
      </c>
      <c r="AE35">
        <v>-0.43368398678906889</v>
      </c>
      <c r="AF35">
        <v>-0.8201269431692384</v>
      </c>
      <c r="AG35">
        <v>-1.1345581203219699</v>
      </c>
      <c r="AH35">
        <v>-1.1981056884433841</v>
      </c>
      <c r="AI35">
        <v>-0.79190978011227353</v>
      </c>
      <c r="AJ35">
        <v>0.61336603003261481</v>
      </c>
      <c r="AK35">
        <v>0.60978323938891132</v>
      </c>
      <c r="AL35">
        <v>0.47648212839114662</v>
      </c>
      <c r="AM35">
        <v>-0.1193408137066362</v>
      </c>
      <c r="AN35">
        <v>0.60815200582085949</v>
      </c>
      <c r="AO35">
        <v>-0.50319305707954687</v>
      </c>
      <c r="AP35">
        <v>-0.34209903208153419</v>
      </c>
      <c r="AQ35">
        <v>-0.52486557418804092</v>
      </c>
    </row>
    <row r="36" spans="1:43" x14ac:dyDescent="0.3">
      <c r="A36">
        <v>253</v>
      </c>
      <c r="B36">
        <v>2025</v>
      </c>
      <c r="C36" t="s">
        <v>84</v>
      </c>
      <c r="D36">
        <v>7</v>
      </c>
      <c r="E36">
        <v>6.2972929892226421</v>
      </c>
      <c r="F36">
        <v>0.70270701077735787</v>
      </c>
      <c r="G36">
        <v>-0.37503707881415349</v>
      </c>
      <c r="H36">
        <v>-0.6367793795411345</v>
      </c>
      <c r="I36">
        <v>-0.22341311857329049</v>
      </c>
      <c r="J36">
        <v>0.46462558113771352</v>
      </c>
      <c r="K36">
        <v>-3.1881896902688212</v>
      </c>
      <c r="L36">
        <v>-0.4763735947240284</v>
      </c>
      <c r="M36">
        <v>-0.45879304524499198</v>
      </c>
      <c r="N36">
        <v>-0.82159338678782545</v>
      </c>
      <c r="O36">
        <v>-5.4709655713748202E-2</v>
      </c>
      <c r="P36">
        <v>2.7044444974251621E-2</v>
      </c>
      <c r="Q36">
        <v>-0.52486557418804092</v>
      </c>
      <c r="R36">
        <v>-0.37503707881415349</v>
      </c>
      <c r="S36">
        <v>9.2569804564363469</v>
      </c>
      <c r="T36">
        <v>0.15551986573479051</v>
      </c>
      <c r="U36">
        <v>9.1014605907015564</v>
      </c>
      <c r="V36">
        <v>-0.6367793795411345</v>
      </c>
      <c r="W36">
        <v>4.6758098629890217</v>
      </c>
      <c r="X36">
        <v>8.4774446653113067E-2</v>
      </c>
      <c r="Y36">
        <v>4.5910354163359086</v>
      </c>
      <c r="Z36">
        <v>-0.22341311857329049</v>
      </c>
      <c r="AA36">
        <v>-0.46462558113771352</v>
      </c>
      <c r="AB36">
        <v>2.7696665199223802</v>
      </c>
      <c r="AC36">
        <v>3.6067128606152621</v>
      </c>
      <c r="AD36">
        <v>-0.68300107503485974</v>
      </c>
      <c r="AE36">
        <v>-2.650850791462744E-2</v>
      </c>
      <c r="AF36">
        <v>-0.20996517076271071</v>
      </c>
      <c r="AG36">
        <v>-0.66857486374783448</v>
      </c>
      <c r="AH36">
        <v>-0.56582332695526705</v>
      </c>
      <c r="AI36">
        <v>-0.70436862392887101</v>
      </c>
      <c r="AJ36">
        <v>-0.27506346274167143</v>
      </c>
      <c r="AK36">
        <v>-0.13709747990210139</v>
      </c>
      <c r="AL36">
        <v>-0.96421819309120338</v>
      </c>
      <c r="AM36">
        <v>0.82159338678782545</v>
      </c>
      <c r="AN36">
        <v>-5.4709655713748202E-2</v>
      </c>
      <c r="AO36">
        <v>0.1352511564887057</v>
      </c>
      <c r="AP36">
        <v>-8.1162266540202463E-2</v>
      </c>
      <c r="AQ36">
        <v>-0.52486557418804092</v>
      </c>
    </row>
    <row r="37" spans="1:43" x14ac:dyDescent="0.3">
      <c r="A37">
        <v>258</v>
      </c>
      <c r="B37">
        <v>2025</v>
      </c>
      <c r="C37" t="s">
        <v>86</v>
      </c>
      <c r="D37">
        <v>12</v>
      </c>
      <c r="E37">
        <v>10.68970401838909</v>
      </c>
      <c r="F37">
        <v>1.3102959816109061</v>
      </c>
      <c r="G37">
        <v>-0.28341594753762361</v>
      </c>
      <c r="H37">
        <v>-1.313491114980795E-2</v>
      </c>
      <c r="I37">
        <v>0.17197093795730009</v>
      </c>
      <c r="J37">
        <v>9.8403885452969242E-2</v>
      </c>
      <c r="K37">
        <v>0.30213081591089108</v>
      </c>
      <c r="L37">
        <v>-0.93160878685046911</v>
      </c>
      <c r="M37">
        <v>-0.65126763839606838</v>
      </c>
      <c r="N37">
        <v>0.86332560628491606</v>
      </c>
      <c r="O37">
        <v>0.49818798628025829</v>
      </c>
      <c r="P37">
        <v>0.5302781368133882</v>
      </c>
      <c r="Q37">
        <v>-0.52486557418804092</v>
      </c>
      <c r="R37">
        <v>-0.28341594753762361</v>
      </c>
      <c r="S37">
        <v>9.2569804564363469</v>
      </c>
      <c r="T37">
        <v>0.15551986573479051</v>
      </c>
      <c r="U37">
        <v>9.1014605907015564</v>
      </c>
      <c r="V37">
        <v>-1.313491114980795E-2</v>
      </c>
      <c r="W37">
        <v>4.6758098629890217</v>
      </c>
      <c r="X37">
        <v>8.4774446653113067E-2</v>
      </c>
      <c r="Y37">
        <v>4.5910354163359086</v>
      </c>
      <c r="Z37">
        <v>0.17197093795730009</v>
      </c>
      <c r="AA37">
        <v>-9.8403885452969242E-2</v>
      </c>
      <c r="AB37">
        <v>-0.36105429762281449</v>
      </c>
      <c r="AC37">
        <v>-0.24320733419896781</v>
      </c>
      <c r="AD37">
        <v>-0.74907964146477968</v>
      </c>
      <c r="AE37">
        <v>-0.32153708328026132</v>
      </c>
      <c r="AF37">
        <v>-1.2714851649300809</v>
      </c>
      <c r="AG37">
        <v>-0.64864289718497226</v>
      </c>
      <c r="AH37">
        <v>-1.3243463977188381</v>
      </c>
      <c r="AI37">
        <v>-1.274561536523882</v>
      </c>
      <c r="AJ37">
        <v>3.4453423900978102E-2</v>
      </c>
      <c r="AK37">
        <v>-1.4028264090264491</v>
      </c>
      <c r="AL37">
        <v>-0.58542993006273458</v>
      </c>
      <c r="AM37">
        <v>-0.86332560628491606</v>
      </c>
      <c r="AN37">
        <v>0.49818798628025829</v>
      </c>
      <c r="AO37">
        <v>0.48068448222504923</v>
      </c>
      <c r="AP37">
        <v>0.57987179140172718</v>
      </c>
      <c r="AQ37">
        <v>-0.52486557418804092</v>
      </c>
    </row>
    <row r="38" spans="1:43" x14ac:dyDescent="0.3">
      <c r="A38">
        <v>268</v>
      </c>
      <c r="B38">
        <v>2025</v>
      </c>
      <c r="C38" t="s">
        <v>87</v>
      </c>
      <c r="D38">
        <v>9.5</v>
      </c>
      <c r="E38">
        <v>8.9685337363786388</v>
      </c>
      <c r="F38">
        <v>0.53146626362136118</v>
      </c>
      <c r="G38">
        <v>-0.72301251815494683</v>
      </c>
      <c r="H38">
        <v>-0.59752197557705977</v>
      </c>
      <c r="I38">
        <v>5.4438486523957927E-2</v>
      </c>
      <c r="J38">
        <v>-4.949663994156752E-2</v>
      </c>
      <c r="K38">
        <v>0.30213081591089108</v>
      </c>
      <c r="L38">
        <v>-0.99174470856638308</v>
      </c>
      <c r="M38">
        <v>0.1028037641732685</v>
      </c>
      <c r="N38">
        <v>0.36001971352013318</v>
      </c>
      <c r="O38">
        <v>-0.20177230790510031</v>
      </c>
      <c r="P38">
        <v>0.41999265032779992</v>
      </c>
      <c r="Q38">
        <v>-0.52486557418804092</v>
      </c>
      <c r="R38">
        <v>-0.72301251815494683</v>
      </c>
      <c r="S38">
        <v>9.2569804564363469</v>
      </c>
      <c r="T38">
        <v>0.15551986573479051</v>
      </c>
      <c r="U38">
        <v>9.1014605907015564</v>
      </c>
      <c r="V38">
        <v>-0.59752197557705977</v>
      </c>
      <c r="W38">
        <v>4.6758098629890217</v>
      </c>
      <c r="X38">
        <v>8.4774446653113067E-2</v>
      </c>
      <c r="Y38">
        <v>4.5910354163359086</v>
      </c>
      <c r="Z38">
        <v>5.4438486523957927E-2</v>
      </c>
      <c r="AA38">
        <v>4.949663994156752E-2</v>
      </c>
      <c r="AB38">
        <v>-0.36105429762281449</v>
      </c>
      <c r="AC38">
        <v>-0.24320733419896781</v>
      </c>
      <c r="AD38">
        <v>-0.65988104744678677</v>
      </c>
      <c r="AE38">
        <v>-0.57848175416988357</v>
      </c>
      <c r="AF38">
        <v>-1.1572862317390731</v>
      </c>
      <c r="AG38">
        <v>-0.94453549619098909</v>
      </c>
      <c r="AH38">
        <v>-1.345547693487815</v>
      </c>
      <c r="AI38">
        <v>-1.264736028363751</v>
      </c>
      <c r="AJ38">
        <v>0.2120791782952052</v>
      </c>
      <c r="AK38">
        <v>-0.42444814214562238</v>
      </c>
      <c r="AL38">
        <v>0.52078025637022252</v>
      </c>
      <c r="AM38">
        <v>-0.36001971352013318</v>
      </c>
      <c r="AN38">
        <v>-0.20177230790510031</v>
      </c>
      <c r="AO38">
        <v>0.48805368275188887</v>
      </c>
      <c r="AP38">
        <v>0.35193161790371102</v>
      </c>
      <c r="AQ38">
        <v>-0.52486557418804092</v>
      </c>
    </row>
    <row r="39" spans="1:43" x14ac:dyDescent="0.3">
      <c r="A39">
        <v>273</v>
      </c>
      <c r="B39">
        <v>2025</v>
      </c>
      <c r="C39" t="s">
        <v>89</v>
      </c>
      <c r="D39">
        <v>13.66666666666667</v>
      </c>
      <c r="E39">
        <v>12.53422359082469</v>
      </c>
      <c r="F39">
        <v>1.1324430758419819</v>
      </c>
      <c r="G39">
        <v>0.30150100731644791</v>
      </c>
      <c r="H39">
        <v>1.4145051017935479</v>
      </c>
      <c r="I39">
        <v>-0.74837975900215847</v>
      </c>
      <c r="J39">
        <v>6.8984044101269654E-2</v>
      </c>
      <c r="K39">
        <v>0.30213081591089108</v>
      </c>
      <c r="L39">
        <v>-0.71266744165126983</v>
      </c>
      <c r="M39">
        <v>-0.81573936621925969</v>
      </c>
      <c r="N39">
        <v>-2.237719021217352E-2</v>
      </c>
      <c r="O39">
        <v>0.15902450221035799</v>
      </c>
      <c r="P39">
        <v>7.4899556279062057E-2</v>
      </c>
      <c r="Q39">
        <v>-0.52486557418804092</v>
      </c>
      <c r="R39">
        <v>0.30150100731644791</v>
      </c>
      <c r="S39">
        <v>9.2569804564363469</v>
      </c>
      <c r="T39">
        <v>0.15551986573479051</v>
      </c>
      <c r="U39">
        <v>9.1014605907015564</v>
      </c>
      <c r="V39">
        <v>1.4145051017935479</v>
      </c>
      <c r="W39">
        <v>4.6758098629890217</v>
      </c>
      <c r="X39">
        <v>8.4774446653113067E-2</v>
      </c>
      <c r="Y39">
        <v>4.5910354163359086</v>
      </c>
      <c r="Z39">
        <v>-0.74837975900215847</v>
      </c>
      <c r="AA39">
        <v>-6.8984044101269654E-2</v>
      </c>
      <c r="AB39">
        <v>-0.36105429762281449</v>
      </c>
      <c r="AC39">
        <v>-0.24320733419896781</v>
      </c>
      <c r="AD39">
        <v>-0.28231599985754352</v>
      </c>
      <c r="AE39">
        <v>-0.78363375006980251</v>
      </c>
      <c r="AF39">
        <v>-0.48867401657926512</v>
      </c>
      <c r="AG39">
        <v>-0.51421058458404356</v>
      </c>
      <c r="AH39">
        <v>-1.0354270317338521</v>
      </c>
      <c r="AI39">
        <v>-1.1717432670831121</v>
      </c>
      <c r="AJ39">
        <v>-0.38159380725773501</v>
      </c>
      <c r="AK39">
        <v>-0.42882069026474579</v>
      </c>
      <c r="AL39">
        <v>-1.636803601135298</v>
      </c>
      <c r="AM39">
        <v>2.237719021217352E-2</v>
      </c>
      <c r="AN39">
        <v>0.15902450221035799</v>
      </c>
      <c r="AO39">
        <v>0.1073678009192265</v>
      </c>
      <c r="AP39">
        <v>4.2431311638897608E-2</v>
      </c>
      <c r="AQ39">
        <v>-0.52486557418804092</v>
      </c>
    </row>
    <row r="40" spans="1:43" x14ac:dyDescent="0.3">
      <c r="A40">
        <v>278</v>
      </c>
      <c r="B40">
        <v>2025</v>
      </c>
      <c r="C40" t="s">
        <v>90</v>
      </c>
      <c r="D40">
        <v>8.3333333333333339</v>
      </c>
      <c r="E40">
        <v>6.7228111188249162</v>
      </c>
      <c r="F40">
        <v>1.6105222145084179</v>
      </c>
      <c r="G40">
        <v>-0.88163654217803966</v>
      </c>
      <c r="H40">
        <v>-0.93433294061726158</v>
      </c>
      <c r="I40">
        <v>0.1568646124758977</v>
      </c>
      <c r="J40">
        <v>6.7915619253217915E-2</v>
      </c>
      <c r="K40">
        <v>-1.4647523382991741</v>
      </c>
      <c r="L40">
        <v>-1.294462772505113</v>
      </c>
      <c r="M40">
        <v>0.34532767269374742</v>
      </c>
      <c r="N40">
        <v>0.52151878365932969</v>
      </c>
      <c r="O40">
        <v>0.41871493076561389</v>
      </c>
      <c r="P40">
        <v>0.56556334988520485</v>
      </c>
      <c r="Q40">
        <v>-0.52486557418804092</v>
      </c>
      <c r="R40">
        <v>-0.88163654217803966</v>
      </c>
      <c r="S40">
        <v>9.2569804564363469</v>
      </c>
      <c r="T40">
        <v>0.15551986573479051</v>
      </c>
      <c r="U40">
        <v>9.1014605907015564</v>
      </c>
      <c r="V40">
        <v>-0.93433294061726158</v>
      </c>
      <c r="W40">
        <v>4.6758098629890217</v>
      </c>
      <c r="X40">
        <v>8.4774446653113067E-2</v>
      </c>
      <c r="Y40">
        <v>4.5910354163359086</v>
      </c>
      <c r="Z40">
        <v>0.1568646124758977</v>
      </c>
      <c r="AA40">
        <v>-6.7915619253217915E-2</v>
      </c>
      <c r="AB40">
        <v>2.7696665199223802</v>
      </c>
      <c r="AC40">
        <v>0.15983815667596721</v>
      </c>
      <c r="AD40">
        <v>-1.700904472435234</v>
      </c>
      <c r="AE40">
        <v>-0.17944447501154381</v>
      </c>
      <c r="AF40">
        <v>-1.4818375297153981</v>
      </c>
      <c r="AG40">
        <v>-1.3161127819063581</v>
      </c>
      <c r="AH40">
        <v>-1.5423766508475729</v>
      </c>
      <c r="AI40">
        <v>-1.546100725114576</v>
      </c>
      <c r="AJ40">
        <v>0.92152967306108691</v>
      </c>
      <c r="AK40">
        <v>1.6354208806755949E-2</v>
      </c>
      <c r="AL40">
        <v>9.8099136213399274E-2</v>
      </c>
      <c r="AM40">
        <v>-0.52151878365932969</v>
      </c>
      <c r="AN40">
        <v>0.41871493076561389</v>
      </c>
      <c r="AO40">
        <v>0.72899805065075785</v>
      </c>
      <c r="AP40">
        <v>0.40212864911965179</v>
      </c>
      <c r="AQ40">
        <v>-0.52486557418804092</v>
      </c>
    </row>
    <row r="41" spans="1:43" x14ac:dyDescent="0.3">
      <c r="A41">
        <v>283</v>
      </c>
      <c r="B41">
        <v>2025</v>
      </c>
      <c r="C41" t="s">
        <v>92</v>
      </c>
      <c r="D41">
        <v>12.66666666666667</v>
      </c>
      <c r="E41">
        <v>11.67595389615588</v>
      </c>
      <c r="F41">
        <v>0.99071277051078788</v>
      </c>
      <c r="G41">
        <v>0.56728666514181592</v>
      </c>
      <c r="H41">
        <v>-0.16461113418372519</v>
      </c>
      <c r="I41">
        <v>0.32622136548850411</v>
      </c>
      <c r="J41">
        <v>0.62895313857103985</v>
      </c>
      <c r="K41">
        <v>0.30213081591089108</v>
      </c>
      <c r="L41">
        <v>-0.2193855270252506</v>
      </c>
      <c r="M41">
        <v>-0.90796661318887306</v>
      </c>
      <c r="N41">
        <v>-4.3019510720245652E-2</v>
      </c>
      <c r="O41">
        <v>4.0008881813874651E-2</v>
      </c>
      <c r="P41">
        <v>-7.4603210887478302E-2</v>
      </c>
      <c r="Q41">
        <v>-0.52486557418804092</v>
      </c>
      <c r="R41">
        <v>0.56728666514181592</v>
      </c>
      <c r="S41">
        <v>9.2569804564363469</v>
      </c>
      <c r="T41">
        <v>0.15551986573479051</v>
      </c>
      <c r="U41">
        <v>9.1014605907015564</v>
      </c>
      <c r="V41">
        <v>-0.16461113418372519</v>
      </c>
      <c r="W41">
        <v>4.6758098629890217</v>
      </c>
      <c r="X41">
        <v>8.4774446653113067E-2</v>
      </c>
      <c r="Y41">
        <v>4.5910354163359086</v>
      </c>
      <c r="Z41">
        <v>0.32622136548850411</v>
      </c>
      <c r="AA41">
        <v>-0.62895313857103985</v>
      </c>
      <c r="AB41">
        <v>-0.36105429762281449</v>
      </c>
      <c r="AC41">
        <v>-0.24320733419896781</v>
      </c>
      <c r="AD41">
        <v>0.45653920153384298</v>
      </c>
      <c r="AE41">
        <v>0.2255544390600607</v>
      </c>
      <c r="AF41">
        <v>-0.50139962947506911</v>
      </c>
      <c r="AG41">
        <v>-0.18397480968660879</v>
      </c>
      <c r="AH41">
        <v>-0.54070541656574811</v>
      </c>
      <c r="AI41">
        <v>-0.77232694701798121</v>
      </c>
      <c r="AJ41">
        <v>-0.5467647083881455</v>
      </c>
      <c r="AK41">
        <v>-0.96771662071972153</v>
      </c>
      <c r="AL41">
        <v>-1.209418510458752</v>
      </c>
      <c r="AM41">
        <v>4.3019510720245652E-2</v>
      </c>
      <c r="AN41">
        <v>4.0008881813874651E-2</v>
      </c>
      <c r="AO41">
        <v>-0.10563535487859151</v>
      </c>
      <c r="AP41">
        <v>-4.3571066896365127E-2</v>
      </c>
      <c r="AQ41">
        <v>-0.52486557418804092</v>
      </c>
    </row>
    <row r="42" spans="1:43" x14ac:dyDescent="0.3">
      <c r="A42">
        <v>288</v>
      </c>
      <c r="B42">
        <v>2025</v>
      </c>
      <c r="C42" t="s">
        <v>93</v>
      </c>
      <c r="D42">
        <v>12.33333333333333</v>
      </c>
      <c r="E42">
        <v>10.48949734921545</v>
      </c>
      <c r="F42">
        <v>1.843835984117884</v>
      </c>
      <c r="G42">
        <v>-0.24664294450435481</v>
      </c>
      <c r="H42">
        <v>-0.50165571298488609</v>
      </c>
      <c r="I42">
        <v>-3.9517618782339912E-2</v>
      </c>
      <c r="J42">
        <v>7.6443939022485238E-2</v>
      </c>
      <c r="K42">
        <v>0.30213081591089108</v>
      </c>
      <c r="L42">
        <v>-0.53916181172523336</v>
      </c>
      <c r="M42">
        <v>-0.394152365142932</v>
      </c>
      <c r="N42">
        <v>0.45406312525610082</v>
      </c>
      <c r="O42">
        <v>-0.1135321304186159</v>
      </c>
      <c r="P42">
        <v>0.4191418752210892</v>
      </c>
      <c r="Q42">
        <v>-0.52486557418804092</v>
      </c>
      <c r="R42">
        <v>-0.24664294450435481</v>
      </c>
      <c r="S42">
        <v>9.2569804564363469</v>
      </c>
      <c r="T42">
        <v>0.15551986573479051</v>
      </c>
      <c r="U42">
        <v>9.1014605907015564</v>
      </c>
      <c r="V42">
        <v>-0.50165571298488609</v>
      </c>
      <c r="W42">
        <v>4.6758098629890217</v>
      </c>
      <c r="X42">
        <v>8.4774446653113067E-2</v>
      </c>
      <c r="Y42">
        <v>4.5910354163359086</v>
      </c>
      <c r="Z42">
        <v>-3.9517618782339912E-2</v>
      </c>
      <c r="AA42">
        <v>-7.6443939022485238E-2</v>
      </c>
      <c r="AB42">
        <v>-0.36105429762281449</v>
      </c>
      <c r="AC42">
        <v>-0.24320733419896781</v>
      </c>
      <c r="AD42">
        <v>-0.1071345417257778</v>
      </c>
      <c r="AE42">
        <v>6.8817854961267577E-2</v>
      </c>
      <c r="AF42">
        <v>-0.78407850804714552</v>
      </c>
      <c r="AG42">
        <v>-0.40853254716479809</v>
      </c>
      <c r="AH42">
        <v>-0.79449989494280349</v>
      </c>
      <c r="AI42">
        <v>-1.209543233432143</v>
      </c>
      <c r="AJ42">
        <v>1.5658373704071971E-2</v>
      </c>
      <c r="AK42">
        <v>-0.88843324822014547</v>
      </c>
      <c r="AL42">
        <v>-0.30968222091272263</v>
      </c>
      <c r="AM42">
        <v>-0.45406312525610082</v>
      </c>
      <c r="AN42">
        <v>-0.1135321304186159</v>
      </c>
      <c r="AO42">
        <v>0.43732153412369479</v>
      </c>
      <c r="AP42">
        <v>0.40096221631848361</v>
      </c>
      <c r="AQ42">
        <v>-0.52486557418804092</v>
      </c>
    </row>
    <row r="43" spans="1:43" x14ac:dyDescent="0.3">
      <c r="A43">
        <v>293</v>
      </c>
      <c r="B43">
        <v>2025</v>
      </c>
      <c r="C43" t="s">
        <v>94</v>
      </c>
      <c r="D43">
        <v>14</v>
      </c>
      <c r="E43">
        <v>12.80918522455552</v>
      </c>
      <c r="F43">
        <v>1.190814775444478</v>
      </c>
      <c r="G43">
        <v>-1.1762485866759089E-2</v>
      </c>
      <c r="H43">
        <v>0.49263054686351893</v>
      </c>
      <c r="I43">
        <v>-0.47471950432749582</v>
      </c>
      <c r="J43">
        <v>0.27360648151824679</v>
      </c>
      <c r="K43">
        <v>0.30213081591089108</v>
      </c>
      <c r="L43">
        <v>-0.52640664597349185</v>
      </c>
      <c r="M43">
        <v>-0.30318066775468339</v>
      </c>
      <c r="N43">
        <v>0.72021848254725906</v>
      </c>
      <c r="O43">
        <v>0.18810600267447039</v>
      </c>
      <c r="P43">
        <v>0.80209629613965028</v>
      </c>
      <c r="Q43">
        <v>-0.52486557418804092</v>
      </c>
      <c r="R43">
        <v>-1.1762485866759089E-2</v>
      </c>
      <c r="S43">
        <v>9.2569804564363469</v>
      </c>
      <c r="T43">
        <v>0.15551986573479051</v>
      </c>
      <c r="U43">
        <v>9.1014605907015564</v>
      </c>
      <c r="V43">
        <v>0.49263054686351893</v>
      </c>
      <c r="W43">
        <v>4.6758098629890217</v>
      </c>
      <c r="X43">
        <v>8.4774446653113067E-2</v>
      </c>
      <c r="Y43">
        <v>4.5910354163359086</v>
      </c>
      <c r="Z43">
        <v>-0.47471950432749582</v>
      </c>
      <c r="AA43">
        <v>-0.27360648151824679</v>
      </c>
      <c r="AB43">
        <v>-0.36105429762281449</v>
      </c>
      <c r="AC43">
        <v>-0.24320733419896781</v>
      </c>
      <c r="AD43">
        <v>-8.6554539353312615E-2</v>
      </c>
      <c r="AE43">
        <v>-0.65330894271312623</v>
      </c>
      <c r="AF43">
        <v>-0.81746979934979758</v>
      </c>
      <c r="AG43">
        <v>1.2984820243002151E-2</v>
      </c>
      <c r="AH43">
        <v>-0.7471760153494087</v>
      </c>
      <c r="AI43">
        <v>-0.86691539931830786</v>
      </c>
      <c r="AJ43">
        <v>-6.1727112973322618E-2</v>
      </c>
      <c r="AK43">
        <v>-0.82548505548635065</v>
      </c>
      <c r="AL43">
        <v>-2.232983480437694E-2</v>
      </c>
      <c r="AM43">
        <v>-0.72021848254725906</v>
      </c>
      <c r="AN43">
        <v>0.18810600267447039</v>
      </c>
      <c r="AO43">
        <v>0.6407979938564532</v>
      </c>
      <c r="AP43">
        <v>0.96339459842284725</v>
      </c>
      <c r="AQ43">
        <v>-0.52486557418804092</v>
      </c>
    </row>
    <row r="44" spans="1:43" x14ac:dyDescent="0.3">
      <c r="A44">
        <v>298</v>
      </c>
      <c r="B44">
        <v>2025</v>
      </c>
      <c r="C44" t="s">
        <v>96</v>
      </c>
      <c r="D44">
        <v>14.66666666666667</v>
      </c>
      <c r="E44">
        <v>13.89036803231421</v>
      </c>
      <c r="F44">
        <v>0.77629863435245738</v>
      </c>
      <c r="G44">
        <v>0.72561593442546468</v>
      </c>
      <c r="H44">
        <v>-0.19689118974005271</v>
      </c>
      <c r="I44">
        <v>-0.59526448887707206</v>
      </c>
      <c r="J44">
        <v>-0.22315383578019959</v>
      </c>
      <c r="K44">
        <v>-1.3532392676251841</v>
      </c>
      <c r="L44">
        <v>0.93445806544285848</v>
      </c>
      <c r="M44">
        <v>-7.3354576311273345E-2</v>
      </c>
      <c r="N44">
        <v>-0.23785745651177939</v>
      </c>
      <c r="O44">
        <v>-4.969248266791642E-2</v>
      </c>
      <c r="P44">
        <v>0.65216144739917847</v>
      </c>
      <c r="Q44">
        <v>-0.52486557418804092</v>
      </c>
      <c r="R44">
        <v>0.72561593442546468</v>
      </c>
      <c r="S44">
        <v>9.2569804564363469</v>
      </c>
      <c r="T44">
        <v>0.15551986573479051</v>
      </c>
      <c r="U44">
        <v>9.1014605907015564</v>
      </c>
      <c r="V44">
        <v>-0.19689118974005271</v>
      </c>
      <c r="W44">
        <v>4.6758098629890217</v>
      </c>
      <c r="X44">
        <v>8.4774446653113067E-2</v>
      </c>
      <c r="Y44">
        <v>4.5910354163359086</v>
      </c>
      <c r="Z44">
        <v>-0.59526448887707206</v>
      </c>
      <c r="AA44">
        <v>0.22315383578019959</v>
      </c>
      <c r="AB44">
        <v>2.7696665199223802</v>
      </c>
      <c r="AC44">
        <v>-6.3187984672011782E-2</v>
      </c>
      <c r="AD44">
        <v>1.277469107082591</v>
      </c>
      <c r="AE44">
        <v>1.124625191972553</v>
      </c>
      <c r="AF44">
        <v>0.68599303133288481</v>
      </c>
      <c r="AG44">
        <v>0.44786058028398679</v>
      </c>
      <c r="AH44">
        <v>0.6021981887709017</v>
      </c>
      <c r="AI44">
        <v>1.468602293214234</v>
      </c>
      <c r="AJ44">
        <v>-0.157005487438172</v>
      </c>
      <c r="AK44">
        <v>-3.9581406754859792E-2</v>
      </c>
      <c r="AL44">
        <v>-2.347683474078827E-2</v>
      </c>
      <c r="AM44">
        <v>0.23785745651177939</v>
      </c>
      <c r="AN44">
        <v>-4.969248266791642E-2</v>
      </c>
      <c r="AO44">
        <v>0.49672750217014272</v>
      </c>
      <c r="AP44">
        <v>0.80759539262821423</v>
      </c>
      <c r="AQ44">
        <v>-0.52486557418804092</v>
      </c>
    </row>
    <row r="45" spans="1:43" x14ac:dyDescent="0.3">
      <c r="A45">
        <v>299</v>
      </c>
      <c r="B45">
        <v>2025</v>
      </c>
      <c r="C45" t="s">
        <v>97</v>
      </c>
      <c r="D45">
        <v>1</v>
      </c>
      <c r="E45">
        <v>-0.80261715153609403</v>
      </c>
      <c r="F45">
        <v>1.802617151536094</v>
      </c>
      <c r="G45">
        <v>-0.843843645578784</v>
      </c>
      <c r="H45">
        <v>-0.21070022799404489</v>
      </c>
      <c r="I45">
        <v>-2.2908965085714028</v>
      </c>
      <c r="J45">
        <v>-6.8123118875173612</v>
      </c>
      <c r="K45">
        <v>-2.1230086313229082</v>
      </c>
      <c r="L45">
        <v>-2.0540952880611441</v>
      </c>
      <c r="M45">
        <v>-0.41499072541922472</v>
      </c>
      <c r="N45">
        <v>-2.9525587536924611</v>
      </c>
      <c r="O45">
        <v>0.51883487255907335</v>
      </c>
      <c r="P45">
        <v>0.17055178364223439</v>
      </c>
      <c r="Q45">
        <v>-0.52486557418804092</v>
      </c>
      <c r="R45">
        <v>-0.843843645578784</v>
      </c>
      <c r="S45">
        <v>9.2569804564363469</v>
      </c>
      <c r="T45">
        <v>0.15551986573479051</v>
      </c>
      <c r="U45">
        <v>9.1014605907015564</v>
      </c>
      <c r="V45">
        <v>-0.21070022799404489</v>
      </c>
      <c r="W45">
        <v>4.6758098629890217</v>
      </c>
      <c r="X45">
        <v>8.4774446653113067E-2</v>
      </c>
      <c r="Y45">
        <v>4.5910354163359086</v>
      </c>
      <c r="Z45">
        <v>-2.2908965085714028</v>
      </c>
      <c r="AA45">
        <v>6.8123118875173612</v>
      </c>
      <c r="AB45">
        <v>2.7696665199223802</v>
      </c>
      <c r="AC45">
        <v>1.4763507427234359</v>
      </c>
      <c r="AD45">
        <v>-1.861452352459168</v>
      </c>
      <c r="AE45">
        <v>-1.4512734768749369</v>
      </c>
      <c r="AF45">
        <v>-2.0579123589171351</v>
      </c>
      <c r="AG45">
        <v>-2.62013926372095</v>
      </c>
      <c r="AH45">
        <v>-2.48080288651472</v>
      </c>
      <c r="AI45">
        <v>-1.852991389879959</v>
      </c>
      <c r="AJ45">
        <v>-0.26969344839969828</v>
      </c>
      <c r="AK45">
        <v>-1.2723099727160121</v>
      </c>
      <c r="AL45">
        <v>0.29703124485803639</v>
      </c>
      <c r="AM45">
        <v>2.9525587536924611</v>
      </c>
      <c r="AN45">
        <v>0.51883487255907335</v>
      </c>
      <c r="AO45">
        <v>-0.56648532029495557</v>
      </c>
      <c r="AP45">
        <v>0.90758888757942435</v>
      </c>
      <c r="AQ45">
        <v>-0.52486557418804092</v>
      </c>
    </row>
    <row r="46" spans="1:43" x14ac:dyDescent="0.3">
      <c r="A46">
        <v>316</v>
      </c>
      <c r="B46">
        <v>2025</v>
      </c>
      <c r="C46" t="s">
        <v>99</v>
      </c>
      <c r="D46">
        <v>8.3333333333333339</v>
      </c>
      <c r="E46">
        <v>9.4886257057965455</v>
      </c>
      <c r="F46">
        <v>-1.155292372463212</v>
      </c>
      <c r="G46">
        <v>0.77245582693132664</v>
      </c>
      <c r="H46">
        <v>-1.45985577200505</v>
      </c>
      <c r="I46">
        <v>-0.46755928068891178</v>
      </c>
      <c r="J46">
        <v>0.44713012425087262</v>
      </c>
      <c r="K46">
        <v>-2.2733981083619978</v>
      </c>
      <c r="L46">
        <v>0.74263615954251538</v>
      </c>
      <c r="M46">
        <v>-0.27312679447105043</v>
      </c>
      <c r="N46">
        <v>-1.1593161971460011</v>
      </c>
      <c r="O46">
        <v>-0.66053330099793339</v>
      </c>
      <c r="P46">
        <v>0.53443018320963054</v>
      </c>
      <c r="Q46">
        <v>-0.52486557418804092</v>
      </c>
      <c r="R46">
        <v>0.77245582693132664</v>
      </c>
      <c r="S46">
        <v>9.2569804564363469</v>
      </c>
      <c r="T46">
        <v>0.15551986573479051</v>
      </c>
      <c r="U46">
        <v>9.1014605907015564</v>
      </c>
      <c r="V46">
        <v>-1.45985577200505</v>
      </c>
      <c r="W46">
        <v>4.6758098629890217</v>
      </c>
      <c r="X46">
        <v>8.4774446653113067E-2</v>
      </c>
      <c r="Y46">
        <v>4.5910354163359086</v>
      </c>
      <c r="Z46">
        <v>-0.46755928068891178</v>
      </c>
      <c r="AA46">
        <v>-0.44713012425087262</v>
      </c>
      <c r="AB46">
        <v>2.7696665199223802</v>
      </c>
      <c r="AC46">
        <v>1.7771296968016159</v>
      </c>
      <c r="AD46">
        <v>1.1418799296162361</v>
      </c>
      <c r="AE46">
        <v>1.390407672693474</v>
      </c>
      <c r="AF46">
        <v>0.1597094030107869</v>
      </c>
      <c r="AG46">
        <v>0.25251254354826191</v>
      </c>
      <c r="AH46">
        <v>0.27611665086507747</v>
      </c>
      <c r="AI46">
        <v>1.235190757521256</v>
      </c>
      <c r="AJ46">
        <v>0.31560231477976392</v>
      </c>
      <c r="AK46">
        <v>-0.16440528041964531</v>
      </c>
      <c r="AL46">
        <v>-0.97057741777326978</v>
      </c>
      <c r="AM46">
        <v>1.1593161971460011</v>
      </c>
      <c r="AN46">
        <v>-0.66053330099793339</v>
      </c>
      <c r="AO46">
        <v>0.58237825000044596</v>
      </c>
      <c r="AP46">
        <v>0.48648211641881511</v>
      </c>
      <c r="AQ46">
        <v>-0.52486557418804092</v>
      </c>
    </row>
    <row r="47" spans="1:43" x14ac:dyDescent="0.3">
      <c r="A47">
        <v>339</v>
      </c>
      <c r="B47">
        <v>2025</v>
      </c>
      <c r="C47" t="s">
        <v>100</v>
      </c>
      <c r="D47">
        <v>6.5</v>
      </c>
      <c r="E47">
        <v>6.0014045904703472</v>
      </c>
      <c r="F47">
        <v>0.49859540952965281</v>
      </c>
      <c r="G47">
        <v>-0.13265023600556039</v>
      </c>
      <c r="H47">
        <v>-1.892923445964787</v>
      </c>
      <c r="I47">
        <v>-0.18442482766319629</v>
      </c>
      <c r="J47">
        <v>0.41400895396128051</v>
      </c>
      <c r="K47">
        <v>-2.9016100375394962</v>
      </c>
      <c r="L47">
        <v>-0.2655621839552702</v>
      </c>
      <c r="M47">
        <v>-0.1330954677659334</v>
      </c>
      <c r="N47">
        <v>-0.18520981537746339</v>
      </c>
      <c r="O47">
        <v>-0.20336280348406249</v>
      </c>
      <c r="P47">
        <v>0.14184001261327389</v>
      </c>
      <c r="Q47">
        <v>-0.52486557418804092</v>
      </c>
      <c r="R47">
        <v>-0.13265023600556039</v>
      </c>
      <c r="S47">
        <v>9.2569804564363469</v>
      </c>
      <c r="T47">
        <v>0.15551986573479051</v>
      </c>
      <c r="U47">
        <v>9.1014605907015564</v>
      </c>
      <c r="V47">
        <v>-1.892923445964787</v>
      </c>
      <c r="W47">
        <v>4.6758098629890217</v>
      </c>
      <c r="X47">
        <v>8.4774446653113067E-2</v>
      </c>
      <c r="Y47">
        <v>4.5910354163359086</v>
      </c>
      <c r="Z47">
        <v>-0.18442482766319629</v>
      </c>
      <c r="AA47">
        <v>-0.41400895396128051</v>
      </c>
      <c r="AB47">
        <v>2.7696665199223802</v>
      </c>
      <c r="AC47">
        <v>3.0335535551566122</v>
      </c>
      <c r="AD47">
        <v>0.44701131941471661</v>
      </c>
      <c r="AE47">
        <v>0.67070260234091816</v>
      </c>
      <c r="AF47">
        <v>-0.68801693386986651</v>
      </c>
      <c r="AG47">
        <v>-0.80790328505830722</v>
      </c>
      <c r="AH47">
        <v>-0.85191886215210888</v>
      </c>
      <c r="AI47">
        <v>-0.36324794440697339</v>
      </c>
      <c r="AJ47">
        <v>1.9943645148966588E-2</v>
      </c>
      <c r="AK47">
        <v>-0.26018883450081892</v>
      </c>
      <c r="AL47">
        <v>-0.15904121394594781</v>
      </c>
      <c r="AM47">
        <v>0.18520981537746339</v>
      </c>
      <c r="AN47">
        <v>-0.20336280348406249</v>
      </c>
      <c r="AO47">
        <v>0.21671060267137701</v>
      </c>
      <c r="AP47">
        <v>6.696942255517073E-2</v>
      </c>
      <c r="AQ47">
        <v>-0.52486557418804092</v>
      </c>
    </row>
    <row r="48" spans="1:43" x14ac:dyDescent="0.3">
      <c r="A48">
        <v>343</v>
      </c>
      <c r="B48">
        <v>2025</v>
      </c>
      <c r="C48" t="s">
        <v>101</v>
      </c>
      <c r="D48">
        <v>10</v>
      </c>
      <c r="E48">
        <v>9.850152056934828</v>
      </c>
      <c r="F48">
        <v>0.14984794306517199</v>
      </c>
      <c r="G48">
        <v>-8.5176858260152005E-2</v>
      </c>
      <c r="H48">
        <v>-0.87596384612401446</v>
      </c>
      <c r="I48">
        <v>-0.77627843525249496</v>
      </c>
      <c r="J48">
        <v>-0.22347817903764389</v>
      </c>
      <c r="K48">
        <v>-1.714419057053979</v>
      </c>
      <c r="L48">
        <v>4.7451696527488207E-2</v>
      </c>
      <c r="M48">
        <v>-9.0343286192025626E-2</v>
      </c>
      <c r="N48">
        <v>-3.2740024060775107E-2</v>
      </c>
      <c r="O48">
        <v>0.2872339629047444</v>
      </c>
      <c r="P48">
        <v>0.66416705290278466</v>
      </c>
      <c r="Q48">
        <v>-0.52486557418804092</v>
      </c>
      <c r="R48">
        <v>-8.5176858260152005E-2</v>
      </c>
      <c r="S48">
        <v>9.2569804564363469</v>
      </c>
      <c r="T48">
        <v>0.15551986573479051</v>
      </c>
      <c r="U48">
        <v>9.1014605907015564</v>
      </c>
      <c r="V48">
        <v>-0.87596384612401446</v>
      </c>
      <c r="W48">
        <v>4.6758098629890217</v>
      </c>
      <c r="X48">
        <v>8.4774446653113067E-2</v>
      </c>
      <c r="Y48">
        <v>4.5910354163359086</v>
      </c>
      <c r="Z48">
        <v>-0.77627843525249496</v>
      </c>
      <c r="AA48">
        <v>0.22347817903764389</v>
      </c>
      <c r="AB48">
        <v>2.7696665199223802</v>
      </c>
      <c r="AC48">
        <v>0.65917159418557703</v>
      </c>
      <c r="AD48">
        <v>0.47520024719161919</v>
      </c>
      <c r="AE48">
        <v>0.43093485467280468</v>
      </c>
      <c r="AF48">
        <v>0.18978374538874929</v>
      </c>
      <c r="AG48">
        <v>-0.2075410949389957</v>
      </c>
      <c r="AH48">
        <v>-0.35646442636090209</v>
      </c>
      <c r="AI48">
        <v>-0.2472031467883461</v>
      </c>
      <c r="AJ48">
        <v>0.521997026008722</v>
      </c>
      <c r="AK48">
        <v>3.392690219115712E-2</v>
      </c>
      <c r="AL48">
        <v>-0.82695378677595599</v>
      </c>
      <c r="AM48">
        <v>3.2740024060775107E-2</v>
      </c>
      <c r="AN48">
        <v>0.2872339629047444</v>
      </c>
      <c r="AO48">
        <v>0.67408080445591856</v>
      </c>
      <c r="AP48">
        <v>0.65425330134965076</v>
      </c>
      <c r="AQ48">
        <v>-0.52486557418804092</v>
      </c>
    </row>
    <row r="49" spans="1:43" x14ac:dyDescent="0.3">
      <c r="A49">
        <v>366</v>
      </c>
      <c r="B49">
        <v>2025</v>
      </c>
      <c r="C49" t="s">
        <v>102</v>
      </c>
      <c r="D49">
        <v>4.3333333333333321</v>
      </c>
      <c r="E49">
        <v>4.1080690407913583</v>
      </c>
      <c r="F49">
        <v>0.22526429254197389</v>
      </c>
      <c r="G49">
        <v>-0.24165193963576451</v>
      </c>
      <c r="H49">
        <v>-1.731030436180961</v>
      </c>
      <c r="I49">
        <v>1.8816489712701769</v>
      </c>
      <c r="J49">
        <v>-3.9337170170019631</v>
      </c>
      <c r="K49">
        <v>-2.6576951119746899</v>
      </c>
      <c r="L49">
        <v>-0.42867314217605063</v>
      </c>
      <c r="M49">
        <v>-0.28088310457893689</v>
      </c>
      <c r="N49">
        <v>-0.86207233830903784</v>
      </c>
      <c r="O49">
        <v>-1.161254929486963</v>
      </c>
      <c r="P49">
        <v>0.75066550040550939</v>
      </c>
      <c r="Q49">
        <v>-0.52486557418804092</v>
      </c>
      <c r="R49">
        <v>-0.24165193963576451</v>
      </c>
      <c r="S49">
        <v>9.2569804564363469</v>
      </c>
      <c r="T49">
        <v>0.15551986573479051</v>
      </c>
      <c r="U49">
        <v>9.1014605907015564</v>
      </c>
      <c r="V49">
        <v>-1.731030436180961</v>
      </c>
      <c r="W49">
        <v>4.6758098629890217</v>
      </c>
      <c r="X49">
        <v>8.4774446653113067E-2</v>
      </c>
      <c r="Y49">
        <v>4.5910354163359086</v>
      </c>
      <c r="Z49">
        <v>1.8816489712701769</v>
      </c>
      <c r="AA49">
        <v>3.9337170170019631</v>
      </c>
      <c r="AB49">
        <v>2.7696665199223802</v>
      </c>
      <c r="AC49">
        <v>2.545723704027</v>
      </c>
      <c r="AD49">
        <v>0.2398621163613181</v>
      </c>
      <c r="AE49">
        <v>0.46430207146618507</v>
      </c>
      <c r="AF49">
        <v>-1.349979568206656</v>
      </c>
      <c r="AG49">
        <v>-1.1457506861611151</v>
      </c>
      <c r="AH49">
        <v>-0.2358391431504554</v>
      </c>
      <c r="AI49">
        <v>-0.5446336433655804</v>
      </c>
      <c r="AJ49">
        <v>-8.5684536957645621E-2</v>
      </c>
      <c r="AK49">
        <v>-0.1363549717309295</v>
      </c>
      <c r="AL49">
        <v>-0.6206098050482356</v>
      </c>
      <c r="AM49">
        <v>0.86207233830903784</v>
      </c>
      <c r="AN49">
        <v>-1.161254929486963</v>
      </c>
      <c r="AO49">
        <v>0.71421118382084914</v>
      </c>
      <c r="AP49">
        <v>0.78711981699016953</v>
      </c>
      <c r="AQ49">
        <v>-0.52486557418804092</v>
      </c>
    </row>
    <row r="50" spans="1:43" x14ac:dyDescent="0.3">
      <c r="A50">
        <v>369</v>
      </c>
      <c r="B50">
        <v>2025</v>
      </c>
      <c r="C50" t="s">
        <v>104</v>
      </c>
      <c r="D50">
        <v>12</v>
      </c>
      <c r="E50">
        <v>11.450469694618359</v>
      </c>
      <c r="F50">
        <v>0.54953030538164427</v>
      </c>
      <c r="G50">
        <v>0.49972844485443513</v>
      </c>
      <c r="H50">
        <v>-0.81503229419659806</v>
      </c>
      <c r="I50">
        <v>-1.1362979725925191</v>
      </c>
      <c r="J50">
        <v>0.412463553734635</v>
      </c>
      <c r="K50">
        <v>0.30213081591089108</v>
      </c>
      <c r="L50">
        <v>-0.13024385135621991</v>
      </c>
      <c r="M50">
        <v>-0.3632425243718666</v>
      </c>
      <c r="N50">
        <v>-0.2025460307166789</v>
      </c>
      <c r="O50">
        <v>1.034275512399055</v>
      </c>
      <c r="P50">
        <v>0.47234049275970369</v>
      </c>
      <c r="Q50">
        <v>-0.52486557418804092</v>
      </c>
      <c r="R50">
        <v>0.49972844485443513</v>
      </c>
      <c r="S50">
        <v>9.2569804564363469</v>
      </c>
      <c r="T50">
        <v>0.15551986573479051</v>
      </c>
      <c r="U50">
        <v>9.1014605907015564</v>
      </c>
      <c r="V50">
        <v>-0.81503229419659806</v>
      </c>
      <c r="W50">
        <v>4.6758098629890217</v>
      </c>
      <c r="X50">
        <v>8.4774446653113067E-2</v>
      </c>
      <c r="Y50">
        <v>4.5910354163359086</v>
      </c>
      <c r="Z50">
        <v>-1.1362979725925191</v>
      </c>
      <c r="AA50">
        <v>-0.412463553734635</v>
      </c>
      <c r="AB50">
        <v>-0.36105429762281449</v>
      </c>
      <c r="AC50">
        <v>-0.24320733419896781</v>
      </c>
      <c r="AD50">
        <v>0.53811325980805758</v>
      </c>
      <c r="AE50">
        <v>0.45069734553372759</v>
      </c>
      <c r="AF50">
        <v>-0.3153569940429079</v>
      </c>
      <c r="AG50">
        <v>-0.46735853805311761</v>
      </c>
      <c r="AH50">
        <v>-0.4736609256881798</v>
      </c>
      <c r="AI50">
        <v>-0.51389725569489952</v>
      </c>
      <c r="AJ50">
        <v>-0.51872249349436206</v>
      </c>
      <c r="AK50">
        <v>3.9206960297268327E-2</v>
      </c>
      <c r="AL50">
        <v>-0.61021203991850614</v>
      </c>
      <c r="AM50">
        <v>0.2025460307166789</v>
      </c>
      <c r="AN50">
        <v>1.034275512399055</v>
      </c>
      <c r="AO50">
        <v>0.38879323296998641</v>
      </c>
      <c r="AP50">
        <v>0.55588775254942113</v>
      </c>
      <c r="AQ50">
        <v>-0.52486557418804092</v>
      </c>
    </row>
    <row r="51" spans="1:43" x14ac:dyDescent="0.3">
      <c r="A51">
        <v>419</v>
      </c>
      <c r="B51">
        <v>2025</v>
      </c>
      <c r="C51" t="s">
        <v>105</v>
      </c>
      <c r="D51">
        <v>8.6666666666666661</v>
      </c>
      <c r="E51">
        <v>9.2754157004655795</v>
      </c>
      <c r="F51">
        <v>-0.60874903379891343</v>
      </c>
      <c r="G51">
        <v>0.86435770995567207</v>
      </c>
      <c r="H51">
        <v>-0.50173280176854596</v>
      </c>
      <c r="I51">
        <v>-0.23026772291022779</v>
      </c>
      <c r="J51">
        <v>0.73156008201425704</v>
      </c>
      <c r="K51">
        <v>0.30213081591089108</v>
      </c>
      <c r="L51">
        <v>-6.0723412256376043E-2</v>
      </c>
      <c r="M51">
        <v>-1.933471290094221</v>
      </c>
      <c r="N51">
        <v>-2.345846781612678</v>
      </c>
      <c r="O51">
        <v>0.72109012278553641</v>
      </c>
      <c r="P51">
        <v>2.433890097851879E-2</v>
      </c>
      <c r="Q51">
        <v>-0.52486557418804092</v>
      </c>
      <c r="R51">
        <v>0.86435770995567207</v>
      </c>
      <c r="S51">
        <v>9.2569804564363469</v>
      </c>
      <c r="T51">
        <v>0.15551986573479051</v>
      </c>
      <c r="U51">
        <v>9.1014605907015564</v>
      </c>
      <c r="V51">
        <v>-0.50173280176854596</v>
      </c>
      <c r="W51">
        <v>4.6758098629890217</v>
      </c>
      <c r="X51">
        <v>8.4774446653113067E-2</v>
      </c>
      <c r="Y51">
        <v>4.5910354163359086</v>
      </c>
      <c r="Z51">
        <v>-0.23026772291022779</v>
      </c>
      <c r="AA51">
        <v>-0.73156008201425704</v>
      </c>
      <c r="AB51">
        <v>-0.36105429762281449</v>
      </c>
      <c r="AC51">
        <v>-0.24320733419896781</v>
      </c>
      <c r="AD51">
        <v>-1.6903095121197349</v>
      </c>
      <c r="AE51">
        <v>-0.47653121962205808</v>
      </c>
      <c r="AF51">
        <v>0.51454340287199474</v>
      </c>
      <c r="AG51">
        <v>0.90541448894760568</v>
      </c>
      <c r="AH51">
        <v>0.33475841846894472</v>
      </c>
      <c r="AI51">
        <v>4.778394791499134E-2</v>
      </c>
      <c r="AJ51">
        <v>-1.9581226177742179</v>
      </c>
      <c r="AK51">
        <v>-0.94230634108406131</v>
      </c>
      <c r="AL51">
        <v>-2.8999849114243852</v>
      </c>
      <c r="AM51">
        <v>2.345846781612678</v>
      </c>
      <c r="AN51">
        <v>0.72109012278553641</v>
      </c>
      <c r="AO51">
        <v>0.1512321049916566</v>
      </c>
      <c r="AP51">
        <v>-0.102554303034619</v>
      </c>
      <c r="AQ51">
        <v>-0.52486557418804092</v>
      </c>
    </row>
    <row r="52" spans="1:43" x14ac:dyDescent="0.3">
      <c r="A52">
        <v>423</v>
      </c>
      <c r="B52">
        <v>2025</v>
      </c>
      <c r="C52" t="s">
        <v>107</v>
      </c>
      <c r="D52">
        <v>16</v>
      </c>
      <c r="E52">
        <v>13.21060805796697</v>
      </c>
      <c r="F52">
        <v>2.789391942033026</v>
      </c>
      <c r="G52">
        <v>1.1471821367168979</v>
      </c>
      <c r="H52">
        <v>-0.59097363479531617</v>
      </c>
      <c r="I52">
        <v>0.1808775576052952</v>
      </c>
      <c r="J52">
        <v>0.4242543850934874</v>
      </c>
      <c r="K52">
        <v>-1.714419057053979</v>
      </c>
      <c r="L52">
        <v>0.53826036054498905</v>
      </c>
      <c r="M52">
        <v>0.91996823715346698</v>
      </c>
      <c r="N52">
        <v>9.4892184321853385E-3</v>
      </c>
      <c r="O52">
        <v>-0.94896902769979763</v>
      </c>
      <c r="P52">
        <v>-1.2413540830811669</v>
      </c>
      <c r="Q52">
        <v>1.9052497423687671</v>
      </c>
      <c r="R52">
        <v>1.1471821367168979</v>
      </c>
      <c r="S52">
        <v>9.2569804564363469</v>
      </c>
      <c r="T52">
        <v>0.15551986573479051</v>
      </c>
      <c r="U52">
        <v>9.1014605907015564</v>
      </c>
      <c r="V52">
        <v>-0.59097363479531617</v>
      </c>
      <c r="W52">
        <v>4.6758098629890217</v>
      </c>
      <c r="X52">
        <v>8.4774446653113067E-2</v>
      </c>
      <c r="Y52">
        <v>4.5910354163359086</v>
      </c>
      <c r="Z52">
        <v>0.1808775576052952</v>
      </c>
      <c r="AA52">
        <v>-0.4242543850934874</v>
      </c>
      <c r="AB52">
        <v>2.7696665199223802</v>
      </c>
      <c r="AC52">
        <v>0.65917159418557703</v>
      </c>
      <c r="AD52">
        <v>0.93267685191527405</v>
      </c>
      <c r="AE52">
        <v>0.46058158075100619</v>
      </c>
      <c r="AF52">
        <v>0.55995793389389548</v>
      </c>
      <c r="AG52">
        <v>0.5650071646178636</v>
      </c>
      <c r="AH52">
        <v>0.50589674785543881</v>
      </c>
      <c r="AI52">
        <v>0.2054418842364564</v>
      </c>
      <c r="AJ52">
        <v>1.019965615959016</v>
      </c>
      <c r="AK52">
        <v>1.2515578020051481</v>
      </c>
      <c r="AL52">
        <v>0.48838129349623621</v>
      </c>
      <c r="AM52">
        <v>-9.4892184321853385E-3</v>
      </c>
      <c r="AN52">
        <v>-0.94896902769979763</v>
      </c>
      <c r="AO52">
        <v>-1.262225656434671</v>
      </c>
      <c r="AP52">
        <v>-1.220482509727663</v>
      </c>
      <c r="AQ52">
        <v>1.9052497423687671</v>
      </c>
    </row>
    <row r="53" spans="1:43" x14ac:dyDescent="0.3">
      <c r="A53">
        <v>433</v>
      </c>
      <c r="B53">
        <v>2025</v>
      </c>
      <c r="C53" t="s">
        <v>109</v>
      </c>
      <c r="D53">
        <v>6.6666666666666679</v>
      </c>
      <c r="E53">
        <v>8.3744908772730984</v>
      </c>
      <c r="F53">
        <v>-1.707824210606431</v>
      </c>
      <c r="G53">
        <v>-0.36347814589637861</v>
      </c>
      <c r="H53">
        <v>0.39757767302331459</v>
      </c>
      <c r="I53">
        <v>-0.82888861503599354</v>
      </c>
      <c r="J53">
        <v>0.2392833332745973</v>
      </c>
      <c r="K53">
        <v>0.30213081591089108</v>
      </c>
      <c r="L53">
        <v>-1.89661659414805</v>
      </c>
      <c r="M53">
        <v>0.21001712263436931</v>
      </c>
      <c r="N53">
        <v>0.13734380655889811</v>
      </c>
      <c r="O53">
        <v>0.49293805778384658</v>
      </c>
      <c r="P53">
        <v>0.67594924547754032</v>
      </c>
      <c r="Q53">
        <v>-0.52486557418804092</v>
      </c>
      <c r="R53">
        <v>-0.36347814589637861</v>
      </c>
      <c r="S53">
        <v>9.2569804564363469</v>
      </c>
      <c r="T53">
        <v>0.15551986573479051</v>
      </c>
      <c r="U53">
        <v>9.1014605907015564</v>
      </c>
      <c r="V53">
        <v>0.39757767302331459</v>
      </c>
      <c r="W53">
        <v>4.6758098629890217</v>
      </c>
      <c r="X53">
        <v>8.4774446653113067E-2</v>
      </c>
      <c r="Y53">
        <v>4.5910354163359086</v>
      </c>
      <c r="Z53">
        <v>-0.82888861503599354</v>
      </c>
      <c r="AA53">
        <v>-0.2392833332745973</v>
      </c>
      <c r="AB53">
        <v>-0.36105429762281449</v>
      </c>
      <c r="AC53">
        <v>-0.24320733419896781</v>
      </c>
      <c r="AD53">
        <v>-1.22321024821667</v>
      </c>
      <c r="AE53">
        <v>-2.9151568165499691</v>
      </c>
      <c r="AF53">
        <v>-1.823121440352341</v>
      </c>
      <c r="AG53">
        <v>-1.952422926763431</v>
      </c>
      <c r="AH53">
        <v>-1.9882797332159241</v>
      </c>
      <c r="AI53">
        <v>-1.477508399789965</v>
      </c>
      <c r="AJ53">
        <v>-0.45008297017526039</v>
      </c>
      <c r="AK53">
        <v>0.70614429982544091</v>
      </c>
      <c r="AL53">
        <v>0.37399003825292731</v>
      </c>
      <c r="AM53">
        <v>-0.13734380655889811</v>
      </c>
      <c r="AN53">
        <v>0.49293805778384658</v>
      </c>
      <c r="AO53">
        <v>0.50378827038405749</v>
      </c>
      <c r="AP53">
        <v>0.84811022057102314</v>
      </c>
      <c r="AQ53">
        <v>-0.52486557418804092</v>
      </c>
    </row>
    <row r="54" spans="1:43" x14ac:dyDescent="0.3">
      <c r="A54">
        <v>436</v>
      </c>
      <c r="B54">
        <v>2025</v>
      </c>
      <c r="C54" t="s">
        <v>110</v>
      </c>
      <c r="D54">
        <v>16.333333333333329</v>
      </c>
      <c r="E54">
        <v>16.2339095339726</v>
      </c>
      <c r="F54">
        <v>9.942379936073209E-2</v>
      </c>
      <c r="G54">
        <v>1.411406121979861</v>
      </c>
      <c r="H54">
        <v>0.83248242545086459</v>
      </c>
      <c r="I54">
        <v>5.0290796001607387E-2</v>
      </c>
      <c r="J54">
        <v>0.41000236078108809</v>
      </c>
      <c r="K54">
        <v>0.30213081591089108</v>
      </c>
      <c r="L54">
        <v>0.35653165883800431</v>
      </c>
      <c r="M54">
        <v>-1.88803665435548E-3</v>
      </c>
      <c r="N54">
        <v>-0.3109529413795285</v>
      </c>
      <c r="O54">
        <v>0.58984191037524669</v>
      </c>
      <c r="P54">
        <v>0.96300570933085683</v>
      </c>
      <c r="Q54">
        <v>-0.52486557418804092</v>
      </c>
      <c r="R54">
        <v>1.411406121979861</v>
      </c>
      <c r="S54">
        <v>9.2569804564363469</v>
      </c>
      <c r="T54">
        <v>0.15551986573479051</v>
      </c>
      <c r="U54">
        <v>9.1014605907015564</v>
      </c>
      <c r="V54">
        <v>0.83248242545086459</v>
      </c>
      <c r="W54">
        <v>4.6758098629890217</v>
      </c>
      <c r="X54">
        <v>8.4774446653113067E-2</v>
      </c>
      <c r="Y54">
        <v>4.5910354163359086</v>
      </c>
      <c r="Z54">
        <v>5.0290796001607387E-2</v>
      </c>
      <c r="AA54">
        <v>-0.41000236078108809</v>
      </c>
      <c r="AB54">
        <v>-0.36105429762281449</v>
      </c>
      <c r="AC54">
        <v>-0.24320733419896781</v>
      </c>
      <c r="AD54">
        <v>0.56437877077331677</v>
      </c>
      <c r="AE54">
        <v>-1.781130676830142</v>
      </c>
      <c r="AF54">
        <v>1.0165901156471191</v>
      </c>
      <c r="AG54">
        <v>0.9551739904301515</v>
      </c>
      <c r="AH54">
        <v>0.67331295020611448</v>
      </c>
      <c r="AI54">
        <v>0.71086480280146513</v>
      </c>
      <c r="AJ54">
        <v>-0.65497407738846636</v>
      </c>
      <c r="AK54">
        <v>0.66109880410767974</v>
      </c>
      <c r="AL54">
        <v>-1.178883668227982E-2</v>
      </c>
      <c r="AM54">
        <v>0.3109529413795285</v>
      </c>
      <c r="AN54">
        <v>0.58984191037524669</v>
      </c>
      <c r="AO54">
        <v>0.81064007475828048</v>
      </c>
      <c r="AP54">
        <v>1.115371343903433</v>
      </c>
      <c r="AQ54">
        <v>-0.52486557418804092</v>
      </c>
    </row>
    <row r="55" spans="1:43" x14ac:dyDescent="0.3">
      <c r="A55">
        <v>439</v>
      </c>
      <c r="B55">
        <v>2025</v>
      </c>
      <c r="C55" t="s">
        <v>112</v>
      </c>
      <c r="D55">
        <v>10</v>
      </c>
      <c r="E55">
        <v>9.9350719530097216</v>
      </c>
      <c r="F55">
        <v>6.4928046990278432E-2</v>
      </c>
      <c r="G55">
        <v>-0.49476742314386141</v>
      </c>
      <c r="H55">
        <v>-0.41314956026257837</v>
      </c>
      <c r="I55">
        <v>-0.3036163553054787</v>
      </c>
      <c r="J55">
        <v>0.4798506352224452</v>
      </c>
      <c r="K55">
        <v>0.30213081591089108</v>
      </c>
      <c r="L55">
        <v>-0.18831597336588829</v>
      </c>
      <c r="M55">
        <v>-0.86346219536502211</v>
      </c>
      <c r="N55">
        <v>-0.87940855364825343</v>
      </c>
      <c r="O55">
        <v>-0.55005204712271039</v>
      </c>
      <c r="P55">
        <v>0.61991864063313473</v>
      </c>
      <c r="Q55">
        <v>-0.52486557418804092</v>
      </c>
      <c r="R55">
        <v>-0.49476742314386141</v>
      </c>
      <c r="S55">
        <v>9.2569804564363469</v>
      </c>
      <c r="T55">
        <v>0.15551986573479051</v>
      </c>
      <c r="U55">
        <v>9.1014605907015564</v>
      </c>
      <c r="V55">
        <v>-0.41314956026257837</v>
      </c>
      <c r="W55">
        <v>4.6758098629890217</v>
      </c>
      <c r="X55">
        <v>8.4774446653113067E-2</v>
      </c>
      <c r="Y55">
        <v>4.5910354163359086</v>
      </c>
      <c r="Z55">
        <v>-0.3036163553054787</v>
      </c>
      <c r="AA55">
        <v>-0.4798506352224452</v>
      </c>
      <c r="AB55">
        <v>-0.36105429762281449</v>
      </c>
      <c r="AC55">
        <v>-0.24320733419896781</v>
      </c>
      <c r="AD55">
        <v>-1.0178105181936881</v>
      </c>
      <c r="AE55">
        <v>-0.27174995728745749</v>
      </c>
      <c r="AF55">
        <v>0.1661741487873438</v>
      </c>
      <c r="AG55">
        <v>-7.1626661747495116E-2</v>
      </c>
      <c r="AH55">
        <v>0.108033173430902</v>
      </c>
      <c r="AI55">
        <v>-4.2916025184935702E-2</v>
      </c>
      <c r="AJ55">
        <v>-0.96672130998781525</v>
      </c>
      <c r="AK55">
        <v>-0.2646438835278504</v>
      </c>
      <c r="AL55">
        <v>-1.359021392579401</v>
      </c>
      <c r="AM55">
        <v>0.87940855364825343</v>
      </c>
      <c r="AN55">
        <v>-0.55005204712271039</v>
      </c>
      <c r="AO55">
        <v>0.74080119981274706</v>
      </c>
      <c r="AP55">
        <v>0.49903608145352252</v>
      </c>
      <c r="AQ55">
        <v>-0.52486557418804092</v>
      </c>
    </row>
    <row r="56" spans="1:43" x14ac:dyDescent="0.3">
      <c r="A56">
        <v>443</v>
      </c>
      <c r="B56">
        <v>2025</v>
      </c>
      <c r="C56" t="s">
        <v>113</v>
      </c>
      <c r="D56">
        <v>18.333333333333329</v>
      </c>
      <c r="E56">
        <v>19.524027891716411</v>
      </c>
      <c r="F56">
        <v>-1.190694558383079</v>
      </c>
      <c r="G56">
        <v>0.9037241010715733</v>
      </c>
      <c r="H56">
        <v>0.12501155295129091</v>
      </c>
      <c r="I56">
        <v>-0.84827361074045271</v>
      </c>
      <c r="J56">
        <v>0.3802772551870881</v>
      </c>
      <c r="K56">
        <v>0.30213081591089108</v>
      </c>
      <c r="L56">
        <v>-4.9126405227669097E-2</v>
      </c>
      <c r="M56">
        <v>4.9775112078366588</v>
      </c>
      <c r="N56">
        <v>1.410333208550637</v>
      </c>
      <c r="O56">
        <v>3.3070549021608429</v>
      </c>
      <c r="P56">
        <v>0.69730299755394043</v>
      </c>
      <c r="Q56">
        <v>-0.52486557418804092</v>
      </c>
      <c r="R56">
        <v>0.9037241010715733</v>
      </c>
      <c r="S56">
        <v>9.2569804564363469</v>
      </c>
      <c r="T56">
        <v>0.15551986573479051</v>
      </c>
      <c r="U56">
        <v>9.1014605907015564</v>
      </c>
      <c r="V56">
        <v>0.12501155295129091</v>
      </c>
      <c r="W56">
        <v>4.6758098629890217</v>
      </c>
      <c r="X56">
        <v>8.4774446653113067E-2</v>
      </c>
      <c r="Y56">
        <v>4.5910354163359086</v>
      </c>
      <c r="Z56">
        <v>-0.84827361074045271</v>
      </c>
      <c r="AA56">
        <v>-0.3802772551870881</v>
      </c>
      <c r="AB56">
        <v>-0.36105429762281449</v>
      </c>
      <c r="AC56">
        <v>-0.24320733419896781</v>
      </c>
      <c r="AD56">
        <v>-0.81649177688410557</v>
      </c>
      <c r="AE56">
        <v>0.45884989622655142</v>
      </c>
      <c r="AF56">
        <v>-0.25802116263041308</v>
      </c>
      <c r="AG56">
        <v>4.5599423307715041E-2</v>
      </c>
      <c r="AH56">
        <v>0.19818515331114861</v>
      </c>
      <c r="AI56">
        <v>7.7120035303089043E-2</v>
      </c>
      <c r="AJ56">
        <v>6.2031392589271306</v>
      </c>
      <c r="AK56">
        <v>3.9819253492200009</v>
      </c>
      <c r="AL56">
        <v>4.7474690153628414</v>
      </c>
      <c r="AM56">
        <v>-1.410333208550637</v>
      </c>
      <c r="AN56">
        <v>3.3070549021608429</v>
      </c>
      <c r="AO56">
        <v>0.60840625187615527</v>
      </c>
      <c r="AP56">
        <v>0.78619974323172559</v>
      </c>
      <c r="AQ56">
        <v>-0.52486557418804092</v>
      </c>
    </row>
    <row r="57" spans="1:43" x14ac:dyDescent="0.3">
      <c r="A57">
        <v>446</v>
      </c>
      <c r="B57">
        <v>2025</v>
      </c>
      <c r="C57" t="s">
        <v>114</v>
      </c>
      <c r="D57">
        <v>1.3333333333333319</v>
      </c>
      <c r="E57">
        <v>-1.8741457999165969</v>
      </c>
      <c r="F57">
        <v>3.2074791332499299</v>
      </c>
      <c r="G57">
        <v>-0.43881383913569949</v>
      </c>
      <c r="H57">
        <v>-0.77119899901714395</v>
      </c>
      <c r="I57">
        <v>-4</v>
      </c>
      <c r="J57">
        <v>-6.8123118875173612</v>
      </c>
      <c r="K57">
        <v>-2.6576951119746899</v>
      </c>
      <c r="L57">
        <v>-1.5066692216325659</v>
      </c>
      <c r="M57">
        <v>-0.34194558141126769</v>
      </c>
      <c r="N57">
        <v>-2.9368894821358622</v>
      </c>
      <c r="O57">
        <v>-2.613713595396892</v>
      </c>
      <c r="P57">
        <v>0.5236076074849163</v>
      </c>
      <c r="Q57">
        <v>-0.52486557418804092</v>
      </c>
      <c r="R57">
        <v>-0.43881383913569949</v>
      </c>
      <c r="S57">
        <v>9.2569804564363469</v>
      </c>
      <c r="T57">
        <v>0.15551986573479051</v>
      </c>
      <c r="U57">
        <v>9.1014605907015564</v>
      </c>
      <c r="V57">
        <v>-0.77119899901714395</v>
      </c>
      <c r="W57">
        <v>4.6758098629890217</v>
      </c>
      <c r="X57">
        <v>8.4774446653113067E-2</v>
      </c>
      <c r="Y57">
        <v>4.5910354163359086</v>
      </c>
      <c r="Z57">
        <v>-4</v>
      </c>
      <c r="AA57">
        <v>6.8123118875173612</v>
      </c>
      <c r="AB57">
        <v>2.7696665199223802</v>
      </c>
      <c r="AC57">
        <v>2.545723704027</v>
      </c>
      <c r="AD57">
        <v>-0.88350807869871639</v>
      </c>
      <c r="AE57">
        <v>-1.8459384917919739</v>
      </c>
      <c r="AF57">
        <v>-2.036831081708848</v>
      </c>
      <c r="AG57">
        <v>-1.4710290232211201</v>
      </c>
      <c r="AH57">
        <v>-1.420835879116769</v>
      </c>
      <c r="AI57">
        <v>-1.381872775257968</v>
      </c>
      <c r="AJ57">
        <v>-0.35756120307262451</v>
      </c>
      <c r="AK57">
        <v>-1.081567873632745</v>
      </c>
      <c r="AL57">
        <v>0.41329233247156583</v>
      </c>
      <c r="AM57">
        <v>2.9368894821358622</v>
      </c>
      <c r="AN57">
        <v>-2.613713595396892</v>
      </c>
      <c r="AO57">
        <v>0.63482532448919193</v>
      </c>
      <c r="AP57">
        <v>0.41238989048064068</v>
      </c>
      <c r="AQ57">
        <v>-0.52486557418804092</v>
      </c>
    </row>
    <row r="58" spans="1:43" x14ac:dyDescent="0.3">
      <c r="A58">
        <v>449</v>
      </c>
      <c r="B58">
        <v>2025</v>
      </c>
      <c r="C58" t="s">
        <v>115</v>
      </c>
      <c r="D58">
        <v>12.66666666666667</v>
      </c>
      <c r="E58">
        <v>14.13625418828684</v>
      </c>
      <c r="F58">
        <v>-1.4695875216201719</v>
      </c>
      <c r="G58">
        <v>0.54055222316471729</v>
      </c>
      <c r="H58">
        <v>-8.5570805794975252E-2</v>
      </c>
      <c r="I58">
        <v>-0.1549107351041544</v>
      </c>
      <c r="J58">
        <v>0.62883866448017722</v>
      </c>
      <c r="K58">
        <v>0.30213081591089108</v>
      </c>
      <c r="L58">
        <v>3.157847196277605E-2</v>
      </c>
      <c r="M58">
        <v>0.5339215868240389</v>
      </c>
      <c r="N58">
        <v>0.63898275554106421</v>
      </c>
      <c r="O58">
        <v>5.4426788891458182E-2</v>
      </c>
      <c r="P58">
        <v>0.27736319036521689</v>
      </c>
      <c r="Q58">
        <v>-0.52486557418804092</v>
      </c>
      <c r="R58">
        <v>0.54055222316471729</v>
      </c>
      <c r="S58">
        <v>9.2569804564363469</v>
      </c>
      <c r="T58">
        <v>0.15551986573479051</v>
      </c>
      <c r="U58">
        <v>9.1014605907015564</v>
      </c>
      <c r="V58">
        <v>-8.5570805794975252E-2</v>
      </c>
      <c r="W58">
        <v>4.6758098629890217</v>
      </c>
      <c r="X58">
        <v>8.4774446653113067E-2</v>
      </c>
      <c r="Y58">
        <v>4.5910354163359086</v>
      </c>
      <c r="Z58">
        <v>-0.1549107351041544</v>
      </c>
      <c r="AA58">
        <v>-0.62883866448017722</v>
      </c>
      <c r="AB58">
        <v>-0.36105429762281449</v>
      </c>
      <c r="AC58">
        <v>-0.24320733419896781</v>
      </c>
      <c r="AD58">
        <v>-1.273927125710931</v>
      </c>
      <c r="AE58">
        <v>0.67225489965634799</v>
      </c>
      <c r="AF58">
        <v>4.1157324422499357E-2</v>
      </c>
      <c r="AG58">
        <v>0.17463477265469959</v>
      </c>
      <c r="AH58">
        <v>0.48953400232961769</v>
      </c>
      <c r="AI58">
        <v>8.5816958424422621E-2</v>
      </c>
      <c r="AJ58">
        <v>0.95084995136826034</v>
      </c>
      <c r="AK58">
        <v>-4.4861464860971E-2</v>
      </c>
      <c r="AL58">
        <v>0.69577627396482722</v>
      </c>
      <c r="AM58">
        <v>-0.63898275554106421</v>
      </c>
      <c r="AN58">
        <v>5.4426788891458182E-2</v>
      </c>
      <c r="AO58">
        <v>0.3209461582006482</v>
      </c>
      <c r="AP58">
        <v>0.23378022252978559</v>
      </c>
      <c r="AQ58">
        <v>-0.52486557418804092</v>
      </c>
    </row>
    <row r="59" spans="1:43" x14ac:dyDescent="0.3">
      <c r="A59">
        <v>453</v>
      </c>
      <c r="B59">
        <v>2025</v>
      </c>
      <c r="C59" t="s">
        <v>116</v>
      </c>
      <c r="D59">
        <v>20</v>
      </c>
      <c r="E59">
        <v>17.460297803712141</v>
      </c>
      <c r="F59">
        <v>2.539702196287855</v>
      </c>
      <c r="G59">
        <v>1.5441744609889909</v>
      </c>
      <c r="H59">
        <v>0.30455112059473038</v>
      </c>
      <c r="I59">
        <v>-0.17861806093190519</v>
      </c>
      <c r="J59">
        <v>0.54277322716661225</v>
      </c>
      <c r="K59">
        <v>0.30213081591089108</v>
      </c>
      <c r="L59">
        <v>0.53384236855443135</v>
      </c>
      <c r="M59">
        <v>0.42814559061133339</v>
      </c>
      <c r="N59">
        <v>0.48434593730697378</v>
      </c>
      <c r="O59">
        <v>1.8822553422948161</v>
      </c>
      <c r="P59">
        <v>0.64382212881826761</v>
      </c>
      <c r="Q59">
        <v>-0.52486557418804092</v>
      </c>
      <c r="R59">
        <v>1.5441744609889909</v>
      </c>
      <c r="S59">
        <v>9.2569804564363469</v>
      </c>
      <c r="T59">
        <v>0.15551986573479051</v>
      </c>
      <c r="U59">
        <v>9.1014605907015564</v>
      </c>
      <c r="V59">
        <v>0.30455112059473038</v>
      </c>
      <c r="W59">
        <v>4.6758098629890217</v>
      </c>
      <c r="X59">
        <v>8.4774446653113067E-2</v>
      </c>
      <c r="Y59">
        <v>4.5910354163359086</v>
      </c>
      <c r="Z59">
        <v>-0.17861806093190519</v>
      </c>
      <c r="AA59">
        <v>-0.54277322716661225</v>
      </c>
      <c r="AB59">
        <v>-0.36105429762281449</v>
      </c>
      <c r="AC59">
        <v>-0.24320733419896781</v>
      </c>
      <c r="AD59">
        <v>-1.2362348463481521</v>
      </c>
      <c r="AE59">
        <v>1.1587015861989449</v>
      </c>
      <c r="AF59">
        <v>1.074889329726022</v>
      </c>
      <c r="AG59">
        <v>0.79076990588654861</v>
      </c>
      <c r="AH59">
        <v>0.8334578957290234</v>
      </c>
      <c r="AI59">
        <v>0.58147034013420051</v>
      </c>
      <c r="AJ59">
        <v>1.225408044644664</v>
      </c>
      <c r="AK59">
        <v>-0.23766608664193831</v>
      </c>
      <c r="AL59">
        <v>0.29669481383127388</v>
      </c>
      <c r="AM59">
        <v>-0.48434593730697378</v>
      </c>
      <c r="AN59">
        <v>1.8822553422948161</v>
      </c>
      <c r="AO59">
        <v>0.42817759074914807</v>
      </c>
      <c r="AP59">
        <v>0.85946666688738715</v>
      </c>
      <c r="AQ59">
        <v>-0.52486557418804092</v>
      </c>
    </row>
    <row r="60" spans="1:43" x14ac:dyDescent="0.3">
      <c r="A60">
        <v>456</v>
      </c>
      <c r="B60">
        <v>2025</v>
      </c>
      <c r="C60" t="s">
        <v>117</v>
      </c>
      <c r="D60">
        <v>18.333333333333329</v>
      </c>
      <c r="E60">
        <v>16.261999921398441</v>
      </c>
      <c r="F60">
        <v>2.0713334119348841</v>
      </c>
      <c r="G60">
        <v>1.0059303572611351</v>
      </c>
      <c r="H60">
        <v>1.213982910540037</v>
      </c>
      <c r="I60">
        <v>0.1314982104392067</v>
      </c>
      <c r="J60">
        <v>0.51814221861599985</v>
      </c>
      <c r="K60">
        <v>0.30213081591089108</v>
      </c>
      <c r="L60">
        <v>-7.2493144025945366E-2</v>
      </c>
      <c r="M60">
        <v>1.374971592919364E-2</v>
      </c>
      <c r="N60">
        <v>0.80117638558968429</v>
      </c>
      <c r="O60">
        <v>0.2166573379455955</v>
      </c>
      <c r="P60">
        <v>0.86861564833333982</v>
      </c>
      <c r="Q60">
        <v>-0.52486557418804092</v>
      </c>
      <c r="R60">
        <v>1.0059303572611351</v>
      </c>
      <c r="S60">
        <v>9.2569804564363469</v>
      </c>
      <c r="T60">
        <v>0.15551986573479051</v>
      </c>
      <c r="U60">
        <v>9.1014605907015564</v>
      </c>
      <c r="V60">
        <v>1.213982910540037</v>
      </c>
      <c r="W60">
        <v>4.6758098629890217</v>
      </c>
      <c r="X60">
        <v>8.4774446653113067E-2</v>
      </c>
      <c r="Y60">
        <v>4.5910354163359086</v>
      </c>
      <c r="Z60">
        <v>0.1314982104392067</v>
      </c>
      <c r="AA60">
        <v>-0.51814221861599985</v>
      </c>
      <c r="AB60">
        <v>-0.36105429762281449</v>
      </c>
      <c r="AC60">
        <v>-0.24320733419896781</v>
      </c>
      <c r="AD60">
        <v>-1.7336382390088081</v>
      </c>
      <c r="AE60">
        <v>-0.28429629868666728</v>
      </c>
      <c r="AF60">
        <v>0.62571552215063819</v>
      </c>
      <c r="AG60">
        <v>0.2683706660050848</v>
      </c>
      <c r="AH60">
        <v>0.27652066927312252</v>
      </c>
      <c r="AI60">
        <v>0.41236881611095733</v>
      </c>
      <c r="AJ60">
        <v>-0.18424578019022109</v>
      </c>
      <c r="AK60">
        <v>-0.42807818209357379</v>
      </c>
      <c r="AL60">
        <v>0.65357311007137586</v>
      </c>
      <c r="AM60">
        <v>-0.80117638558968429</v>
      </c>
      <c r="AN60">
        <v>0.2166573379455955</v>
      </c>
      <c r="AO60">
        <v>0.74559380764694549</v>
      </c>
      <c r="AP60">
        <v>0.99163748901973425</v>
      </c>
      <c r="AQ60">
        <v>-0.52486557418804092</v>
      </c>
    </row>
    <row r="61" spans="1:43" x14ac:dyDescent="0.3">
      <c r="A61">
        <v>466</v>
      </c>
      <c r="B61">
        <v>2025</v>
      </c>
      <c r="C61" t="s">
        <v>118</v>
      </c>
      <c r="D61">
        <v>19.666666666666671</v>
      </c>
      <c r="E61">
        <v>18.61434779521548</v>
      </c>
      <c r="F61">
        <v>1.0523188714511951</v>
      </c>
      <c r="G61">
        <v>1.292733361107917</v>
      </c>
      <c r="H61">
        <v>0.79561249261784928</v>
      </c>
      <c r="I61">
        <v>0.11957905767497851</v>
      </c>
      <c r="J61">
        <v>0.59104313548036069</v>
      </c>
      <c r="K61">
        <v>0.30213081591089108</v>
      </c>
      <c r="L61">
        <v>0.58998504623557957</v>
      </c>
      <c r="M61">
        <v>0.74577202998090886</v>
      </c>
      <c r="N61">
        <v>0.66946004436657558</v>
      </c>
      <c r="O61">
        <v>1.7080249566774519</v>
      </c>
      <c r="P61">
        <v>0.58933930358248154</v>
      </c>
      <c r="Q61">
        <v>-0.52486557418804092</v>
      </c>
      <c r="R61">
        <v>1.292733361107917</v>
      </c>
      <c r="S61">
        <v>9.2569804564363469</v>
      </c>
      <c r="T61">
        <v>0.15551986573479051</v>
      </c>
      <c r="U61">
        <v>9.1014605907015564</v>
      </c>
      <c r="V61">
        <v>0.79561249261784928</v>
      </c>
      <c r="W61">
        <v>4.6758098629890217</v>
      </c>
      <c r="X61">
        <v>8.4774446653113067E-2</v>
      </c>
      <c r="Y61">
        <v>4.5910354163359086</v>
      </c>
      <c r="Z61">
        <v>0.11957905767497851</v>
      </c>
      <c r="AA61">
        <v>-0.59104313548036069</v>
      </c>
      <c r="AB61">
        <v>-0.36105429762281449</v>
      </c>
      <c r="AC61">
        <v>-0.24320733419896781</v>
      </c>
      <c r="AD61">
        <v>-1.374878075204125</v>
      </c>
      <c r="AE61">
        <v>0.78097191972859714</v>
      </c>
      <c r="AF61">
        <v>1.5306690298407151</v>
      </c>
      <c r="AG61">
        <v>0.86498950787418616</v>
      </c>
      <c r="AH61">
        <v>0.77867364430835162</v>
      </c>
      <c r="AI61">
        <v>0.9594842508657524</v>
      </c>
      <c r="AJ61">
        <v>1.817727786583428</v>
      </c>
      <c r="AK61">
        <v>-8.5534412459609119E-2</v>
      </c>
      <c r="AL61">
        <v>0.50512271581890766</v>
      </c>
      <c r="AM61">
        <v>-0.66946004436657558</v>
      </c>
      <c r="AN61">
        <v>1.7080249566774519</v>
      </c>
      <c r="AO61">
        <v>0.86803525510925594</v>
      </c>
      <c r="AP61">
        <v>0.3106433520557072</v>
      </c>
      <c r="AQ61">
        <v>-0.52486557418804092</v>
      </c>
    </row>
    <row r="62" spans="1:43" x14ac:dyDescent="0.3">
      <c r="A62">
        <v>469</v>
      </c>
      <c r="B62">
        <v>2025</v>
      </c>
      <c r="C62" t="s">
        <v>119</v>
      </c>
      <c r="D62">
        <v>7.3333333333333339</v>
      </c>
      <c r="E62">
        <v>6.9080552675877351</v>
      </c>
      <c r="F62">
        <v>0.42527806574559879</v>
      </c>
      <c r="G62">
        <v>-0.82251851033987011</v>
      </c>
      <c r="H62">
        <v>0.54078917527419224</v>
      </c>
      <c r="I62">
        <v>0.4790746762121787</v>
      </c>
      <c r="J62">
        <v>-1.6360121442221041</v>
      </c>
      <c r="K62">
        <v>0.30213081591089108</v>
      </c>
      <c r="L62">
        <v>-0.93805545796393164</v>
      </c>
      <c r="M62">
        <v>-3.4948874152814668</v>
      </c>
      <c r="N62">
        <v>-0.80347926435005557</v>
      </c>
      <c r="O62">
        <v>-0.30810275624498318</v>
      </c>
      <c r="P62">
        <v>-3.6110191864226683E-2</v>
      </c>
      <c r="Q62">
        <v>-0.52486557418804092</v>
      </c>
      <c r="R62">
        <v>-0.82251851033987011</v>
      </c>
      <c r="S62">
        <v>9.2569804564363469</v>
      </c>
      <c r="T62">
        <v>0.15551986573479051</v>
      </c>
      <c r="U62">
        <v>9.1014605907015564</v>
      </c>
      <c r="V62">
        <v>0.54078917527419224</v>
      </c>
      <c r="W62">
        <v>4.6758098629890217</v>
      </c>
      <c r="X62">
        <v>8.4774446653113067E-2</v>
      </c>
      <c r="Y62">
        <v>4.5910354163359086</v>
      </c>
      <c r="Z62">
        <v>0.4790746762121787</v>
      </c>
      <c r="AA62">
        <v>1.6360121442221041</v>
      </c>
      <c r="AB62">
        <v>-0.36105429762281449</v>
      </c>
      <c r="AC62">
        <v>-0.24320733419896781</v>
      </c>
      <c r="AD62">
        <v>-1.6920456048592869</v>
      </c>
      <c r="AE62">
        <v>-1.0658732133466791</v>
      </c>
      <c r="AF62">
        <v>-0.53477747822888766</v>
      </c>
      <c r="AG62">
        <v>-1.0746543267972879</v>
      </c>
      <c r="AH62">
        <v>-0.36684533551016379</v>
      </c>
      <c r="AI62">
        <v>-0.89413678904128369</v>
      </c>
      <c r="AJ62">
        <v>-1.236091969409874</v>
      </c>
      <c r="AK62">
        <v>-1.0559925921812681</v>
      </c>
      <c r="AL62">
        <v>-8.1925776842532585</v>
      </c>
      <c r="AM62">
        <v>0.80347926435005557</v>
      </c>
      <c r="AN62">
        <v>-0.30810275624498318</v>
      </c>
      <c r="AO62">
        <v>-0.21051335327925261</v>
      </c>
      <c r="AP62">
        <v>0.13829296955079931</v>
      </c>
      <c r="AQ62">
        <v>-0.52486557418804092</v>
      </c>
    </row>
    <row r="63" spans="1:43" x14ac:dyDescent="0.3">
      <c r="A63">
        <v>513</v>
      </c>
      <c r="B63">
        <v>2025</v>
      </c>
      <c r="C63" t="s">
        <v>120</v>
      </c>
      <c r="D63">
        <v>8.6666666666666661</v>
      </c>
      <c r="E63">
        <v>9.7222356783292305</v>
      </c>
      <c r="F63">
        <v>-1.055569011662564</v>
      </c>
      <c r="G63">
        <v>-0.94019223621171144</v>
      </c>
      <c r="H63">
        <v>0.70129107233987054</v>
      </c>
      <c r="I63">
        <v>0.96872045735071444</v>
      </c>
      <c r="J63">
        <v>-0.47669486802581379</v>
      </c>
      <c r="K63">
        <v>0.30213081591089108</v>
      </c>
      <c r="L63">
        <v>-1.0830267217986811</v>
      </c>
      <c r="M63">
        <v>-1.4433903836755979</v>
      </c>
      <c r="N63">
        <v>0.49387529926426671</v>
      </c>
      <c r="O63">
        <v>-9.8654389020354401E-3</v>
      </c>
      <c r="P63">
        <v>-7.2174422100722974E-2</v>
      </c>
      <c r="Q63">
        <v>-0.52486557418804092</v>
      </c>
      <c r="R63">
        <v>-0.94019223621171144</v>
      </c>
      <c r="S63">
        <v>9.2569804564363469</v>
      </c>
      <c r="T63">
        <v>0.15551986573479051</v>
      </c>
      <c r="U63">
        <v>9.1014605907015564</v>
      </c>
      <c r="V63">
        <v>0.70129107233987054</v>
      </c>
      <c r="W63">
        <v>4.6758098629890217</v>
      </c>
      <c r="X63">
        <v>8.4774446653113067E-2</v>
      </c>
      <c r="Y63">
        <v>4.5910354163359086</v>
      </c>
      <c r="Z63">
        <v>0.96872045735071444</v>
      </c>
      <c r="AA63">
        <v>0.47669486802581379</v>
      </c>
      <c r="AB63">
        <v>-0.36105429762281449</v>
      </c>
      <c r="AC63">
        <v>-0.24320733419896781</v>
      </c>
      <c r="AD63">
        <v>-0.99459348349685328</v>
      </c>
      <c r="AE63">
        <v>-1.1159736689979129</v>
      </c>
      <c r="AF63">
        <v>-1.0476297598414179</v>
      </c>
      <c r="AG63">
        <v>-1.357105625275016</v>
      </c>
      <c r="AH63">
        <v>-0.70905644874354912</v>
      </c>
      <c r="AI63">
        <v>-1.2738013444373339</v>
      </c>
      <c r="AJ63">
        <v>-0.45201259532880989</v>
      </c>
      <c r="AK63">
        <v>-1.794045714326127</v>
      </c>
      <c r="AL63">
        <v>-2.084112841371859</v>
      </c>
      <c r="AM63">
        <v>-0.49387529926426671</v>
      </c>
      <c r="AN63">
        <v>-9.8654389020354401E-3</v>
      </c>
      <c r="AO63">
        <v>-0.30880224427805542</v>
      </c>
      <c r="AP63">
        <v>0.1644534000766095</v>
      </c>
      <c r="AQ63">
        <v>-0.52486557418804092</v>
      </c>
    </row>
    <row r="64" spans="1:43" x14ac:dyDescent="0.3">
      <c r="A64">
        <v>522</v>
      </c>
      <c r="B64">
        <v>2025</v>
      </c>
      <c r="C64" t="s">
        <v>121</v>
      </c>
      <c r="D64">
        <v>8</v>
      </c>
      <c r="E64">
        <v>9.3636396723051796</v>
      </c>
      <c r="F64">
        <v>-1.36363967230518</v>
      </c>
      <c r="G64">
        <v>-0.91874497061381766</v>
      </c>
      <c r="H64">
        <v>-0.48641960760224701</v>
      </c>
      <c r="I64">
        <v>0.31233751721368869</v>
      </c>
      <c r="J64">
        <v>0.35969099784695568</v>
      </c>
      <c r="K64">
        <v>0.30213081591089108</v>
      </c>
      <c r="L64">
        <v>-0.96351665305688805</v>
      </c>
      <c r="M64">
        <v>-0.23457354517709139</v>
      </c>
      <c r="N64">
        <v>0.83929383341885644</v>
      </c>
      <c r="O64">
        <v>-0.63359832302250174</v>
      </c>
      <c r="P64">
        <v>0.62066607441949384</v>
      </c>
      <c r="Q64">
        <v>-0.52486557418804092</v>
      </c>
      <c r="R64">
        <v>-0.91874497061381766</v>
      </c>
      <c r="S64">
        <v>9.2569804564363469</v>
      </c>
      <c r="T64">
        <v>0.15551986573479051</v>
      </c>
      <c r="U64">
        <v>9.1014605907015564</v>
      </c>
      <c r="V64">
        <v>-0.48641960760224701</v>
      </c>
      <c r="W64">
        <v>4.6758098629890217</v>
      </c>
      <c r="X64">
        <v>8.4774446653113067E-2</v>
      </c>
      <c r="Y64">
        <v>4.5910354163359086</v>
      </c>
      <c r="Z64">
        <v>0.31233751721368869</v>
      </c>
      <c r="AA64">
        <v>-0.35969099784695568</v>
      </c>
      <c r="AB64">
        <v>-0.36105429762281449</v>
      </c>
      <c r="AC64">
        <v>-0.24320733419896781</v>
      </c>
      <c r="AD64">
        <v>-1.5950741768737779</v>
      </c>
      <c r="AE64">
        <v>2.391364879812486E-2</v>
      </c>
      <c r="AF64">
        <v>-0.60911141264146429</v>
      </c>
      <c r="AG64">
        <v>-1.0964170813999981</v>
      </c>
      <c r="AH64">
        <v>-1.049108857238205</v>
      </c>
      <c r="AI64">
        <v>-1.4553020389860081</v>
      </c>
      <c r="AJ64">
        <v>-0.15176793344996739</v>
      </c>
      <c r="AK64">
        <v>-1.23262703601227</v>
      </c>
      <c r="AL64">
        <v>0.68067433393096322</v>
      </c>
      <c r="AM64">
        <v>-0.83929383341885644</v>
      </c>
      <c r="AN64">
        <v>-0.63359832302250174</v>
      </c>
      <c r="AO64">
        <v>0.86449960292798111</v>
      </c>
      <c r="AP64">
        <v>0.37683254591100662</v>
      </c>
      <c r="AQ64">
        <v>-0.52486557418804092</v>
      </c>
    </row>
    <row r="65" spans="1:43" x14ac:dyDescent="0.3">
      <c r="A65">
        <v>524</v>
      </c>
      <c r="B65">
        <v>2025</v>
      </c>
      <c r="C65" t="s">
        <v>122</v>
      </c>
      <c r="D65">
        <v>6</v>
      </c>
      <c r="E65">
        <v>4.2059002423632492</v>
      </c>
      <c r="F65">
        <v>1.794099757636751</v>
      </c>
      <c r="G65">
        <v>-0.59104830287009713</v>
      </c>
      <c r="H65">
        <v>-0.11741549454915411</v>
      </c>
      <c r="I65">
        <v>-1.8469501687219829</v>
      </c>
      <c r="J65">
        <v>-1.9404178308410209</v>
      </c>
      <c r="K65">
        <v>-3.1881896902688212</v>
      </c>
      <c r="L65">
        <v>-0.54734987896581588</v>
      </c>
      <c r="M65">
        <v>-2.699442980396769</v>
      </c>
      <c r="N65">
        <v>-1.188821102098319</v>
      </c>
      <c r="O65">
        <v>0.16261928083597971</v>
      </c>
      <c r="P65">
        <v>-4.0025152166626679E-2</v>
      </c>
      <c r="Q65">
        <v>-0.52486557418804092</v>
      </c>
      <c r="R65">
        <v>-0.59104830287009713</v>
      </c>
      <c r="S65">
        <v>9.2569804564363469</v>
      </c>
      <c r="T65">
        <v>0.15551986573479051</v>
      </c>
      <c r="U65">
        <v>9.1014605907015564</v>
      </c>
      <c r="V65">
        <v>-0.11741549454915411</v>
      </c>
      <c r="W65">
        <v>4.6758098629890217</v>
      </c>
      <c r="X65">
        <v>8.4774446653113067E-2</v>
      </c>
      <c r="Y65">
        <v>4.5910354163359086</v>
      </c>
      <c r="Z65">
        <v>-1.8469501687219829</v>
      </c>
      <c r="AA65">
        <v>1.9404178308410209</v>
      </c>
      <c r="AB65">
        <v>2.7696665199223802</v>
      </c>
      <c r="AC65">
        <v>3.6067128606152621</v>
      </c>
      <c r="AD65">
        <v>-0.41172348294491212</v>
      </c>
      <c r="AE65">
        <v>-0.63746905215621719</v>
      </c>
      <c r="AF65">
        <v>-0.54907362891341682</v>
      </c>
      <c r="AG65">
        <v>-0.89555737322669104</v>
      </c>
      <c r="AH65">
        <v>-0.2663769175032159</v>
      </c>
      <c r="AI65">
        <v>-0.523898819050442</v>
      </c>
      <c r="AJ65">
        <v>-1.837809236447089</v>
      </c>
      <c r="AK65">
        <v>-1.297142745996317</v>
      </c>
      <c r="AL65">
        <v>-4.9633769587469008</v>
      </c>
      <c r="AM65">
        <v>1.188821102098319</v>
      </c>
      <c r="AN65">
        <v>0.16261928083597971</v>
      </c>
      <c r="AO65">
        <v>-0.20415847286717201</v>
      </c>
      <c r="AP65">
        <v>0.12410816853391871</v>
      </c>
      <c r="AQ65">
        <v>-0.52486557418804092</v>
      </c>
    </row>
    <row r="66" spans="1:43" x14ac:dyDescent="0.3">
      <c r="A66">
        <v>528</v>
      </c>
      <c r="B66">
        <v>2025</v>
      </c>
      <c r="C66" t="s">
        <v>123</v>
      </c>
      <c r="D66">
        <v>20</v>
      </c>
      <c r="E66">
        <v>20.623549914622771</v>
      </c>
      <c r="F66">
        <v>-0.62354991462276743</v>
      </c>
      <c r="G66">
        <v>1.060054251530165</v>
      </c>
      <c r="H66">
        <v>1.025706808559101</v>
      </c>
      <c r="I66">
        <v>-1.061476482659208E-2</v>
      </c>
      <c r="J66">
        <v>0.53621004595715394</v>
      </c>
      <c r="K66">
        <v>0.30213081591089108</v>
      </c>
      <c r="L66">
        <v>1.1580946013788871</v>
      </c>
      <c r="M66">
        <v>7.5499240306405022E-2</v>
      </c>
      <c r="N66">
        <v>0.96209202540496475</v>
      </c>
      <c r="O66">
        <v>1.9938745117062071</v>
      </c>
      <c r="P66">
        <v>1.1401046546416871</v>
      </c>
      <c r="Q66">
        <v>-0.52486557418804092</v>
      </c>
      <c r="R66">
        <v>1.060054251530165</v>
      </c>
      <c r="S66">
        <v>9.2569804564363469</v>
      </c>
      <c r="T66">
        <v>0.15551986573479051</v>
      </c>
      <c r="U66">
        <v>9.1014605907015564</v>
      </c>
      <c r="V66">
        <v>1.025706808559101</v>
      </c>
      <c r="W66">
        <v>4.6758098629890217</v>
      </c>
      <c r="X66">
        <v>8.4774446653113067E-2</v>
      </c>
      <c r="Y66">
        <v>4.5910354163359086</v>
      </c>
      <c r="Z66">
        <v>-1.061476482659208E-2</v>
      </c>
      <c r="AA66">
        <v>-0.53621004595715394</v>
      </c>
      <c r="AB66">
        <v>-0.36105429762281449</v>
      </c>
      <c r="AC66">
        <v>-0.24320733419896781</v>
      </c>
      <c r="AD66">
        <v>1.068728764440662</v>
      </c>
      <c r="AE66">
        <v>0.8841291322357977</v>
      </c>
      <c r="AF66">
        <v>1.3888613417703071</v>
      </c>
      <c r="AG66">
        <v>1.329847261379159</v>
      </c>
      <c r="AH66">
        <v>1.185521255726675</v>
      </c>
      <c r="AI66">
        <v>1.0914798527207219</v>
      </c>
      <c r="AJ66">
        <v>0.36193837853186972</v>
      </c>
      <c r="AK66">
        <v>-1.052115049509593</v>
      </c>
      <c r="AL66">
        <v>0.91667439189693811</v>
      </c>
      <c r="AM66">
        <v>-0.96209202540496475</v>
      </c>
      <c r="AN66">
        <v>1.9938745117062071</v>
      </c>
      <c r="AO66">
        <v>1.254292911655448</v>
      </c>
      <c r="AP66">
        <v>1.025916397627926</v>
      </c>
      <c r="AQ66">
        <v>-0.52486557418804092</v>
      </c>
    </row>
    <row r="67" spans="1:43" x14ac:dyDescent="0.3">
      <c r="A67">
        <v>532</v>
      </c>
      <c r="B67">
        <v>2025</v>
      </c>
      <c r="C67" t="s">
        <v>124</v>
      </c>
      <c r="D67">
        <v>19.666666666666671</v>
      </c>
      <c r="E67">
        <v>19.837178888851341</v>
      </c>
      <c r="F67">
        <v>-0.1705122221846693</v>
      </c>
      <c r="G67">
        <v>1.370152010187597</v>
      </c>
      <c r="H67">
        <v>0.64718121582061583</v>
      </c>
      <c r="I67">
        <v>-0.83294898575787346</v>
      </c>
      <c r="J67">
        <v>0.52220604884162369</v>
      </c>
      <c r="K67">
        <v>0.30213081591089108</v>
      </c>
      <c r="L67">
        <v>0.99749118600043429</v>
      </c>
      <c r="M67">
        <v>8.1116266179531785E-2</v>
      </c>
      <c r="N67">
        <v>1.288924136383377</v>
      </c>
      <c r="O67">
        <v>1.6247114362282411</v>
      </c>
      <c r="P67">
        <v>1.476905125542509</v>
      </c>
      <c r="Q67">
        <v>-0.52486557418804092</v>
      </c>
      <c r="R67">
        <v>1.370152010187597</v>
      </c>
      <c r="S67">
        <v>9.2569804564363469</v>
      </c>
      <c r="T67">
        <v>0.15551986573479051</v>
      </c>
      <c r="U67">
        <v>9.1014605907015564</v>
      </c>
      <c r="V67">
        <v>0.64718121582061583</v>
      </c>
      <c r="W67">
        <v>4.6758098629890217</v>
      </c>
      <c r="X67">
        <v>8.4774446653113067E-2</v>
      </c>
      <c r="Y67">
        <v>4.5910354163359086</v>
      </c>
      <c r="Z67">
        <v>-0.83294898575787346</v>
      </c>
      <c r="AA67">
        <v>-0.52220604884162369</v>
      </c>
      <c r="AB67">
        <v>-0.36105429762281449</v>
      </c>
      <c r="AC67">
        <v>-0.24320733419896781</v>
      </c>
      <c r="AD67">
        <v>-0.51096398525604159</v>
      </c>
      <c r="AE67">
        <v>0.77562618089965163</v>
      </c>
      <c r="AF67">
        <v>1.4752790073718831</v>
      </c>
      <c r="AG67">
        <v>1.503199719971126</v>
      </c>
      <c r="AH67">
        <v>1.221101738560699</v>
      </c>
      <c r="AI67">
        <v>1.520704454455287</v>
      </c>
      <c r="AJ67">
        <v>-0.29320695119841811</v>
      </c>
      <c r="AK67">
        <v>-0.9019633971170552</v>
      </c>
      <c r="AL67">
        <v>1.438519146854069</v>
      </c>
      <c r="AM67">
        <v>-1.288924136383377</v>
      </c>
      <c r="AN67">
        <v>1.6247114362282411</v>
      </c>
      <c r="AO67">
        <v>1.5167812875261411</v>
      </c>
      <c r="AP67">
        <v>1.4370289635588771</v>
      </c>
      <c r="AQ67">
        <v>-0.52486557418804092</v>
      </c>
    </row>
    <row r="68" spans="1:43" x14ac:dyDescent="0.3">
      <c r="A68">
        <v>534</v>
      </c>
      <c r="B68">
        <v>2025</v>
      </c>
      <c r="C68" t="s">
        <v>125</v>
      </c>
      <c r="D68">
        <v>13.33333333333333</v>
      </c>
      <c r="E68">
        <v>13.34398402846888</v>
      </c>
      <c r="F68">
        <v>-1.06506951355545E-2</v>
      </c>
      <c r="G68">
        <v>-0.91717228643578452</v>
      </c>
      <c r="H68">
        <v>1.8294839790981789</v>
      </c>
      <c r="I68">
        <v>1.1906000703463491</v>
      </c>
      <c r="J68">
        <v>1.350226806317437E-2</v>
      </c>
      <c r="K68">
        <v>0.30213081591089108</v>
      </c>
      <c r="L68">
        <v>-0.25306154364617578</v>
      </c>
      <c r="M68">
        <v>-1.3516383061785919</v>
      </c>
      <c r="N68">
        <v>-0.64764780307175651</v>
      </c>
      <c r="O68">
        <v>5.4491443183285908E-2</v>
      </c>
      <c r="P68">
        <v>0.47533435517202288</v>
      </c>
      <c r="Q68">
        <v>-0.52486557418804092</v>
      </c>
      <c r="R68">
        <v>-0.91717228643578452</v>
      </c>
      <c r="S68">
        <v>9.2569804564363469</v>
      </c>
      <c r="T68">
        <v>0.15551986573479051</v>
      </c>
      <c r="U68">
        <v>9.1014605907015564</v>
      </c>
      <c r="V68">
        <v>1.8294839790981789</v>
      </c>
      <c r="W68">
        <v>4.6758098629890217</v>
      </c>
      <c r="X68">
        <v>8.4774446653113067E-2</v>
      </c>
      <c r="Y68">
        <v>4.5910354163359086</v>
      </c>
      <c r="Z68">
        <v>1.1906000703463491</v>
      </c>
      <c r="AA68">
        <v>-1.350226806317437E-2</v>
      </c>
      <c r="AB68">
        <v>-0.36105429762281449</v>
      </c>
      <c r="AC68">
        <v>-0.24320733419896781</v>
      </c>
      <c r="AD68">
        <v>-4.8729572106136189E-2</v>
      </c>
      <c r="AE68">
        <v>-0.78879531803081571</v>
      </c>
      <c r="AF68">
        <v>0.26575655054662201</v>
      </c>
      <c r="AG68">
        <v>-0.47443978087473843</v>
      </c>
      <c r="AH68">
        <v>3.3458467118282882E-2</v>
      </c>
      <c r="AI68">
        <v>-0.50561960853026955</v>
      </c>
      <c r="AJ68">
        <v>-1.416749991902535</v>
      </c>
      <c r="AK68">
        <v>-0.75709180283062882</v>
      </c>
      <c r="AL68">
        <v>-1.881073123802613</v>
      </c>
      <c r="AM68">
        <v>0.64764780307175651</v>
      </c>
      <c r="AN68">
        <v>5.4491443183285908E-2</v>
      </c>
      <c r="AO68">
        <v>0.30763166854202179</v>
      </c>
      <c r="AP68">
        <v>0.64303704180202403</v>
      </c>
      <c r="AQ68">
        <v>-0.52486557418804092</v>
      </c>
    </row>
    <row r="69" spans="1:43" x14ac:dyDescent="0.3">
      <c r="A69">
        <v>536</v>
      </c>
      <c r="B69">
        <v>2025</v>
      </c>
      <c r="C69" t="s">
        <v>126</v>
      </c>
      <c r="D69">
        <v>14</v>
      </c>
      <c r="E69">
        <v>14.255890373890701</v>
      </c>
      <c r="F69">
        <v>-0.25589037389070057</v>
      </c>
      <c r="G69">
        <v>-0.46941647966126743</v>
      </c>
      <c r="H69">
        <v>1.281333596436379</v>
      </c>
      <c r="I69">
        <v>0.42467444051903419</v>
      </c>
      <c r="J69">
        <v>0.39050360730415101</v>
      </c>
      <c r="K69">
        <v>0.30213081591089108</v>
      </c>
      <c r="L69">
        <v>-0.1779162557169707</v>
      </c>
      <c r="M69">
        <v>-0.77523091360474616</v>
      </c>
      <c r="N69">
        <v>0.47845606927506079</v>
      </c>
      <c r="O69">
        <v>0.12598615908638849</v>
      </c>
      <c r="P69">
        <v>0.25254746831463232</v>
      </c>
      <c r="Q69">
        <v>-0.52486557418804092</v>
      </c>
      <c r="R69">
        <v>-0.46941647966126743</v>
      </c>
      <c r="S69">
        <v>9.2569804564363469</v>
      </c>
      <c r="T69">
        <v>0.15551986573479051</v>
      </c>
      <c r="U69">
        <v>9.1014605907015564</v>
      </c>
      <c r="V69">
        <v>1.281333596436379</v>
      </c>
      <c r="W69">
        <v>4.6758098629890217</v>
      </c>
      <c r="X69">
        <v>8.4774446653113067E-2</v>
      </c>
      <c r="Y69">
        <v>4.5910354163359086</v>
      </c>
      <c r="Z69">
        <v>0.42467444051903419</v>
      </c>
      <c r="AA69">
        <v>-0.39050360730415101</v>
      </c>
      <c r="AB69">
        <v>-0.36105429762281449</v>
      </c>
      <c r="AC69">
        <v>-0.24320733419896781</v>
      </c>
      <c r="AD69">
        <v>9.7709342792265679E-4</v>
      </c>
      <c r="AE69">
        <v>-0.51289539872088308</v>
      </c>
      <c r="AF69">
        <v>0.38362081871959047</v>
      </c>
      <c r="AG69">
        <v>2.340395763603334E-2</v>
      </c>
      <c r="AH69">
        <v>-0.33399305144748609</v>
      </c>
      <c r="AI69">
        <v>-0.62861095391700161</v>
      </c>
      <c r="AJ69">
        <v>-0.13267216244991081</v>
      </c>
      <c r="AK69">
        <v>-1.293347704232549</v>
      </c>
      <c r="AL69">
        <v>-0.89967287413177877</v>
      </c>
      <c r="AM69">
        <v>-0.47845606927506079</v>
      </c>
      <c r="AN69">
        <v>0.12598615908638849</v>
      </c>
      <c r="AO69">
        <v>4.6839495267187711E-2</v>
      </c>
      <c r="AP69">
        <v>0.45825544136207702</v>
      </c>
      <c r="AQ69">
        <v>-0.52486557418804092</v>
      </c>
    </row>
    <row r="70" spans="1:43" x14ac:dyDescent="0.3">
      <c r="A70">
        <v>542</v>
      </c>
      <c r="B70">
        <v>2025</v>
      </c>
      <c r="C70" t="s">
        <v>127</v>
      </c>
      <c r="D70">
        <v>19.666666666666671</v>
      </c>
      <c r="E70">
        <v>19.012557643665328</v>
      </c>
      <c r="F70">
        <v>0.65410902300133955</v>
      </c>
      <c r="G70">
        <v>1.0215746418497429</v>
      </c>
      <c r="H70">
        <v>1.413335917688527</v>
      </c>
      <c r="I70">
        <v>-0.56164636569591531</v>
      </c>
      <c r="J70">
        <v>0.42461688638121908</v>
      </c>
      <c r="K70">
        <v>0.30213081591089108</v>
      </c>
      <c r="L70">
        <v>0.95283899159400687</v>
      </c>
      <c r="M70">
        <v>0.19071372516842261</v>
      </c>
      <c r="N70">
        <v>0.13000925391538409</v>
      </c>
      <c r="O70">
        <v>0.70162918094538995</v>
      </c>
      <c r="P70">
        <v>0.49122814448008101</v>
      </c>
      <c r="Q70">
        <v>-0.52486557418804092</v>
      </c>
      <c r="R70">
        <v>1.0215746418497429</v>
      </c>
      <c r="S70">
        <v>9.2569804564363469</v>
      </c>
      <c r="T70">
        <v>0.15551986573479051</v>
      </c>
      <c r="U70">
        <v>9.1014605907015564</v>
      </c>
      <c r="V70">
        <v>1.413335917688527</v>
      </c>
      <c r="W70">
        <v>4.6758098629890217</v>
      </c>
      <c r="X70">
        <v>8.4774446653113067E-2</v>
      </c>
      <c r="Y70">
        <v>4.5910354163359086</v>
      </c>
      <c r="Z70">
        <v>-0.56164636569591531</v>
      </c>
      <c r="AA70">
        <v>-0.42461688638121908</v>
      </c>
      <c r="AB70">
        <v>-0.36105429762281449</v>
      </c>
      <c r="AC70">
        <v>-0.24320733419896781</v>
      </c>
      <c r="AD70">
        <v>0.80447694007834591</v>
      </c>
      <c r="AE70">
        <v>0.7000132763808794</v>
      </c>
      <c r="AF70">
        <v>1.307214660792253</v>
      </c>
      <c r="AG70">
        <v>0.95599739075824686</v>
      </c>
      <c r="AH70">
        <v>1.172593741186279</v>
      </c>
      <c r="AI70">
        <v>0.77673794036803689</v>
      </c>
      <c r="AJ70">
        <v>0.33171593781524472</v>
      </c>
      <c r="AK70">
        <v>-0.562224658351962</v>
      </c>
      <c r="AL70">
        <v>0.80264989604198511</v>
      </c>
      <c r="AM70">
        <v>-0.13000925391538409</v>
      </c>
      <c r="AN70">
        <v>0.70162918094538995</v>
      </c>
      <c r="AO70">
        <v>0.50429675161072129</v>
      </c>
      <c r="AP70">
        <v>0.47815953734944078</v>
      </c>
      <c r="AQ70">
        <v>-0.52486557418804092</v>
      </c>
    </row>
    <row r="71" spans="1:43" x14ac:dyDescent="0.3">
      <c r="A71">
        <v>544</v>
      </c>
      <c r="B71">
        <v>2025</v>
      </c>
      <c r="C71" t="s">
        <v>129</v>
      </c>
      <c r="D71">
        <v>4</v>
      </c>
      <c r="E71">
        <v>6.4773497220357958</v>
      </c>
      <c r="F71">
        <v>-2.4773497220357958</v>
      </c>
      <c r="G71">
        <v>-1.11458336245267</v>
      </c>
      <c r="H71">
        <v>-1.038866541691001</v>
      </c>
      <c r="I71">
        <v>-0.30003624348618668</v>
      </c>
      <c r="J71">
        <v>-1.4614391556565709</v>
      </c>
      <c r="K71">
        <v>0.30213081591089108</v>
      </c>
      <c r="L71">
        <v>-0.92950567492947567</v>
      </c>
      <c r="M71">
        <v>-0.57057489917920368</v>
      </c>
      <c r="N71">
        <v>-0.90641304292664637</v>
      </c>
      <c r="O71">
        <v>0.38620675283463168</v>
      </c>
      <c r="P71">
        <v>0.39708616185562412</v>
      </c>
      <c r="Q71">
        <v>-0.52486557418804092</v>
      </c>
      <c r="R71">
        <v>-1.11458336245267</v>
      </c>
      <c r="S71">
        <v>9.2569804564363469</v>
      </c>
      <c r="T71">
        <v>0.15551986573479051</v>
      </c>
      <c r="U71">
        <v>9.1014605907015564</v>
      </c>
      <c r="V71">
        <v>-1.038866541691001</v>
      </c>
      <c r="W71">
        <v>4.6758098629890217</v>
      </c>
      <c r="X71">
        <v>8.4774446653113067E-2</v>
      </c>
      <c r="Y71">
        <v>4.5910354163359086</v>
      </c>
      <c r="Z71">
        <v>-0.30003624348618668</v>
      </c>
      <c r="AA71">
        <v>1.4614391556565709</v>
      </c>
      <c r="AB71">
        <v>-0.36105429762281449</v>
      </c>
      <c r="AC71">
        <v>-0.24320733419896781</v>
      </c>
      <c r="AD71">
        <v>-1.9739950939372</v>
      </c>
      <c r="AE71">
        <v>0.94472971918862958</v>
      </c>
      <c r="AF71">
        <v>-0.98707667840808244</v>
      </c>
      <c r="AG71">
        <v>-1.3726025873120671</v>
      </c>
      <c r="AH71">
        <v>-1.0639146275691931</v>
      </c>
      <c r="AI71">
        <v>-1.12417478153894</v>
      </c>
      <c r="AJ71">
        <v>0.6817048325485654</v>
      </c>
      <c r="AK71">
        <v>-1.030004806190252</v>
      </c>
      <c r="AL71">
        <v>-1.3634247238959241</v>
      </c>
      <c r="AM71">
        <v>0.90641304292664637</v>
      </c>
      <c r="AN71">
        <v>0.38620675283463168</v>
      </c>
      <c r="AO71">
        <v>0.37814857336899249</v>
      </c>
      <c r="AP71">
        <v>0.41602375034225569</v>
      </c>
      <c r="AQ71">
        <v>-0.52486557418804092</v>
      </c>
    </row>
    <row r="72" spans="1:43" x14ac:dyDescent="0.3">
      <c r="A72">
        <v>546</v>
      </c>
      <c r="B72">
        <v>2025</v>
      </c>
      <c r="C72" t="s">
        <v>130</v>
      </c>
      <c r="D72">
        <v>19.5</v>
      </c>
      <c r="E72">
        <v>19.07278649238987</v>
      </c>
      <c r="F72">
        <v>0.42721350761012999</v>
      </c>
      <c r="G72">
        <v>1.580378525732796</v>
      </c>
      <c r="H72">
        <v>-0.44950042375572141</v>
      </c>
      <c r="I72">
        <v>0.7011725887089898</v>
      </c>
      <c r="J72">
        <v>0.69239086392408888</v>
      </c>
      <c r="K72">
        <v>0.30213081591089108</v>
      </c>
      <c r="L72">
        <v>0.7677879396180457</v>
      </c>
      <c r="M72">
        <v>0.23735853526172759</v>
      </c>
      <c r="N72">
        <v>1.6127557485530779</v>
      </c>
      <c r="O72">
        <v>3.78188895220205</v>
      </c>
      <c r="P72">
        <v>1.144261627644203</v>
      </c>
      <c r="Q72">
        <v>-0.52486557418804092</v>
      </c>
      <c r="R72">
        <v>1.580378525732796</v>
      </c>
      <c r="S72">
        <v>9.2569804564363469</v>
      </c>
      <c r="T72">
        <v>0.15551986573479051</v>
      </c>
      <c r="U72">
        <v>9.1014605907015564</v>
      </c>
      <c r="V72">
        <v>-0.44950042375572141</v>
      </c>
      <c r="W72">
        <v>4.6758098629890217</v>
      </c>
      <c r="X72">
        <v>8.4774446653113067E-2</v>
      </c>
      <c r="Y72">
        <v>4.5910354163359086</v>
      </c>
      <c r="Z72">
        <v>0.7011725887089898</v>
      </c>
      <c r="AA72">
        <v>-0.69239086392408888</v>
      </c>
      <c r="AB72">
        <v>-0.36105429762281449</v>
      </c>
      <c r="AC72">
        <v>-0.24320733419896781</v>
      </c>
      <c r="AD72">
        <v>-0.72186189979972704</v>
      </c>
      <c r="AE72">
        <v>1.251590674861554</v>
      </c>
      <c r="AF72">
        <v>0.95453034853201846</v>
      </c>
      <c r="AG72">
        <v>1.7189022128173701</v>
      </c>
      <c r="AH72">
        <v>0.67266071836121211</v>
      </c>
      <c r="AI72">
        <v>0.7309055829358464</v>
      </c>
      <c r="AJ72">
        <v>-0.15399827940666699</v>
      </c>
      <c r="AK72">
        <v>8.8790005949969164E-2</v>
      </c>
      <c r="AL72">
        <v>0.77728387924188069</v>
      </c>
      <c r="AM72">
        <v>-1.6127557485530779</v>
      </c>
      <c r="AN72">
        <v>3.78188895220205</v>
      </c>
      <c r="AO72">
        <v>1.149087722952788</v>
      </c>
      <c r="AP72">
        <v>1.139435532335618</v>
      </c>
      <c r="AQ72">
        <v>-0.52486557418804092</v>
      </c>
    </row>
    <row r="73" spans="1:43" x14ac:dyDescent="0.3">
      <c r="A73">
        <v>548</v>
      </c>
      <c r="B73">
        <v>2025</v>
      </c>
      <c r="C73" t="s">
        <v>131</v>
      </c>
      <c r="D73">
        <v>15.66666666666667</v>
      </c>
      <c r="E73">
        <v>14.78487201925827</v>
      </c>
      <c r="F73">
        <v>0.88179464740839464</v>
      </c>
      <c r="G73">
        <v>0.29788707109287399</v>
      </c>
      <c r="H73">
        <v>0.69639057933410264</v>
      </c>
      <c r="I73">
        <v>0.17048650134930149</v>
      </c>
      <c r="J73">
        <v>0.52106130793299721</v>
      </c>
      <c r="K73">
        <v>0.30213081591089108</v>
      </c>
      <c r="L73">
        <v>0.31251239154164778</v>
      </c>
      <c r="M73">
        <v>-0.49983249130997098</v>
      </c>
      <c r="N73">
        <v>-0.34418068744635782</v>
      </c>
      <c r="O73">
        <v>0.50042502477749762</v>
      </c>
      <c r="P73">
        <v>0.42847076374770893</v>
      </c>
      <c r="Q73">
        <v>-0.52486557418804092</v>
      </c>
      <c r="R73">
        <v>0.29788707109287399</v>
      </c>
      <c r="S73">
        <v>9.2569804564363469</v>
      </c>
      <c r="T73">
        <v>0.15551986573479051</v>
      </c>
      <c r="U73">
        <v>9.1014605907015564</v>
      </c>
      <c r="V73">
        <v>0.69639057933410264</v>
      </c>
      <c r="W73">
        <v>4.6758098629890217</v>
      </c>
      <c r="X73">
        <v>8.4774446653113067E-2</v>
      </c>
      <c r="Y73">
        <v>4.5910354163359086</v>
      </c>
      <c r="Z73">
        <v>0.17048650134930149</v>
      </c>
      <c r="AA73">
        <v>-0.52106130793299721</v>
      </c>
      <c r="AB73">
        <v>-0.36105429762281449</v>
      </c>
      <c r="AC73">
        <v>-0.24320733419896781</v>
      </c>
      <c r="AD73">
        <v>-5.6295011565266929E-2</v>
      </c>
      <c r="AE73">
        <v>0.17223218913473731</v>
      </c>
      <c r="AF73">
        <v>0.71413276689121219</v>
      </c>
      <c r="AG73">
        <v>0.43171398378118281</v>
      </c>
      <c r="AH73">
        <v>0.44558947883542882</v>
      </c>
      <c r="AI73">
        <v>0.16770094217259299</v>
      </c>
      <c r="AJ73">
        <v>-0.41066348489561649</v>
      </c>
      <c r="AK73">
        <v>-0.79570222773156707</v>
      </c>
      <c r="AL73">
        <v>-0.29313176130272939</v>
      </c>
      <c r="AM73">
        <v>0.34418068744635782</v>
      </c>
      <c r="AN73">
        <v>0.50042502477749762</v>
      </c>
      <c r="AO73">
        <v>0.59505921017921992</v>
      </c>
      <c r="AP73">
        <v>0.26188231731619782</v>
      </c>
      <c r="AQ73">
        <v>-0.52486557418804092</v>
      </c>
    </row>
    <row r="74" spans="1:43" x14ac:dyDescent="0.3">
      <c r="A74">
        <v>556</v>
      </c>
      <c r="B74">
        <v>2025</v>
      </c>
      <c r="C74" t="s">
        <v>132</v>
      </c>
      <c r="D74">
        <v>4</v>
      </c>
      <c r="E74">
        <v>6.5875550749970362</v>
      </c>
      <c r="F74">
        <v>-2.5875550749970362</v>
      </c>
      <c r="G74">
        <v>0.52303032414778405</v>
      </c>
      <c r="H74">
        <v>-1.4518389353411909</v>
      </c>
      <c r="I74">
        <v>0.69248426856217105</v>
      </c>
      <c r="J74">
        <v>0.53163108232264811</v>
      </c>
      <c r="K74">
        <v>0.30213081591089108</v>
      </c>
      <c r="L74">
        <v>-0.33085178429154039</v>
      </c>
      <c r="M74">
        <v>-0.94779375029329938</v>
      </c>
      <c r="N74">
        <v>-2.049491959459778</v>
      </c>
      <c r="O74">
        <v>-1.7772680911631979</v>
      </c>
      <c r="P74">
        <v>-9.9345338734575545E-2</v>
      </c>
      <c r="Q74">
        <v>-0.52486557418804092</v>
      </c>
      <c r="R74">
        <v>0.52303032414778405</v>
      </c>
      <c r="S74">
        <v>9.2569804564363469</v>
      </c>
      <c r="T74">
        <v>0.15551986573479051</v>
      </c>
      <c r="U74">
        <v>9.1014605907015564</v>
      </c>
      <c r="V74">
        <v>-1.4518389353411909</v>
      </c>
      <c r="W74">
        <v>4.6758098629890217</v>
      </c>
      <c r="X74">
        <v>8.4774446653113067E-2</v>
      </c>
      <c r="Y74">
        <v>4.5910354163359086</v>
      </c>
      <c r="Z74">
        <v>0.69248426856217105</v>
      </c>
      <c r="AA74">
        <v>-0.53163108232264811</v>
      </c>
      <c r="AB74">
        <v>-0.36105429762281449</v>
      </c>
      <c r="AC74">
        <v>-0.24320733419896781</v>
      </c>
      <c r="AD74">
        <v>-0.30734160386944193</v>
      </c>
      <c r="AE74">
        <v>0.60468212984607694</v>
      </c>
      <c r="AF74">
        <v>-0.40982450597100278</v>
      </c>
      <c r="AG74">
        <v>-1.0821308017763951</v>
      </c>
      <c r="AH74">
        <v>-0.25340212421294211</v>
      </c>
      <c r="AI74">
        <v>-0.53709379976553817</v>
      </c>
      <c r="AJ74">
        <v>-2.6964423096425469</v>
      </c>
      <c r="AK74">
        <v>0.1941436653484693</v>
      </c>
      <c r="AL74">
        <v>-0.34108260658582029</v>
      </c>
      <c r="AM74">
        <v>2.049491959459778</v>
      </c>
      <c r="AN74">
        <v>-1.7772680911631979</v>
      </c>
      <c r="AO74">
        <v>4.7277307174014981E-2</v>
      </c>
      <c r="AP74">
        <v>-0.2459679846431661</v>
      </c>
      <c r="AQ74">
        <v>-0.52486557418804092</v>
      </c>
    </row>
    <row r="75" spans="1:43" x14ac:dyDescent="0.3">
      <c r="A75">
        <v>564</v>
      </c>
      <c r="B75">
        <v>2025</v>
      </c>
      <c r="C75" t="s">
        <v>134</v>
      </c>
      <c r="D75">
        <v>6.6666666666666679</v>
      </c>
      <c r="E75">
        <v>5.8617824601301072</v>
      </c>
      <c r="F75">
        <v>0.80488420653656068</v>
      </c>
      <c r="G75">
        <v>-1.29887957733215</v>
      </c>
      <c r="H75">
        <v>0.62510120082534903</v>
      </c>
      <c r="I75">
        <v>2.317799795550567E-2</v>
      </c>
      <c r="J75">
        <v>-1.253649601725727</v>
      </c>
      <c r="K75">
        <v>-1.310464306796276</v>
      </c>
      <c r="L75">
        <v>-1.3438464519143209</v>
      </c>
      <c r="M75">
        <v>-2.0179284336561749</v>
      </c>
      <c r="N75">
        <v>-0.37518584180303127</v>
      </c>
      <c r="O75">
        <v>6.2805985112331847E-2</v>
      </c>
      <c r="P75">
        <v>-8.6272680901234397E-2</v>
      </c>
      <c r="Q75">
        <v>-0.52486557418804092</v>
      </c>
      <c r="R75">
        <v>-1.29887957733215</v>
      </c>
      <c r="S75">
        <v>9.2569804564363469</v>
      </c>
      <c r="T75">
        <v>0.15551986573479051</v>
      </c>
      <c r="U75">
        <v>9.1014605907015564</v>
      </c>
      <c r="V75">
        <v>0.62510120082534903</v>
      </c>
      <c r="W75">
        <v>4.6758098629890217</v>
      </c>
      <c r="X75">
        <v>8.4774446653113067E-2</v>
      </c>
      <c r="Y75">
        <v>4.5910354163359086</v>
      </c>
      <c r="Z75">
        <v>2.317799795550567E-2</v>
      </c>
      <c r="AA75">
        <v>1.253649601725727</v>
      </c>
      <c r="AB75">
        <v>2.7696665199223802</v>
      </c>
      <c r="AC75">
        <v>-0.1487379063298282</v>
      </c>
      <c r="AD75">
        <v>-1.2234566685734081</v>
      </c>
      <c r="AE75">
        <v>-2.3406788469651612</v>
      </c>
      <c r="AF75">
        <v>-0.91371508836113557</v>
      </c>
      <c r="AG75">
        <v>-1.3421765255332021</v>
      </c>
      <c r="AH75">
        <v>-1.092905097380505</v>
      </c>
      <c r="AI75">
        <v>-1.150146484672518</v>
      </c>
      <c r="AJ75">
        <v>-0.75253291794387367</v>
      </c>
      <c r="AK75">
        <v>-1.1277683820612181</v>
      </c>
      <c r="AL75">
        <v>-4.1734840009634331</v>
      </c>
      <c r="AM75">
        <v>0.37518584180303127</v>
      </c>
      <c r="AN75">
        <v>6.2805985112331847E-2</v>
      </c>
      <c r="AO75">
        <v>-0.32609477966290978</v>
      </c>
      <c r="AP75">
        <v>0.15354941786044099</v>
      </c>
      <c r="AQ75">
        <v>-0.52486557418804092</v>
      </c>
    </row>
    <row r="76" spans="1:43" x14ac:dyDescent="0.3">
      <c r="A76">
        <v>566</v>
      </c>
      <c r="B76">
        <v>2025</v>
      </c>
      <c r="C76" t="s">
        <v>135</v>
      </c>
      <c r="D76">
        <v>14.33333333333333</v>
      </c>
      <c r="E76">
        <v>12.28800948092851</v>
      </c>
      <c r="F76">
        <v>2.0453238524048172</v>
      </c>
      <c r="G76">
        <v>-0.59180830141793173</v>
      </c>
      <c r="H76">
        <v>0.72191677861632453</v>
      </c>
      <c r="I76">
        <v>0.52552881006250463</v>
      </c>
      <c r="J76">
        <v>0.22270366911465761</v>
      </c>
      <c r="K76">
        <v>0.30213081591089108</v>
      </c>
      <c r="L76">
        <v>-0.40061991351878778</v>
      </c>
      <c r="M76">
        <v>-0.53638981007614006</v>
      </c>
      <c r="N76">
        <v>-3.3462486939645482E-3</v>
      </c>
      <c r="O76">
        <v>-0.1380748995964218</v>
      </c>
      <c r="P76">
        <v>0.44883130918276659</v>
      </c>
      <c r="Q76">
        <v>-0.52486557418804092</v>
      </c>
      <c r="R76">
        <v>-0.59180830141793173</v>
      </c>
      <c r="S76">
        <v>9.2569804564363469</v>
      </c>
      <c r="T76">
        <v>0.15551986573479051</v>
      </c>
      <c r="U76">
        <v>9.1014605907015564</v>
      </c>
      <c r="V76">
        <v>0.72191677861632453</v>
      </c>
      <c r="W76">
        <v>4.6758098629890217</v>
      </c>
      <c r="X76">
        <v>8.4774446653113067E-2</v>
      </c>
      <c r="Y76">
        <v>4.5910354163359086</v>
      </c>
      <c r="Z76">
        <v>0.52552881006250463</v>
      </c>
      <c r="AA76">
        <v>-0.22270366911465761</v>
      </c>
      <c r="AB76">
        <v>-0.36105429762281449</v>
      </c>
      <c r="AC76">
        <v>-0.24320733419896781</v>
      </c>
      <c r="AD76">
        <v>-0.17276709846024399</v>
      </c>
      <c r="AE76">
        <v>-0.70624491218168262</v>
      </c>
      <c r="AF76">
        <v>-9.3851794575317948E-2</v>
      </c>
      <c r="AG76">
        <v>-0.13233114110846261</v>
      </c>
      <c r="AH76">
        <v>-0.61824901346727223</v>
      </c>
      <c r="AI76">
        <v>-0.68027552131974711</v>
      </c>
      <c r="AJ76">
        <v>-0.34102155889934688</v>
      </c>
      <c r="AK76">
        <v>-0.74100412578857144</v>
      </c>
      <c r="AL76">
        <v>-0.52714374554050158</v>
      </c>
      <c r="AM76">
        <v>3.3462486939645482E-3</v>
      </c>
      <c r="AN76">
        <v>-0.1380748995964218</v>
      </c>
      <c r="AO76">
        <v>0.39512039249605002</v>
      </c>
      <c r="AP76">
        <v>0.50254222586948327</v>
      </c>
      <c r="AQ76">
        <v>-0.52486557418804092</v>
      </c>
    </row>
    <row r="77" spans="1:43" x14ac:dyDescent="0.3">
      <c r="A77">
        <v>576</v>
      </c>
      <c r="B77">
        <v>2025</v>
      </c>
      <c r="C77" t="s">
        <v>136</v>
      </c>
      <c r="D77">
        <v>22</v>
      </c>
      <c r="E77">
        <v>18.071596203665941</v>
      </c>
      <c r="F77">
        <v>3.928403796334063</v>
      </c>
      <c r="G77">
        <v>1.756988141588024</v>
      </c>
      <c r="H77">
        <v>0.80025815556808411</v>
      </c>
      <c r="I77">
        <v>-0.18861617808578171</v>
      </c>
      <c r="J77">
        <v>0.43089388236352077</v>
      </c>
      <c r="K77">
        <v>0.30213081591089108</v>
      </c>
      <c r="L77">
        <v>1.6229307882152539</v>
      </c>
      <c r="M77">
        <v>-0.1208096359222887</v>
      </c>
      <c r="N77">
        <v>-3.266222008788199</v>
      </c>
      <c r="O77">
        <v>2.486320390841287</v>
      </c>
      <c r="P77">
        <v>0.91537720216331087</v>
      </c>
      <c r="Q77">
        <v>-0.52486557418804092</v>
      </c>
      <c r="R77">
        <v>1.756988141588024</v>
      </c>
      <c r="S77">
        <v>9.2569804564363469</v>
      </c>
      <c r="T77">
        <v>0.15551986573479051</v>
      </c>
      <c r="U77">
        <v>9.1014605907015564</v>
      </c>
      <c r="V77">
        <v>0.80025815556808411</v>
      </c>
      <c r="W77">
        <v>4.6758098629890217</v>
      </c>
      <c r="X77">
        <v>8.4774446653113067E-2</v>
      </c>
      <c r="Y77">
        <v>4.5910354163359086</v>
      </c>
      <c r="Z77">
        <v>-0.18861617808578171</v>
      </c>
      <c r="AA77">
        <v>-0.43089388236352077</v>
      </c>
      <c r="AB77">
        <v>-0.36105429762281449</v>
      </c>
      <c r="AC77">
        <v>-0.24320733419896781</v>
      </c>
      <c r="AD77">
        <v>-0.22692828582764521</v>
      </c>
      <c r="AE77">
        <v>1.673929156557517</v>
      </c>
      <c r="AF77">
        <v>2.329593313393401</v>
      </c>
      <c r="AG77">
        <v>2.303043984335496</v>
      </c>
      <c r="AH77">
        <v>1.714873480663081</v>
      </c>
      <c r="AI77">
        <v>1.9430730801696761</v>
      </c>
      <c r="AJ77">
        <v>1.0232735447936721</v>
      </c>
      <c r="AK77">
        <v>-0.78142957066348528</v>
      </c>
      <c r="AL77">
        <v>-0.60427288189705286</v>
      </c>
      <c r="AM77">
        <v>3.266222008788199</v>
      </c>
      <c r="AN77">
        <v>2.486320390841287</v>
      </c>
      <c r="AO77">
        <v>1.225428855834461</v>
      </c>
      <c r="AP77">
        <v>0.60532554849216069</v>
      </c>
      <c r="AQ77">
        <v>-0.52486557418804092</v>
      </c>
    </row>
    <row r="78" spans="1:43" x14ac:dyDescent="0.3">
      <c r="A78">
        <v>578</v>
      </c>
      <c r="B78">
        <v>2025</v>
      </c>
      <c r="C78" t="s">
        <v>137</v>
      </c>
      <c r="D78">
        <v>15</v>
      </c>
      <c r="E78">
        <v>13.20891086770896</v>
      </c>
      <c r="F78">
        <v>1.7910891322910421</v>
      </c>
      <c r="G78">
        <v>-0.12827996896184521</v>
      </c>
      <c r="H78">
        <v>0.78587016981280833</v>
      </c>
      <c r="I78">
        <v>-0.82552680271787782</v>
      </c>
      <c r="J78">
        <v>0.61101886433589214</v>
      </c>
      <c r="K78">
        <v>0.30213081591089108</v>
      </c>
      <c r="L78">
        <v>-0.29509939705275651</v>
      </c>
      <c r="M78">
        <v>-0.23606434445129171</v>
      </c>
      <c r="N78">
        <v>-0.1912941601840151</v>
      </c>
      <c r="O78">
        <v>0.34587540559249452</v>
      </c>
      <c r="P78">
        <v>0.78442878495747825</v>
      </c>
      <c r="Q78">
        <v>-0.52486557418804092</v>
      </c>
      <c r="R78">
        <v>-0.12827996896184521</v>
      </c>
      <c r="S78">
        <v>9.2569804564363469</v>
      </c>
      <c r="T78">
        <v>0.15551986573479051</v>
      </c>
      <c r="U78">
        <v>9.1014605907015564</v>
      </c>
      <c r="V78">
        <v>0.78587016981280833</v>
      </c>
      <c r="W78">
        <v>4.6758098629890217</v>
      </c>
      <c r="X78">
        <v>8.4774446653113067E-2</v>
      </c>
      <c r="Y78">
        <v>4.5910354163359086</v>
      </c>
      <c r="Z78">
        <v>-0.82552680271787782</v>
      </c>
      <c r="AA78">
        <v>-0.61101886433589214</v>
      </c>
      <c r="AB78">
        <v>-0.36105429762281449</v>
      </c>
      <c r="AC78">
        <v>-0.24320733419896781</v>
      </c>
      <c r="AD78">
        <v>-0.65616690170789738</v>
      </c>
      <c r="AE78">
        <v>-0.36451586673320208</v>
      </c>
      <c r="AF78">
        <v>-7.4120373312404814E-2</v>
      </c>
      <c r="AG78">
        <v>-0.13914208147755011</v>
      </c>
      <c r="AH78">
        <v>9.4177276165636509E-2</v>
      </c>
      <c r="AI78">
        <v>-0.6308284352511212</v>
      </c>
      <c r="AJ78">
        <v>-0.1574064485090392</v>
      </c>
      <c r="AK78">
        <v>-0.70000117455830135</v>
      </c>
      <c r="AL78">
        <v>0.1492145897134656</v>
      </c>
      <c r="AM78">
        <v>0.1912941601840151</v>
      </c>
      <c r="AN78">
        <v>0.34587540559249452</v>
      </c>
      <c r="AO78">
        <v>0.96022574216293177</v>
      </c>
      <c r="AP78">
        <v>0.60863182775202473</v>
      </c>
      <c r="AQ78">
        <v>-0.52486557418804092</v>
      </c>
    </row>
    <row r="79" spans="1:43" x14ac:dyDescent="0.3">
      <c r="A79">
        <v>582</v>
      </c>
      <c r="B79">
        <v>2025</v>
      </c>
      <c r="C79" t="s">
        <v>138</v>
      </c>
      <c r="D79">
        <v>11.66666666666667</v>
      </c>
      <c r="E79">
        <v>13.09719704263154</v>
      </c>
      <c r="F79">
        <v>-1.430530375964874</v>
      </c>
      <c r="G79">
        <v>-0.52050784691343877</v>
      </c>
      <c r="H79">
        <v>0.71185818882894469</v>
      </c>
      <c r="I79">
        <v>0.99098700647070148</v>
      </c>
      <c r="J79">
        <v>0.32426126672496719</v>
      </c>
      <c r="K79">
        <v>0.30213081591089108</v>
      </c>
      <c r="L79">
        <v>-0.55113204425745399</v>
      </c>
      <c r="M79">
        <v>-0.1437902607888748</v>
      </c>
      <c r="N79">
        <v>0.72246885665379168</v>
      </c>
      <c r="O79">
        <v>0.53892019013172743</v>
      </c>
      <c r="P79">
        <v>0.15390513280761681</v>
      </c>
      <c r="Q79">
        <v>-0.52486557418804092</v>
      </c>
      <c r="R79">
        <v>-0.52050784691343877</v>
      </c>
      <c r="S79">
        <v>9.2569804564363469</v>
      </c>
      <c r="T79">
        <v>0.15551986573479051</v>
      </c>
      <c r="U79">
        <v>9.1014605907015564</v>
      </c>
      <c r="V79">
        <v>0.71185818882894469</v>
      </c>
      <c r="W79">
        <v>4.6758098629890217</v>
      </c>
      <c r="X79">
        <v>8.4774446653113067E-2</v>
      </c>
      <c r="Y79">
        <v>4.5910354163359086</v>
      </c>
      <c r="Z79">
        <v>0.99098700647070148</v>
      </c>
      <c r="AA79">
        <v>-0.32426126672496719</v>
      </c>
      <c r="AB79">
        <v>-0.36105429762281449</v>
      </c>
      <c r="AC79">
        <v>-0.24320733419896781</v>
      </c>
      <c r="AD79">
        <v>-1.5386896311745411</v>
      </c>
      <c r="AE79">
        <v>-7.2805954734531136E-2</v>
      </c>
      <c r="AF79">
        <v>-0.12479766220265839</v>
      </c>
      <c r="AG79">
        <v>-0.7534168978301985</v>
      </c>
      <c r="AH79">
        <v>-0.26078405629610402</v>
      </c>
      <c r="AI79">
        <v>-0.55629806330669029</v>
      </c>
      <c r="AJ79">
        <v>0.16010459948402761</v>
      </c>
      <c r="AK79">
        <v>-0.90476842798592705</v>
      </c>
      <c r="AL79">
        <v>0.31329304613527498</v>
      </c>
      <c r="AM79">
        <v>-0.72246885665379168</v>
      </c>
      <c r="AN79">
        <v>0.53892019013172743</v>
      </c>
      <c r="AO79">
        <v>0.4196258983943103</v>
      </c>
      <c r="AP79">
        <v>-0.1118156327790768</v>
      </c>
      <c r="AQ79">
        <v>-0.52486557418804092</v>
      </c>
    </row>
    <row r="80" spans="1:43" x14ac:dyDescent="0.3">
      <c r="A80">
        <v>612</v>
      </c>
      <c r="B80">
        <v>2025</v>
      </c>
      <c r="C80" t="s">
        <v>139</v>
      </c>
      <c r="E80">
        <v>10.21768452272604</v>
      </c>
      <c r="G80">
        <v>-0.32979715645364088</v>
      </c>
      <c r="H80">
        <v>0.44014729793443652</v>
      </c>
      <c r="I80">
        <v>-0.33736545818734132</v>
      </c>
      <c r="J80">
        <v>-8.7025062729371175E-2</v>
      </c>
      <c r="K80">
        <v>0.30213081591089108</v>
      </c>
      <c r="L80">
        <v>-1.0017507163570709</v>
      </c>
      <c r="M80">
        <v>-0.6001229628261292</v>
      </c>
      <c r="N80">
        <v>0.1111727891718135</v>
      </c>
      <c r="O80">
        <v>-7.8903291715684359E-2</v>
      </c>
      <c r="P80">
        <v>0.72729805032555173</v>
      </c>
      <c r="Q80">
        <v>-0.52486557418804092</v>
      </c>
      <c r="R80">
        <v>-0.32979715645364088</v>
      </c>
      <c r="S80">
        <v>9.2569804564363469</v>
      </c>
      <c r="T80">
        <v>0.15551986573479051</v>
      </c>
      <c r="U80">
        <v>9.1014605907015564</v>
      </c>
      <c r="V80">
        <v>0.44014729793443652</v>
      </c>
      <c r="W80">
        <v>4.6758098629890217</v>
      </c>
      <c r="X80">
        <v>8.4774446653113067E-2</v>
      </c>
      <c r="Y80">
        <v>4.5910354163359086</v>
      </c>
      <c r="Z80">
        <v>-0.33736545818734132</v>
      </c>
      <c r="AA80">
        <v>8.7025062729371175E-2</v>
      </c>
      <c r="AB80">
        <v>-0.36105429762281449</v>
      </c>
      <c r="AC80">
        <v>-0.24320733419896781</v>
      </c>
      <c r="AD80">
        <v>-1.2465867313796291</v>
      </c>
      <c r="AE80">
        <v>-0.72039856297375648</v>
      </c>
      <c r="AF80">
        <v>-1.0171611026976699</v>
      </c>
      <c r="AG80">
        <v>-1.3956453035282439</v>
      </c>
      <c r="AH80">
        <v>-0.89785661476045575</v>
      </c>
      <c r="AI80">
        <v>-0.73285598280267061</v>
      </c>
      <c r="AJ80">
        <v>-1.708649651493952</v>
      </c>
      <c r="AK80">
        <v>-0.43905080284533637</v>
      </c>
      <c r="AL80">
        <v>0.34733156586090053</v>
      </c>
      <c r="AM80">
        <v>-0.1111727891718135</v>
      </c>
      <c r="AN80">
        <v>-7.8903291715684359E-2</v>
      </c>
      <c r="AO80">
        <v>0.50347760477323933</v>
      </c>
      <c r="AP80">
        <v>0.95111849587786423</v>
      </c>
      <c r="AQ80">
        <v>-0.52486557418804092</v>
      </c>
    </row>
    <row r="81" spans="1:43" x14ac:dyDescent="0.3">
      <c r="A81">
        <v>614</v>
      </c>
      <c r="B81">
        <v>2025</v>
      </c>
      <c r="C81" t="s">
        <v>140</v>
      </c>
      <c r="D81">
        <v>7</v>
      </c>
      <c r="E81">
        <v>8.1893717922294034</v>
      </c>
      <c r="F81">
        <v>-1.1893717922294029</v>
      </c>
      <c r="G81">
        <v>-0.88732718039071523</v>
      </c>
      <c r="H81">
        <v>-3.8275151084868973E-2</v>
      </c>
      <c r="I81">
        <v>-0.50886154631147573</v>
      </c>
      <c r="J81">
        <v>-2.488863200163951</v>
      </c>
      <c r="K81">
        <v>0.30213081591089108</v>
      </c>
      <c r="L81">
        <v>-1.0162937006715309</v>
      </c>
      <c r="M81">
        <v>-0.97235922170183875</v>
      </c>
      <c r="N81">
        <v>-0.1199211838916367</v>
      </c>
      <c r="O81">
        <v>0.61929840573196004</v>
      </c>
      <c r="P81">
        <v>0.36650141111484918</v>
      </c>
      <c r="Q81">
        <v>-0.52486557418804092</v>
      </c>
      <c r="R81">
        <v>-0.88732718039071523</v>
      </c>
      <c r="S81">
        <v>9.2569804564363469</v>
      </c>
      <c r="T81">
        <v>0.15551986573479051</v>
      </c>
      <c r="U81">
        <v>9.1014605907015564</v>
      </c>
      <c r="V81">
        <v>-3.8275151084868973E-2</v>
      </c>
      <c r="W81">
        <v>4.6758098629890217</v>
      </c>
      <c r="X81">
        <v>8.4774446653113067E-2</v>
      </c>
      <c r="Y81">
        <v>4.5910354163359086</v>
      </c>
      <c r="Z81">
        <v>-0.50886154631147573</v>
      </c>
      <c r="AA81">
        <v>2.488863200163951</v>
      </c>
      <c r="AB81">
        <v>-0.36105429762281449</v>
      </c>
      <c r="AC81">
        <v>-0.24320733419896781</v>
      </c>
      <c r="AD81">
        <v>-0.97604617031141772</v>
      </c>
      <c r="AE81">
        <v>-0.43770823984486351</v>
      </c>
      <c r="AF81">
        <v>-1.3966610594561231</v>
      </c>
      <c r="AG81">
        <v>-1.1836066582108771</v>
      </c>
      <c r="AH81">
        <v>-1.349908083646981</v>
      </c>
      <c r="AI81">
        <v>-0.7538319925589223</v>
      </c>
      <c r="AJ81">
        <v>0.26911589062608288</v>
      </c>
      <c r="AK81">
        <v>-1.141958538221391</v>
      </c>
      <c r="AL81">
        <v>-2.044235017510208</v>
      </c>
      <c r="AM81">
        <v>0.1199211838916367</v>
      </c>
      <c r="AN81">
        <v>0.61929840573196004</v>
      </c>
      <c r="AO81">
        <v>5.5940286117528732E-3</v>
      </c>
      <c r="AP81">
        <v>0.72740879361794553</v>
      </c>
      <c r="AQ81">
        <v>-0.52486557418804092</v>
      </c>
    </row>
    <row r="82" spans="1:43" x14ac:dyDescent="0.3">
      <c r="A82">
        <v>616</v>
      </c>
      <c r="B82">
        <v>2025</v>
      </c>
      <c r="C82" t="s">
        <v>142</v>
      </c>
      <c r="D82">
        <v>15</v>
      </c>
      <c r="E82">
        <v>12.53976597417147</v>
      </c>
      <c r="F82">
        <v>2.4602340258285338</v>
      </c>
      <c r="G82">
        <v>-0.2306415634848335</v>
      </c>
      <c r="H82">
        <v>-0.97369838690271027</v>
      </c>
      <c r="I82">
        <v>-0.32042541689605702</v>
      </c>
      <c r="J82">
        <v>-9.6202069013526834E-2</v>
      </c>
      <c r="K82">
        <v>0.30213081591089108</v>
      </c>
      <c r="L82">
        <v>0.48303370671840068</v>
      </c>
      <c r="M82">
        <v>-0.43794757859709399</v>
      </c>
      <c r="N82">
        <v>0.53485433392026449</v>
      </c>
      <c r="O82">
        <v>-0.28900387843907199</v>
      </c>
      <c r="P82">
        <v>0.36555389188954002</v>
      </c>
      <c r="Q82">
        <v>-0.52486557418804092</v>
      </c>
      <c r="R82">
        <v>-0.2306415634848335</v>
      </c>
      <c r="S82">
        <v>9.2569804564363469</v>
      </c>
      <c r="T82">
        <v>0.15551986573479051</v>
      </c>
      <c r="U82">
        <v>9.1014605907015564</v>
      </c>
      <c r="V82">
        <v>-0.97369838690271027</v>
      </c>
      <c r="W82">
        <v>4.6758098629890217</v>
      </c>
      <c r="X82">
        <v>8.4774446653113067E-2</v>
      </c>
      <c r="Y82">
        <v>4.5910354163359086</v>
      </c>
      <c r="Z82">
        <v>-0.32042541689605702</v>
      </c>
      <c r="AA82">
        <v>9.6202069013526834E-2</v>
      </c>
      <c r="AB82">
        <v>-0.36105429762281449</v>
      </c>
      <c r="AC82">
        <v>-0.24320733419896781</v>
      </c>
      <c r="AD82">
        <v>0.40804345232294048</v>
      </c>
      <c r="AE82">
        <v>1.2125883078753339</v>
      </c>
      <c r="AF82">
        <v>0.21615130492584761</v>
      </c>
      <c r="AG82">
        <v>0.2460695779464889</v>
      </c>
      <c r="AH82">
        <v>0.25058720044821492</v>
      </c>
      <c r="AI82">
        <v>0.56476239679157769</v>
      </c>
      <c r="AJ82">
        <v>-0.99025271283434158</v>
      </c>
      <c r="AK82">
        <v>-0.43888580102952029</v>
      </c>
      <c r="AL82">
        <v>0.1152957780725799</v>
      </c>
      <c r="AM82">
        <v>-0.53485433392026449</v>
      </c>
      <c r="AN82">
        <v>-0.28900387843907199</v>
      </c>
      <c r="AO82">
        <v>0.40104321941622922</v>
      </c>
      <c r="AP82">
        <v>0.33006456436285081</v>
      </c>
      <c r="AQ82">
        <v>-0.52486557418804092</v>
      </c>
    </row>
    <row r="83" spans="1:43" x14ac:dyDescent="0.3">
      <c r="A83">
        <v>622</v>
      </c>
      <c r="B83">
        <v>2025</v>
      </c>
      <c r="C83" t="s">
        <v>143</v>
      </c>
      <c r="D83">
        <v>7</v>
      </c>
      <c r="E83">
        <v>7.8245569359701017</v>
      </c>
      <c r="F83">
        <v>-0.82455693597010171</v>
      </c>
      <c r="G83">
        <v>-1.1678745123455141</v>
      </c>
      <c r="H83">
        <v>-0.37360528045695462</v>
      </c>
      <c r="I83">
        <v>0.13804719547449701</v>
      </c>
      <c r="J83">
        <v>0.16067779088224779</v>
      </c>
      <c r="K83">
        <v>0.30213081591089108</v>
      </c>
      <c r="L83">
        <v>-1.3809823724611039</v>
      </c>
      <c r="M83">
        <v>-0.32273955730806952</v>
      </c>
      <c r="N83">
        <v>0.55935840752473243</v>
      </c>
      <c r="O83">
        <v>-0.27167652822924082</v>
      </c>
      <c r="P83">
        <v>0.1455433900676216</v>
      </c>
      <c r="Q83">
        <v>-0.52486557418804092</v>
      </c>
      <c r="R83">
        <v>-1.1678745123455141</v>
      </c>
      <c r="S83">
        <v>9.2569804564363469</v>
      </c>
      <c r="T83">
        <v>0.15551986573479051</v>
      </c>
      <c r="U83">
        <v>9.1014605907015564</v>
      </c>
      <c r="V83">
        <v>-0.37360528045695462</v>
      </c>
      <c r="W83">
        <v>4.6758098629890217</v>
      </c>
      <c r="X83">
        <v>8.4774446653113067E-2</v>
      </c>
      <c r="Y83">
        <v>4.5910354163359086</v>
      </c>
      <c r="Z83">
        <v>0.13804719547449701</v>
      </c>
      <c r="AA83">
        <v>-0.16067779088224779</v>
      </c>
      <c r="AB83">
        <v>-0.36105429762281449</v>
      </c>
      <c r="AC83">
        <v>-0.24320733419896781</v>
      </c>
      <c r="AD83">
        <v>-1.3430508233365599</v>
      </c>
      <c r="AE83">
        <v>-1.704099417445345</v>
      </c>
      <c r="AF83">
        <v>-1.281674616945947</v>
      </c>
      <c r="AG83">
        <v>-1.3563333325534921</v>
      </c>
      <c r="AH83">
        <v>-1.2845043802935741</v>
      </c>
      <c r="AI83">
        <v>-1.316231664191708</v>
      </c>
      <c r="AJ83">
        <v>0.25786392057486851</v>
      </c>
      <c r="AK83">
        <v>-1.1847765094256371</v>
      </c>
      <c r="AL83">
        <v>-4.1306083073440032E-2</v>
      </c>
      <c r="AM83">
        <v>-0.55935840752473243</v>
      </c>
      <c r="AN83">
        <v>-0.27167652822924082</v>
      </c>
      <c r="AO83">
        <v>-0.1181596784945045</v>
      </c>
      <c r="AP83">
        <v>0.40924645862974768</v>
      </c>
      <c r="AQ83">
        <v>-0.52486557418804092</v>
      </c>
    </row>
    <row r="84" spans="1:43" x14ac:dyDescent="0.3">
      <c r="A84">
        <v>624</v>
      </c>
      <c r="B84">
        <v>2025</v>
      </c>
      <c r="C84" t="s">
        <v>144</v>
      </c>
      <c r="D84">
        <v>8</v>
      </c>
      <c r="E84">
        <v>9.6316888481266396</v>
      </c>
      <c r="F84">
        <v>-1.6316888481266401</v>
      </c>
      <c r="G84">
        <v>-0.38473335845997481</v>
      </c>
      <c r="H84">
        <v>-1.957196855227856</v>
      </c>
      <c r="I84">
        <v>0.27382948520618189</v>
      </c>
      <c r="J84">
        <v>0.4118530252500342</v>
      </c>
      <c r="K84">
        <v>0.30213081591089108</v>
      </c>
      <c r="L84">
        <v>0.46685882149650471</v>
      </c>
      <c r="M84">
        <v>-7.9753925726460909E-2</v>
      </c>
      <c r="N84">
        <v>-1.3326783505381541</v>
      </c>
      <c r="O84">
        <v>-0.35696847000838078</v>
      </c>
      <c r="P84">
        <v>0.55792718221965198</v>
      </c>
      <c r="Q84">
        <v>-0.52486557418804092</v>
      </c>
      <c r="R84">
        <v>-0.38473335845997481</v>
      </c>
      <c r="S84">
        <v>9.2569804564363469</v>
      </c>
      <c r="T84">
        <v>0.15551986573479051</v>
      </c>
      <c r="U84">
        <v>9.1014605907015564</v>
      </c>
      <c r="V84">
        <v>-1.957196855227856</v>
      </c>
      <c r="W84">
        <v>4.6758098629890217</v>
      </c>
      <c r="X84">
        <v>8.4774446653113067E-2</v>
      </c>
      <c r="Y84">
        <v>4.5910354163359086</v>
      </c>
      <c r="Z84">
        <v>0.27382948520618189</v>
      </c>
      <c r="AA84">
        <v>-0.4118530252500342</v>
      </c>
      <c r="AB84">
        <v>-0.36105429762281449</v>
      </c>
      <c r="AC84">
        <v>-0.24320733419896781</v>
      </c>
      <c r="AD84">
        <v>0.91431351772921288</v>
      </c>
      <c r="AE84">
        <v>1.0509078122958111</v>
      </c>
      <c r="AF84">
        <v>-0.25114641911443158</v>
      </c>
      <c r="AG84">
        <v>-4.3008673516668927E-2</v>
      </c>
      <c r="AH84">
        <v>0.26097778025086071</v>
      </c>
      <c r="AI84">
        <v>0.86910891133424406</v>
      </c>
      <c r="AJ84">
        <v>-7.0961670676489407E-3</v>
      </c>
      <c r="AK84">
        <v>-0.24055361841871781</v>
      </c>
      <c r="AL84">
        <v>8.388008306984043E-3</v>
      </c>
      <c r="AM84">
        <v>1.3326783505381541</v>
      </c>
      <c r="AN84">
        <v>-0.35696847000838078</v>
      </c>
      <c r="AO84">
        <v>0.62610883560256059</v>
      </c>
      <c r="AP84">
        <v>0.48974552883674333</v>
      </c>
      <c r="AQ84">
        <v>-0.52486557418804092</v>
      </c>
    </row>
    <row r="85" spans="1:43" x14ac:dyDescent="0.3">
      <c r="A85">
        <v>634</v>
      </c>
      <c r="B85">
        <v>2025</v>
      </c>
      <c r="C85" t="s">
        <v>145</v>
      </c>
      <c r="D85">
        <v>5.6666666666666679</v>
      </c>
      <c r="E85">
        <v>4.013154409260677</v>
      </c>
      <c r="F85">
        <v>1.6535122574059911</v>
      </c>
      <c r="G85">
        <v>-1.0331779890207211</v>
      </c>
      <c r="H85">
        <v>-1.0785242398903401</v>
      </c>
      <c r="I85">
        <v>-0.67001023807985161</v>
      </c>
      <c r="J85">
        <v>0.26095709447792481</v>
      </c>
      <c r="K85">
        <v>-2.1230086313229082</v>
      </c>
      <c r="L85">
        <v>-1.2837853647385289</v>
      </c>
      <c r="M85">
        <v>0.2094063153194935</v>
      </c>
      <c r="N85">
        <v>-0.97503556197770691</v>
      </c>
      <c r="O85">
        <v>0.3896204994431357</v>
      </c>
      <c r="P85">
        <v>-0.45716384082464989</v>
      </c>
      <c r="Q85">
        <v>-0.52486557418804092</v>
      </c>
      <c r="R85">
        <v>-1.0331779890207211</v>
      </c>
      <c r="S85">
        <v>9.2569804564363469</v>
      </c>
      <c r="T85">
        <v>0.15551986573479051</v>
      </c>
      <c r="U85">
        <v>9.1014605907015564</v>
      </c>
      <c r="V85">
        <v>-1.0785242398903401</v>
      </c>
      <c r="W85">
        <v>4.6758098629890217</v>
      </c>
      <c r="X85">
        <v>8.4774446653113067E-2</v>
      </c>
      <c r="Y85">
        <v>4.5910354163359086</v>
      </c>
      <c r="Z85">
        <v>-0.67001023807985161</v>
      </c>
      <c r="AA85">
        <v>-0.26095709447792481</v>
      </c>
      <c r="AB85">
        <v>2.7696665199223802</v>
      </c>
      <c r="AC85">
        <v>1.4763507427234359</v>
      </c>
      <c r="AD85">
        <v>-1.4409165007614539</v>
      </c>
      <c r="AE85">
        <v>-6.3812630620203262E-3</v>
      </c>
      <c r="AF85">
        <v>-1.761152410441867</v>
      </c>
      <c r="AG85">
        <v>-1.7265034555012599</v>
      </c>
      <c r="AH85">
        <v>-1.265581060655063</v>
      </c>
      <c r="AI85">
        <v>-1.5021774980095119</v>
      </c>
      <c r="AJ85">
        <v>1.5821380973819421</v>
      </c>
      <c r="AK85">
        <v>-0.35267235226567328</v>
      </c>
      <c r="AL85">
        <v>-0.60124679915778845</v>
      </c>
      <c r="AM85">
        <v>0.97503556197770691</v>
      </c>
      <c r="AN85">
        <v>0.3896204994431357</v>
      </c>
      <c r="AO85">
        <v>-0.54882240019740014</v>
      </c>
      <c r="AP85">
        <v>-0.3655052814518997</v>
      </c>
      <c r="AQ85">
        <v>-0.52486557418804092</v>
      </c>
    </row>
    <row r="86" spans="1:43" x14ac:dyDescent="0.3">
      <c r="A86">
        <v>636</v>
      </c>
      <c r="B86">
        <v>2025</v>
      </c>
      <c r="C86" t="s">
        <v>146</v>
      </c>
      <c r="D86">
        <v>7</v>
      </c>
      <c r="E86">
        <v>6.350305301206693</v>
      </c>
      <c r="F86">
        <v>0.64969469879330699</v>
      </c>
      <c r="G86">
        <v>-1.9029519568404669</v>
      </c>
      <c r="H86">
        <v>-0.21389458579281109</v>
      </c>
      <c r="I86">
        <v>0.97216958946930077</v>
      </c>
      <c r="J86">
        <v>-1.120974130415922</v>
      </c>
      <c r="K86">
        <v>0.30213081591089108</v>
      </c>
      <c r="L86">
        <v>-1.943808806371174</v>
      </c>
      <c r="M86">
        <v>-0.1959808512551578</v>
      </c>
      <c r="N86">
        <v>1.0829454496446871</v>
      </c>
      <c r="O86">
        <v>-0.18889317297301669</v>
      </c>
      <c r="P86">
        <v>-0.1554011574936579</v>
      </c>
      <c r="Q86">
        <v>-0.52486557418804092</v>
      </c>
      <c r="R86">
        <v>-1.9029519568404669</v>
      </c>
      <c r="S86">
        <v>9.2569804564363469</v>
      </c>
      <c r="T86">
        <v>0.15551986573479051</v>
      </c>
      <c r="U86">
        <v>9.1014605907015564</v>
      </c>
      <c r="V86">
        <v>-0.21389458579281109</v>
      </c>
      <c r="W86">
        <v>4.6758098629890217</v>
      </c>
      <c r="X86">
        <v>8.4774446653113067E-2</v>
      </c>
      <c r="Y86">
        <v>4.5910354163359086</v>
      </c>
      <c r="Z86">
        <v>0.97216958946930077</v>
      </c>
      <c r="AA86">
        <v>1.120974130415922</v>
      </c>
      <c r="AB86">
        <v>-0.36105429762281449</v>
      </c>
      <c r="AC86">
        <v>-0.24320733419896781</v>
      </c>
      <c r="AD86">
        <v>-1.506884679791749</v>
      </c>
      <c r="AE86">
        <v>-2.4747779611997238</v>
      </c>
      <c r="AF86">
        <v>-2.1585802464947261</v>
      </c>
      <c r="AG86">
        <v>-1.9186339844721649</v>
      </c>
      <c r="AH86">
        <v>-1.9641772414317309</v>
      </c>
      <c r="AI86">
        <v>-1.6397987248369521</v>
      </c>
      <c r="AJ86">
        <v>0.19328412809829909</v>
      </c>
      <c r="AK86">
        <v>-1.2249544515768269</v>
      </c>
      <c r="AL86">
        <v>0.44372776971305472</v>
      </c>
      <c r="AM86">
        <v>-1.0829454496446871</v>
      </c>
      <c r="AN86">
        <v>-0.18889317297301669</v>
      </c>
      <c r="AO86">
        <v>-2.7207914763814921E-2</v>
      </c>
      <c r="AP86">
        <v>-0.28359440022350102</v>
      </c>
      <c r="AQ86">
        <v>-0.52486557418804092</v>
      </c>
    </row>
    <row r="87" spans="1:43" x14ac:dyDescent="0.3">
      <c r="A87">
        <v>638</v>
      </c>
      <c r="B87">
        <v>2025</v>
      </c>
      <c r="C87" t="s">
        <v>148</v>
      </c>
      <c r="D87">
        <v>9.3333333333333339</v>
      </c>
      <c r="E87">
        <v>8.0230611093592472</v>
      </c>
      <c r="F87">
        <v>1.3102722239740869</v>
      </c>
      <c r="G87">
        <v>-1.331540853775709</v>
      </c>
      <c r="H87">
        <v>-0.84817988812264666</v>
      </c>
      <c r="I87">
        <v>1.3850176060939989</v>
      </c>
      <c r="J87">
        <v>0.52457184671945167</v>
      </c>
      <c r="K87">
        <v>0.30213081591089108</v>
      </c>
      <c r="L87">
        <v>-0.48408279277210098</v>
      </c>
      <c r="M87">
        <v>-0.63130675592818353</v>
      </c>
      <c r="N87">
        <v>0.20304917399037931</v>
      </c>
      <c r="O87">
        <v>-0.4530059550892892</v>
      </c>
      <c r="P87">
        <v>-3.268202220651069</v>
      </c>
      <c r="Q87">
        <v>-0.52486557418804092</v>
      </c>
      <c r="R87">
        <v>-1.331540853775709</v>
      </c>
      <c r="S87">
        <v>9.2569804564363469</v>
      </c>
      <c r="T87">
        <v>0.15551986573479051</v>
      </c>
      <c r="U87">
        <v>9.1014605907015564</v>
      </c>
      <c r="V87">
        <v>-0.84817988812264666</v>
      </c>
      <c r="W87">
        <v>4.6758098629890217</v>
      </c>
      <c r="X87">
        <v>8.4774446653113067E-2</v>
      </c>
      <c r="Y87">
        <v>4.5910354163359086</v>
      </c>
      <c r="Z87">
        <v>1.3850176060939989</v>
      </c>
      <c r="AA87">
        <v>-0.52457184671945167</v>
      </c>
      <c r="AB87">
        <v>-0.36105429762281449</v>
      </c>
      <c r="AC87">
        <v>-0.24320733419896781</v>
      </c>
      <c r="AD87">
        <v>-0.39816813327584027</v>
      </c>
      <c r="AE87">
        <v>-0.44375239287427981</v>
      </c>
      <c r="AF87">
        <v>-0.51177615696220236</v>
      </c>
      <c r="AG87">
        <v>-0.65486780366537378</v>
      </c>
      <c r="AH87">
        <v>-0.71233694927482905</v>
      </c>
      <c r="AI87">
        <v>-0.18359532058008091</v>
      </c>
      <c r="AJ87">
        <v>-0.31388150641501472</v>
      </c>
      <c r="AK87">
        <v>-1.141463532773944</v>
      </c>
      <c r="AL87">
        <v>-0.43857522859559239</v>
      </c>
      <c r="AM87">
        <v>-0.20304917399037931</v>
      </c>
      <c r="AN87">
        <v>-0.4530059550892892</v>
      </c>
      <c r="AO87">
        <v>-3.3459958603519269</v>
      </c>
      <c r="AP87">
        <v>-3.1904085809502098</v>
      </c>
      <c r="AQ87">
        <v>-0.52486557418804092</v>
      </c>
    </row>
    <row r="88" spans="1:43" x14ac:dyDescent="0.3">
      <c r="A88">
        <v>644</v>
      </c>
      <c r="B88">
        <v>2025</v>
      </c>
      <c r="C88" t="s">
        <v>149</v>
      </c>
      <c r="D88">
        <v>2</v>
      </c>
      <c r="E88">
        <v>7.2499237258526801</v>
      </c>
      <c r="F88">
        <v>-5.2499237258526801</v>
      </c>
      <c r="G88">
        <v>-1.710516281847527</v>
      </c>
      <c r="H88">
        <v>-6.4649730173719236E-2</v>
      </c>
      <c r="I88">
        <v>1.729625198650973</v>
      </c>
      <c r="J88">
        <v>-2.4258070551137769</v>
      </c>
      <c r="K88">
        <v>0.30213081591089108</v>
      </c>
      <c r="L88">
        <v>-1.303829023950092</v>
      </c>
      <c r="M88">
        <v>-0.58681722378364742</v>
      </c>
      <c r="N88">
        <v>0.31415097710179279</v>
      </c>
      <c r="O88">
        <v>-0.19543618730598289</v>
      </c>
      <c r="P88">
        <v>-0.37020579515179181</v>
      </c>
      <c r="Q88">
        <v>-0.52486557418804092</v>
      </c>
      <c r="R88">
        <v>-1.710516281847527</v>
      </c>
      <c r="S88">
        <v>9.2569804564363469</v>
      </c>
      <c r="T88">
        <v>0.15551986573479051</v>
      </c>
      <c r="U88">
        <v>9.1014605907015564</v>
      </c>
      <c r="V88">
        <v>-6.4649730173719236E-2</v>
      </c>
      <c r="W88">
        <v>4.6758098629890217</v>
      </c>
      <c r="X88">
        <v>8.4774446653113067E-2</v>
      </c>
      <c r="Y88">
        <v>4.5910354163359086</v>
      </c>
      <c r="Z88">
        <v>1.729625198650973</v>
      </c>
      <c r="AA88">
        <v>2.4258070551137769</v>
      </c>
      <c r="AB88">
        <v>-0.36105429762281449</v>
      </c>
      <c r="AC88">
        <v>-0.24320733419896781</v>
      </c>
      <c r="AD88">
        <v>-1.336661734449188</v>
      </c>
      <c r="AE88">
        <v>-2.3847327577575248</v>
      </c>
      <c r="AF88">
        <v>-1.127532270108311</v>
      </c>
      <c r="AG88">
        <v>-1.478544112836303</v>
      </c>
      <c r="AH88">
        <v>-0.8890874811752032</v>
      </c>
      <c r="AI88">
        <v>-0.60641578737402413</v>
      </c>
      <c r="AJ88">
        <v>6.3197320668779811E-2</v>
      </c>
      <c r="AK88">
        <v>-1.562960671275853</v>
      </c>
      <c r="AL88">
        <v>-0.26068832074386938</v>
      </c>
      <c r="AM88">
        <v>-0.31415097710179279</v>
      </c>
      <c r="AN88">
        <v>-0.19543618730598289</v>
      </c>
      <c r="AO88">
        <v>-0.62156966283770743</v>
      </c>
      <c r="AP88">
        <v>-0.118841927465876</v>
      </c>
      <c r="AQ88">
        <v>-0.52486557418804092</v>
      </c>
    </row>
    <row r="89" spans="1:43" x14ac:dyDescent="0.3">
      <c r="A89">
        <v>646</v>
      </c>
      <c r="B89">
        <v>2025</v>
      </c>
      <c r="C89" t="s">
        <v>150</v>
      </c>
      <c r="D89">
        <v>5</v>
      </c>
      <c r="E89">
        <v>7.5767095108716367</v>
      </c>
      <c r="F89">
        <v>-2.5767095108716371</v>
      </c>
      <c r="G89">
        <v>-7.8801170191781043E-3</v>
      </c>
      <c r="H89">
        <v>-0.91535749683645073</v>
      </c>
      <c r="I89">
        <v>-0.46913103709738152</v>
      </c>
      <c r="J89">
        <v>0.46363347235023722</v>
      </c>
      <c r="K89">
        <v>0.30213081591089108</v>
      </c>
      <c r="L89">
        <v>-1.023679466060134</v>
      </c>
      <c r="M89">
        <v>-0.73077957923049774</v>
      </c>
      <c r="N89">
        <v>-0.50490185048699965</v>
      </c>
      <c r="O89">
        <v>0.47209351409858691</v>
      </c>
      <c r="P89">
        <v>-0.1398789636352383</v>
      </c>
      <c r="Q89">
        <v>-0.52486557418804092</v>
      </c>
      <c r="R89">
        <v>-7.8801170191781043E-3</v>
      </c>
      <c r="S89">
        <v>9.2569804564363469</v>
      </c>
      <c r="T89">
        <v>0.15551986573479051</v>
      </c>
      <c r="U89">
        <v>9.1014605907015564</v>
      </c>
      <c r="V89">
        <v>-0.91535749683645073</v>
      </c>
      <c r="W89">
        <v>4.6758098629890217</v>
      </c>
      <c r="X89">
        <v>8.4774446653113067E-2</v>
      </c>
      <c r="Y89">
        <v>4.5910354163359086</v>
      </c>
      <c r="Z89">
        <v>-0.46913103709738152</v>
      </c>
      <c r="AA89">
        <v>-0.46363347235023722</v>
      </c>
      <c r="AB89">
        <v>-0.36105429762281449</v>
      </c>
      <c r="AC89">
        <v>-0.24320733419896781</v>
      </c>
      <c r="AD89">
        <v>-1.178867964294678</v>
      </c>
      <c r="AE89">
        <v>-0.43055906160785312</v>
      </c>
      <c r="AF89">
        <v>-1.140019277762319</v>
      </c>
      <c r="AG89">
        <v>-1.119360989576804</v>
      </c>
      <c r="AH89">
        <v>-1.1066664371460151</v>
      </c>
      <c r="AI89">
        <v>-1.1666030659731359</v>
      </c>
      <c r="AJ89">
        <v>-0.52604003303769065</v>
      </c>
      <c r="AK89">
        <v>-0.74611918207886652</v>
      </c>
      <c r="AL89">
        <v>-0.92017952257493563</v>
      </c>
      <c r="AM89">
        <v>0.50490185048699965</v>
      </c>
      <c r="AN89">
        <v>0.47209351409858691</v>
      </c>
      <c r="AO89">
        <v>-0.2493276354595568</v>
      </c>
      <c r="AP89">
        <v>-3.0430291810919791E-2</v>
      </c>
      <c r="AQ89">
        <v>-0.52486557418804092</v>
      </c>
    </row>
    <row r="90" spans="1:43" x14ac:dyDescent="0.3">
      <c r="A90">
        <v>652</v>
      </c>
      <c r="B90">
        <v>2025</v>
      </c>
      <c r="C90" t="s">
        <v>151</v>
      </c>
      <c r="D90">
        <v>6.3333333333333321</v>
      </c>
      <c r="E90">
        <v>7.5150603654213031</v>
      </c>
      <c r="F90">
        <v>-1.1817270320879709</v>
      </c>
      <c r="G90">
        <v>-0.82204362736657077</v>
      </c>
      <c r="H90">
        <v>-5.3001595757676503E-2</v>
      </c>
      <c r="I90">
        <v>0.43026290774914872</v>
      </c>
      <c r="J90">
        <v>-2.322341555989091</v>
      </c>
      <c r="K90">
        <v>-3.1881896902688212</v>
      </c>
      <c r="L90">
        <v>-0.19263824516728251</v>
      </c>
      <c r="M90">
        <v>-1.284054868783651</v>
      </c>
      <c r="N90">
        <v>-2.8656011793363859E-2</v>
      </c>
      <c r="O90">
        <v>0.15920553422747569</v>
      </c>
      <c r="P90">
        <v>0.2347071771754338</v>
      </c>
      <c r="Q90">
        <v>-0.52486557418804092</v>
      </c>
      <c r="R90">
        <v>-0.82204362736657077</v>
      </c>
      <c r="S90">
        <v>9.2569804564363469</v>
      </c>
      <c r="T90">
        <v>0.15551986573479051</v>
      </c>
      <c r="U90">
        <v>9.1014605907015564</v>
      </c>
      <c r="V90">
        <v>-5.3001595757676503E-2</v>
      </c>
      <c r="W90">
        <v>4.6758098629890217</v>
      </c>
      <c r="X90">
        <v>8.4774446653113067E-2</v>
      </c>
      <c r="Y90">
        <v>4.5910354163359086</v>
      </c>
      <c r="Z90">
        <v>0.43026290774914872</v>
      </c>
      <c r="AA90">
        <v>2.322341555989091</v>
      </c>
      <c r="AB90">
        <v>2.7696665199223802</v>
      </c>
      <c r="AC90">
        <v>3.6067128606152621</v>
      </c>
      <c r="AD90">
        <v>0.3035601060417546</v>
      </c>
      <c r="AE90">
        <v>-5.5154253366469293E-2</v>
      </c>
      <c r="AF90">
        <v>-0.37026868581574418</v>
      </c>
      <c r="AG90">
        <v>-0.52405050243593176</v>
      </c>
      <c r="AH90">
        <v>-0.27600566472260668</v>
      </c>
      <c r="AI90">
        <v>-0.2339104707046977</v>
      </c>
      <c r="AJ90">
        <v>-0.93116107501526901</v>
      </c>
      <c r="AK90">
        <v>-1.0942730134505749</v>
      </c>
      <c r="AL90">
        <v>-1.826730517885107</v>
      </c>
      <c r="AM90">
        <v>2.8656011793363859E-2</v>
      </c>
      <c r="AN90">
        <v>0.15920553422747569</v>
      </c>
      <c r="AO90">
        <v>8.750570640984906E-2</v>
      </c>
      <c r="AP90">
        <v>0.38190864794101848</v>
      </c>
      <c r="AQ90">
        <v>-0.52486557418804092</v>
      </c>
    </row>
    <row r="91" spans="1:43" x14ac:dyDescent="0.3">
      <c r="A91">
        <v>662</v>
      </c>
      <c r="B91">
        <v>2025</v>
      </c>
      <c r="C91" t="s">
        <v>152</v>
      </c>
      <c r="D91">
        <v>10.66666666666667</v>
      </c>
      <c r="E91">
        <v>10.11020208150434</v>
      </c>
      <c r="F91">
        <v>0.55646458516232755</v>
      </c>
      <c r="G91">
        <v>-0.86557047774785256</v>
      </c>
      <c r="H91">
        <v>-0.1161354724006734</v>
      </c>
      <c r="I91">
        <v>1.1956646187736399</v>
      </c>
      <c r="J91">
        <v>0.36365943299686082</v>
      </c>
      <c r="K91">
        <v>0.30213081591089108</v>
      </c>
      <c r="L91">
        <v>-0.59893669017671358</v>
      </c>
      <c r="M91">
        <v>-0.73889193592820634</v>
      </c>
      <c r="N91">
        <v>6.816563958029874E-2</v>
      </c>
      <c r="O91">
        <v>-0.30139164075326502</v>
      </c>
      <c r="P91">
        <v>0.1231510814683478</v>
      </c>
      <c r="Q91">
        <v>-0.52486557418804092</v>
      </c>
      <c r="R91">
        <v>-0.86557047774785256</v>
      </c>
      <c r="S91">
        <v>9.2569804564363469</v>
      </c>
      <c r="T91">
        <v>0.15551986573479051</v>
      </c>
      <c r="U91">
        <v>9.1014605907015564</v>
      </c>
      <c r="V91">
        <v>-0.1161354724006734</v>
      </c>
      <c r="W91">
        <v>4.6758098629890217</v>
      </c>
      <c r="X91">
        <v>8.4774446653113067E-2</v>
      </c>
      <c r="Y91">
        <v>4.5910354163359086</v>
      </c>
      <c r="Z91">
        <v>1.1956646187736399</v>
      </c>
      <c r="AA91">
        <v>-0.36365943299686082</v>
      </c>
      <c r="AB91">
        <v>-0.36105429762281449</v>
      </c>
      <c r="AC91">
        <v>-0.24320733419896781</v>
      </c>
      <c r="AD91">
        <v>-0.57266273647660759</v>
      </c>
      <c r="AE91">
        <v>-0.78486195449426044</v>
      </c>
      <c r="AF91">
        <v>-0.66919736550283238</v>
      </c>
      <c r="AG91">
        <v>-0.45071562990427527</v>
      </c>
      <c r="AH91">
        <v>-0.66450697215433563</v>
      </c>
      <c r="AI91">
        <v>-0.45167548252797018</v>
      </c>
      <c r="AJ91">
        <v>-0.40261920341134072</v>
      </c>
      <c r="AK91">
        <v>-0.98875435223625829</v>
      </c>
      <c r="AL91">
        <v>-0.82530225213702035</v>
      </c>
      <c r="AM91">
        <v>-6.816563958029874E-2</v>
      </c>
      <c r="AN91">
        <v>-0.30139164075326502</v>
      </c>
      <c r="AO91">
        <v>-0.11635764682961459</v>
      </c>
      <c r="AP91">
        <v>0.36265980976631013</v>
      </c>
      <c r="AQ91">
        <v>-0.52486557418804092</v>
      </c>
    </row>
    <row r="92" spans="1:43" x14ac:dyDescent="0.3">
      <c r="A92">
        <v>664</v>
      </c>
      <c r="B92">
        <v>2025</v>
      </c>
      <c r="C92" t="s">
        <v>153</v>
      </c>
      <c r="D92">
        <v>7</v>
      </c>
      <c r="E92">
        <v>9.0162171189432918</v>
      </c>
      <c r="F92">
        <v>-2.0162171189432918</v>
      </c>
      <c r="G92">
        <v>-0.99347890364127178</v>
      </c>
      <c r="H92">
        <v>4.8562496804482977E-2</v>
      </c>
      <c r="I92">
        <v>0.66436729281065809</v>
      </c>
      <c r="J92">
        <v>-0.1570068902767349</v>
      </c>
      <c r="K92">
        <v>0.30213081591089108</v>
      </c>
      <c r="L92">
        <v>-0.70827987556383964</v>
      </c>
      <c r="M92">
        <v>-1.420830313337486</v>
      </c>
      <c r="N92">
        <v>-0.27697507061052162</v>
      </c>
      <c r="O92">
        <v>-0.25956031394072437</v>
      </c>
      <c r="P92">
        <v>6.7726997620030316E-2</v>
      </c>
      <c r="Q92">
        <v>-0.52486557418804092</v>
      </c>
      <c r="R92">
        <v>-0.99347890364127178</v>
      </c>
      <c r="S92">
        <v>9.2569804564363469</v>
      </c>
      <c r="T92">
        <v>0.15551986573479051</v>
      </c>
      <c r="U92">
        <v>9.1014605907015564</v>
      </c>
      <c r="V92">
        <v>4.8562496804482977E-2</v>
      </c>
      <c r="W92">
        <v>4.6758098629890217</v>
      </c>
      <c r="X92">
        <v>8.4774446653113067E-2</v>
      </c>
      <c r="Y92">
        <v>4.5910354163359086</v>
      </c>
      <c r="Z92">
        <v>0.66436729281065809</v>
      </c>
      <c r="AA92">
        <v>0.1570068902767349</v>
      </c>
      <c r="AB92">
        <v>-0.36105429762281449</v>
      </c>
      <c r="AC92">
        <v>-0.24320733419896781</v>
      </c>
      <c r="AD92">
        <v>-0.29244599506553209</v>
      </c>
      <c r="AE92">
        <v>-1.15079272626967</v>
      </c>
      <c r="AF92">
        <v>-0.60656965069951208</v>
      </c>
      <c r="AG92">
        <v>-0.76272870374751511</v>
      </c>
      <c r="AH92">
        <v>-0.51947403431957662</v>
      </c>
      <c r="AI92">
        <v>-0.91766814328123181</v>
      </c>
      <c r="AJ92">
        <v>-0.85650713563315795</v>
      </c>
      <c r="AK92">
        <v>-1.004842029278316</v>
      </c>
      <c r="AL92">
        <v>-2.4011417751009829</v>
      </c>
      <c r="AM92">
        <v>0.27697507061052162</v>
      </c>
      <c r="AN92">
        <v>-0.25956031394072437</v>
      </c>
      <c r="AO92">
        <v>-0.1130031570732893</v>
      </c>
      <c r="AP92">
        <v>0.24845715231334989</v>
      </c>
      <c r="AQ92">
        <v>-0.52486557418804092</v>
      </c>
    </row>
    <row r="93" spans="1:43" x14ac:dyDescent="0.3">
      <c r="A93">
        <v>666</v>
      </c>
      <c r="B93">
        <v>2025</v>
      </c>
      <c r="C93" t="s">
        <v>154</v>
      </c>
      <c r="D93">
        <v>8</v>
      </c>
      <c r="E93">
        <v>7.3259148313374416</v>
      </c>
      <c r="F93">
        <v>0.67408516866255752</v>
      </c>
      <c r="G93">
        <v>-1.705147768324458</v>
      </c>
      <c r="H93">
        <v>-2.0608419729709122</v>
      </c>
      <c r="I93">
        <v>-0.99929320565424617</v>
      </c>
      <c r="J93">
        <v>-0.19331425609533681</v>
      </c>
      <c r="K93">
        <v>0.30213081591089108</v>
      </c>
      <c r="L93">
        <v>-0.69595898579420334</v>
      </c>
      <c r="M93">
        <v>1.3737773124937009</v>
      </c>
      <c r="N93">
        <v>2.7658905662708969E-2</v>
      </c>
      <c r="O93">
        <v>-0.34747721996807018</v>
      </c>
      <c r="P93">
        <v>0.6573110467879727</v>
      </c>
      <c r="Q93">
        <v>-0.52486557418804092</v>
      </c>
      <c r="R93">
        <v>-1.705147768324458</v>
      </c>
      <c r="S93">
        <v>9.2569804564363469</v>
      </c>
      <c r="T93">
        <v>0.15551986573479051</v>
      </c>
      <c r="U93">
        <v>9.1014605907015564</v>
      </c>
      <c r="V93">
        <v>-2.0608419729709122</v>
      </c>
      <c r="W93">
        <v>4.6758098629890217</v>
      </c>
      <c r="X93">
        <v>8.4774446653113067E-2</v>
      </c>
      <c r="Y93">
        <v>4.5910354163359086</v>
      </c>
      <c r="Z93">
        <v>-0.99929320565424617</v>
      </c>
      <c r="AA93">
        <v>0.19331425609533681</v>
      </c>
      <c r="AB93">
        <v>-0.36105429762281449</v>
      </c>
      <c r="AC93">
        <v>-0.24320733419896781</v>
      </c>
      <c r="AD93">
        <v>-0.1206107246739066</v>
      </c>
      <c r="AE93">
        <v>-0.39496146384892827</v>
      </c>
      <c r="AF93">
        <v>-1.3347088327316909</v>
      </c>
      <c r="AG93">
        <v>-0.98912631506227622</v>
      </c>
      <c r="AH93">
        <v>-0.68472938289743734</v>
      </c>
      <c r="AI93">
        <v>-0.65161719555098108</v>
      </c>
      <c r="AJ93">
        <v>1.1347908426286479</v>
      </c>
      <c r="AK93">
        <v>2.4928664623887311</v>
      </c>
      <c r="AL93">
        <v>0.49367463246372417</v>
      </c>
      <c r="AM93">
        <v>-2.7658905662708969E-2</v>
      </c>
      <c r="AN93">
        <v>-0.34747721996807018</v>
      </c>
      <c r="AO93">
        <v>0.93271630715968012</v>
      </c>
      <c r="AP93">
        <v>0.38190578641626532</v>
      </c>
      <c r="AQ93">
        <v>-0.52486557418804092</v>
      </c>
    </row>
    <row r="94" spans="1:43" x14ac:dyDescent="0.3">
      <c r="A94">
        <v>674</v>
      </c>
      <c r="B94">
        <v>2025</v>
      </c>
      <c r="C94" t="s">
        <v>155</v>
      </c>
      <c r="D94">
        <v>7</v>
      </c>
      <c r="E94">
        <v>6.6275135967921219</v>
      </c>
      <c r="F94">
        <v>0.37248640320787813</v>
      </c>
      <c r="G94">
        <v>-2.074577359486951</v>
      </c>
      <c r="H94">
        <v>-0.96852806955664805</v>
      </c>
      <c r="I94">
        <v>4.1165876852436223E-2</v>
      </c>
      <c r="J94">
        <v>-0.48526134582536878</v>
      </c>
      <c r="K94">
        <v>0.30213081591089108</v>
      </c>
      <c r="L94">
        <v>-1.062049146661505</v>
      </c>
      <c r="M94">
        <v>-0.58367960477047165</v>
      </c>
      <c r="N94">
        <v>0.2306370935926883</v>
      </c>
      <c r="O94">
        <v>-0.49958290692198531</v>
      </c>
      <c r="P94">
        <v>0.32988253925788541</v>
      </c>
      <c r="Q94">
        <v>-0.52486557418804092</v>
      </c>
      <c r="R94">
        <v>-2.074577359486951</v>
      </c>
      <c r="S94">
        <v>9.2569804564363469</v>
      </c>
      <c r="T94">
        <v>0.15551986573479051</v>
      </c>
      <c r="U94">
        <v>9.1014605907015564</v>
      </c>
      <c r="V94">
        <v>-0.96852806955664805</v>
      </c>
      <c r="W94">
        <v>4.6758098629890217</v>
      </c>
      <c r="X94">
        <v>8.4774446653113067E-2</v>
      </c>
      <c r="Y94">
        <v>4.5910354163359086</v>
      </c>
      <c r="Z94">
        <v>4.1165876852436223E-2</v>
      </c>
      <c r="AA94">
        <v>0.48526134582536878</v>
      </c>
      <c r="AB94">
        <v>-0.36105429762281449</v>
      </c>
      <c r="AC94">
        <v>-0.24320733419896781</v>
      </c>
      <c r="AD94">
        <v>-0.51026040496146352</v>
      </c>
      <c r="AE94">
        <v>-0.8553706949589075</v>
      </c>
      <c r="AF94">
        <v>-1.412193924633343</v>
      </c>
      <c r="AG94">
        <v>-1.2269447728588689</v>
      </c>
      <c r="AH94">
        <v>-1.2165390283104349</v>
      </c>
      <c r="AI94">
        <v>-1.150986054246014</v>
      </c>
      <c r="AJ94">
        <v>-0.32896766670639799</v>
      </c>
      <c r="AK94">
        <v>-1.415944053383819</v>
      </c>
      <c r="AL94">
        <v>-6.1270942211980603E-3</v>
      </c>
      <c r="AM94">
        <v>-0.2306370935926883</v>
      </c>
      <c r="AN94">
        <v>-0.49958290692198531</v>
      </c>
      <c r="AO94">
        <v>0.28384712891640002</v>
      </c>
      <c r="AP94">
        <v>0.37591794959937069</v>
      </c>
      <c r="AQ94">
        <v>-0.52486557418804092</v>
      </c>
    </row>
    <row r="95" spans="1:43" x14ac:dyDescent="0.3">
      <c r="A95">
        <v>684</v>
      </c>
      <c r="B95">
        <v>2025</v>
      </c>
      <c r="C95" t="s">
        <v>156</v>
      </c>
      <c r="D95">
        <v>13</v>
      </c>
      <c r="E95">
        <v>12.05979857345449</v>
      </c>
      <c r="F95">
        <v>0.94020142654550654</v>
      </c>
      <c r="G95">
        <v>0.21816236947964601</v>
      </c>
      <c r="H95">
        <v>-1.077361603180319</v>
      </c>
      <c r="I95">
        <v>-0.3424736665148676</v>
      </c>
      <c r="J95">
        <v>1.692357689178434E-3</v>
      </c>
      <c r="K95">
        <v>0.30213081591089108</v>
      </c>
      <c r="L95">
        <v>0.64567980500625322</v>
      </c>
      <c r="M95">
        <v>-0.12786113661429371</v>
      </c>
      <c r="N95">
        <v>-0.83576240894006881</v>
      </c>
      <c r="O95">
        <v>-0.64663262825497192</v>
      </c>
      <c r="P95">
        <v>0.86869809794933706</v>
      </c>
      <c r="Q95">
        <v>-0.52486557418804092</v>
      </c>
      <c r="R95">
        <v>0.21816236947964601</v>
      </c>
      <c r="S95">
        <v>9.2569804564363469</v>
      </c>
      <c r="T95">
        <v>0.15551986573479051</v>
      </c>
      <c r="U95">
        <v>9.1014605907015564</v>
      </c>
      <c r="V95">
        <v>-1.077361603180319</v>
      </c>
      <c r="W95">
        <v>4.6758098629890217</v>
      </c>
      <c r="X95">
        <v>8.4774446653113067E-2</v>
      </c>
      <c r="Y95">
        <v>4.5910354163359086</v>
      </c>
      <c r="Z95">
        <v>-0.3424736665148676</v>
      </c>
      <c r="AA95">
        <v>-1.692357689178434E-3</v>
      </c>
      <c r="AB95">
        <v>-0.36105429762281449</v>
      </c>
      <c r="AC95">
        <v>-0.24320733419896781</v>
      </c>
      <c r="AD95">
        <v>0.53253590856641109</v>
      </c>
      <c r="AE95">
        <v>0.89803762050887082</v>
      </c>
      <c r="AF95">
        <v>0.52903783115181946</v>
      </c>
      <c r="AG95">
        <v>0.89007539262863034</v>
      </c>
      <c r="AH95">
        <v>0.69633232881129348</v>
      </c>
      <c r="AI95">
        <v>0.32805974837049368</v>
      </c>
      <c r="AJ95">
        <v>-0.13056711682785729</v>
      </c>
      <c r="AK95">
        <v>-3.6528873162264323E-2</v>
      </c>
      <c r="AL95">
        <v>-0.21648741985275941</v>
      </c>
      <c r="AM95">
        <v>0.83576240894006881</v>
      </c>
      <c r="AN95">
        <v>-0.64663262825497192</v>
      </c>
      <c r="AO95">
        <v>0.92923275512742087</v>
      </c>
      <c r="AP95">
        <v>0.80816344077125324</v>
      </c>
      <c r="AQ95">
        <v>-0.52486557418804092</v>
      </c>
    </row>
    <row r="96" spans="1:43" x14ac:dyDescent="0.3">
      <c r="A96">
        <v>686</v>
      </c>
      <c r="B96">
        <v>2025</v>
      </c>
      <c r="C96" t="s">
        <v>157</v>
      </c>
      <c r="D96">
        <v>12.33333333333333</v>
      </c>
      <c r="E96">
        <v>11.28329172493542</v>
      </c>
      <c r="F96">
        <v>1.0500416083979101</v>
      </c>
      <c r="G96">
        <v>-0.51762432161894489</v>
      </c>
      <c r="H96">
        <v>0.19368346595992789</v>
      </c>
      <c r="I96">
        <v>-6.0518030795503948E-2</v>
      </c>
      <c r="J96">
        <v>0.41994252767099449</v>
      </c>
      <c r="K96">
        <v>0.30213081591089108</v>
      </c>
      <c r="L96">
        <v>-0.47534191081097349</v>
      </c>
      <c r="M96">
        <v>-0.1366732626246171</v>
      </c>
      <c r="N96">
        <v>-0.25438798235606308</v>
      </c>
      <c r="O96">
        <v>-0.104648630721486</v>
      </c>
      <c r="P96">
        <v>0.45810356382627249</v>
      </c>
      <c r="Q96">
        <v>-0.52486557418804092</v>
      </c>
      <c r="R96">
        <v>-0.51762432161894489</v>
      </c>
      <c r="S96">
        <v>9.2569804564363469</v>
      </c>
      <c r="T96">
        <v>0.15551986573479051</v>
      </c>
      <c r="U96">
        <v>9.1014605907015564</v>
      </c>
      <c r="V96">
        <v>0.19368346595992789</v>
      </c>
      <c r="W96">
        <v>4.6758098629890217</v>
      </c>
      <c r="X96">
        <v>8.4774446653113067E-2</v>
      </c>
      <c r="Y96">
        <v>4.5910354163359086</v>
      </c>
      <c r="Z96">
        <v>-6.0518030795503948E-2</v>
      </c>
      <c r="AA96">
        <v>-0.41994252767099449</v>
      </c>
      <c r="AB96">
        <v>-0.36105429762281449</v>
      </c>
      <c r="AC96">
        <v>-0.24320733419896781</v>
      </c>
      <c r="AD96">
        <v>-0.69952907932412955</v>
      </c>
      <c r="AE96">
        <v>-0.46910817691260281</v>
      </c>
      <c r="AF96">
        <v>-0.3066999925940721</v>
      </c>
      <c r="AG96">
        <v>-0.39180218822248919</v>
      </c>
      <c r="AH96">
        <v>-0.30595030566781178</v>
      </c>
      <c r="AI96">
        <v>-0.67896172214473638</v>
      </c>
      <c r="AJ96">
        <v>-0.45519522382881927</v>
      </c>
      <c r="AK96">
        <v>0.10413517482085489</v>
      </c>
      <c r="AL96">
        <v>-5.8959738865887013E-2</v>
      </c>
      <c r="AM96">
        <v>0.25438798235606308</v>
      </c>
      <c r="AN96">
        <v>-0.104648630721486</v>
      </c>
      <c r="AO96">
        <v>0.54005015615050966</v>
      </c>
      <c r="AP96">
        <v>0.37615697150203542</v>
      </c>
      <c r="AQ96">
        <v>-0.52486557418804092</v>
      </c>
    </row>
    <row r="97" spans="1:43" x14ac:dyDescent="0.3">
      <c r="A97">
        <v>688</v>
      </c>
      <c r="B97">
        <v>2025</v>
      </c>
      <c r="C97" t="s">
        <v>158</v>
      </c>
      <c r="D97">
        <v>5.3333333333333321</v>
      </c>
      <c r="E97">
        <v>2.3524525048396052</v>
      </c>
      <c r="F97">
        <v>2.9808808284937269</v>
      </c>
      <c r="G97">
        <v>-1.988467532750301</v>
      </c>
      <c r="H97">
        <v>-0.84129537366311591</v>
      </c>
      <c r="I97">
        <v>0.19428114697752319</v>
      </c>
      <c r="J97">
        <v>-0.21973869206946409</v>
      </c>
      <c r="K97">
        <v>-2.1230086313229082</v>
      </c>
      <c r="L97">
        <v>-1.13382559582566</v>
      </c>
      <c r="M97">
        <v>-0.56013863762489347</v>
      </c>
      <c r="N97">
        <v>-1.0881376976282611</v>
      </c>
      <c r="O97">
        <v>-3.1440080969679252</v>
      </c>
      <c r="P97">
        <v>0.29404411153536603</v>
      </c>
      <c r="Q97">
        <v>-0.52486557418804092</v>
      </c>
      <c r="R97">
        <v>-1.988467532750301</v>
      </c>
      <c r="S97">
        <v>9.2569804564363469</v>
      </c>
      <c r="T97">
        <v>0.15551986573479051</v>
      </c>
      <c r="U97">
        <v>9.1014605907015564</v>
      </c>
      <c r="V97">
        <v>-0.84129537366311591</v>
      </c>
      <c r="W97">
        <v>4.6758098629890217</v>
      </c>
      <c r="X97">
        <v>8.4774446653113067E-2</v>
      </c>
      <c r="Y97">
        <v>4.5910354163359086</v>
      </c>
      <c r="Z97">
        <v>0.19428114697752319</v>
      </c>
      <c r="AA97">
        <v>0.21973869206946409</v>
      </c>
      <c r="AB97">
        <v>2.7696665199223802</v>
      </c>
      <c r="AC97">
        <v>1.4763507427234359</v>
      </c>
      <c r="AD97">
        <v>-0.81563989836578921</v>
      </c>
      <c r="AE97">
        <v>-1.5465436317586709</v>
      </c>
      <c r="AF97">
        <v>-1.0692442581534369</v>
      </c>
      <c r="AG97">
        <v>-1.1235722563582911</v>
      </c>
      <c r="AH97">
        <v>-1.2717444904118349</v>
      </c>
      <c r="AI97">
        <v>-0.97620903990593511</v>
      </c>
      <c r="AJ97">
        <v>-0.50704450230535092</v>
      </c>
      <c r="AK97">
        <v>-0.29409670765100188</v>
      </c>
      <c r="AL97">
        <v>-0.87927470291832743</v>
      </c>
      <c r="AM97">
        <v>1.0881376976282611</v>
      </c>
      <c r="AN97">
        <v>-3.1440080969679252</v>
      </c>
      <c r="AO97">
        <v>0.43503076795866569</v>
      </c>
      <c r="AP97">
        <v>0.1530574551120662</v>
      </c>
      <c r="AQ97">
        <v>-0.52486557418804092</v>
      </c>
    </row>
    <row r="98" spans="1:43" x14ac:dyDescent="0.3">
      <c r="A98">
        <v>692</v>
      </c>
      <c r="B98">
        <v>2025</v>
      </c>
      <c r="C98" t="s">
        <v>160</v>
      </c>
      <c r="D98">
        <v>4</v>
      </c>
      <c r="E98">
        <v>5.4983871902038981</v>
      </c>
      <c r="F98">
        <v>-1.4983871902038981</v>
      </c>
      <c r="G98">
        <v>-1.886770442912719</v>
      </c>
      <c r="H98">
        <v>-0.87976753382140915</v>
      </c>
      <c r="I98">
        <v>1.277003012911945</v>
      </c>
      <c r="J98">
        <v>0.2205095823731236</v>
      </c>
      <c r="K98">
        <v>0.30213081591089108</v>
      </c>
      <c r="L98">
        <v>-1.137072566905593</v>
      </c>
      <c r="M98">
        <v>-0.89528001280208036</v>
      </c>
      <c r="N98">
        <v>0.43950514955458042</v>
      </c>
      <c r="O98">
        <v>-0.88554316741679595</v>
      </c>
      <c r="P98">
        <v>-3.424944987268141</v>
      </c>
      <c r="Q98">
        <v>-0.52486557418804092</v>
      </c>
      <c r="R98">
        <v>-1.886770442912719</v>
      </c>
      <c r="S98">
        <v>9.2569804564363469</v>
      </c>
      <c r="T98">
        <v>0.15551986573479051</v>
      </c>
      <c r="U98">
        <v>9.1014605907015564</v>
      </c>
      <c r="V98">
        <v>-0.87976753382140915</v>
      </c>
      <c r="W98">
        <v>4.6758098629890217</v>
      </c>
      <c r="X98">
        <v>8.4774446653113067E-2</v>
      </c>
      <c r="Y98">
        <v>4.5910354163359086</v>
      </c>
      <c r="Z98">
        <v>1.277003012911945</v>
      </c>
      <c r="AA98">
        <v>-0.2205095823731236</v>
      </c>
      <c r="AB98">
        <v>-0.36105429762281449</v>
      </c>
      <c r="AC98">
        <v>-0.24320733419896781</v>
      </c>
      <c r="AD98">
        <v>-0.92947383791215865</v>
      </c>
      <c r="AE98">
        <v>-2.0251116320808888</v>
      </c>
      <c r="AF98">
        <v>-0.98442961650026672</v>
      </c>
      <c r="AG98">
        <v>-1.2466813947921691</v>
      </c>
      <c r="AH98">
        <v>-0.92979663385390421</v>
      </c>
      <c r="AI98">
        <v>-0.70694228629417089</v>
      </c>
      <c r="AJ98">
        <v>-0.42998479649803589</v>
      </c>
      <c r="AK98">
        <v>-1.5090050775040289</v>
      </c>
      <c r="AL98">
        <v>-0.7468501644041764</v>
      </c>
      <c r="AM98">
        <v>-0.43950514955458042</v>
      </c>
      <c r="AN98">
        <v>-0.88554316741679595</v>
      </c>
      <c r="AO98">
        <v>-3.7452561080433671</v>
      </c>
      <c r="AP98">
        <v>-3.104633866492915</v>
      </c>
      <c r="AQ98">
        <v>-0.52486557418804092</v>
      </c>
    </row>
    <row r="99" spans="1:43" x14ac:dyDescent="0.3">
      <c r="A99">
        <v>694</v>
      </c>
      <c r="B99">
        <v>2025</v>
      </c>
      <c r="C99" t="s">
        <v>162</v>
      </c>
      <c r="D99">
        <v>7.3333333333333339</v>
      </c>
      <c r="E99">
        <v>8.1673569381872326</v>
      </c>
      <c r="F99">
        <v>-0.8340236048538987</v>
      </c>
      <c r="G99">
        <v>-1.567393942532002</v>
      </c>
      <c r="H99">
        <v>0.43466383596863989</v>
      </c>
      <c r="I99">
        <v>-0.24410791128480791</v>
      </c>
      <c r="J99">
        <v>-2.4713486642619662</v>
      </c>
      <c r="K99">
        <v>0.30213081591089108</v>
      </c>
      <c r="L99">
        <v>-1.303998958594103</v>
      </c>
      <c r="M99">
        <v>-1.2648736800508511</v>
      </c>
      <c r="N99">
        <v>0.60197660356697003</v>
      </c>
      <c r="O99">
        <v>0.48074425834513701</v>
      </c>
      <c r="P99">
        <v>0.21928412525829899</v>
      </c>
      <c r="Q99">
        <v>-0.52486557418804092</v>
      </c>
      <c r="R99">
        <v>-1.567393942532002</v>
      </c>
      <c r="S99">
        <v>9.2569804564363469</v>
      </c>
      <c r="T99">
        <v>0.15551986573479051</v>
      </c>
      <c r="U99">
        <v>9.1014605907015564</v>
      </c>
      <c r="V99">
        <v>0.43466383596863989</v>
      </c>
      <c r="W99">
        <v>4.6758098629890217</v>
      </c>
      <c r="X99">
        <v>8.4774446653113067E-2</v>
      </c>
      <c r="Y99">
        <v>4.5910354163359086</v>
      </c>
      <c r="Z99">
        <v>-0.24410791128480791</v>
      </c>
      <c r="AA99">
        <v>2.4713486642619662</v>
      </c>
      <c r="AB99">
        <v>-0.36105429762281449</v>
      </c>
      <c r="AC99">
        <v>-0.24320733419896781</v>
      </c>
      <c r="AD99">
        <v>-0.76531327935505</v>
      </c>
      <c r="AE99">
        <v>-2.1441984287495108</v>
      </c>
      <c r="AF99">
        <v>-1.2163035019681701</v>
      </c>
      <c r="AG99">
        <v>-1.382900202173917</v>
      </c>
      <c r="AH99">
        <v>-1.1227798947179359</v>
      </c>
      <c r="AI99">
        <v>-1.192498444600032</v>
      </c>
      <c r="AJ99">
        <v>-0.18366939865084941</v>
      </c>
      <c r="AK99">
        <v>-1.636303978406054</v>
      </c>
      <c r="AL99">
        <v>-1.97464766309565</v>
      </c>
      <c r="AM99">
        <v>-0.60197660356697003</v>
      </c>
      <c r="AN99">
        <v>0.48074425834513701</v>
      </c>
      <c r="AO99">
        <v>-0.1044030209671838</v>
      </c>
      <c r="AP99">
        <v>0.54297127148378188</v>
      </c>
      <c r="AQ99">
        <v>-0.52486557418804092</v>
      </c>
    </row>
    <row r="100" spans="1:43" x14ac:dyDescent="0.3">
      <c r="A100">
        <v>714</v>
      </c>
      <c r="B100">
        <v>2025</v>
      </c>
      <c r="C100" t="s">
        <v>163</v>
      </c>
      <c r="D100">
        <v>8.6666666666666661</v>
      </c>
      <c r="E100">
        <v>8.65546515468378</v>
      </c>
      <c r="F100">
        <v>1.12015119828861E-2</v>
      </c>
      <c r="G100">
        <v>-1.6739139732510651</v>
      </c>
      <c r="H100">
        <v>-1.110193713242335</v>
      </c>
      <c r="I100">
        <v>1.5989947771470501</v>
      </c>
      <c r="J100">
        <v>-0.36981422519039159</v>
      </c>
      <c r="K100">
        <v>0.30213081591089108</v>
      </c>
      <c r="L100">
        <v>-7.782094535030358E-2</v>
      </c>
      <c r="M100">
        <v>-0.60546103583070499</v>
      </c>
      <c r="N100">
        <v>-0.42102679582499458</v>
      </c>
      <c r="O100">
        <v>-1.3301190088826249</v>
      </c>
      <c r="P100">
        <v>0.20271671305173539</v>
      </c>
      <c r="Q100">
        <v>-0.52486557418804092</v>
      </c>
      <c r="R100">
        <v>-1.6739139732510651</v>
      </c>
      <c r="S100">
        <v>9.2569804564363469</v>
      </c>
      <c r="T100">
        <v>0.15551986573479051</v>
      </c>
      <c r="U100">
        <v>9.1014605907015564</v>
      </c>
      <c r="V100">
        <v>-1.110193713242335</v>
      </c>
      <c r="W100">
        <v>4.6758098629890217</v>
      </c>
      <c r="X100">
        <v>8.4774446653113067E-2</v>
      </c>
      <c r="Y100">
        <v>4.5910354163359086</v>
      </c>
      <c r="Z100">
        <v>1.5989947771470501</v>
      </c>
      <c r="AA100">
        <v>0.36981422519039159</v>
      </c>
      <c r="AB100">
        <v>-0.36105429762281449</v>
      </c>
      <c r="AC100">
        <v>-0.24320733419896781</v>
      </c>
      <c r="AD100">
        <v>-1.160109911528141</v>
      </c>
      <c r="AE100">
        <v>9.9970237680552354E-2</v>
      </c>
      <c r="AF100">
        <v>0.1685814852409602</v>
      </c>
      <c r="AG100">
        <v>-0.17723541996672151</v>
      </c>
      <c r="AH100">
        <v>5.1494235679545537E-2</v>
      </c>
      <c r="AI100">
        <v>0.550373700791983</v>
      </c>
      <c r="AJ100">
        <v>-0.6818384691365772</v>
      </c>
      <c r="AK100">
        <v>-0.68589351930603548</v>
      </c>
      <c r="AL100">
        <v>-0.44865111904950228</v>
      </c>
      <c r="AM100">
        <v>0.42102679582499458</v>
      </c>
      <c r="AN100">
        <v>-1.3301190088826249</v>
      </c>
      <c r="AO100">
        <v>0.30450872106503102</v>
      </c>
      <c r="AP100">
        <v>0.1009247050384398</v>
      </c>
      <c r="AQ100">
        <v>-0.52486557418804092</v>
      </c>
    </row>
    <row r="101" spans="1:43" x14ac:dyDescent="0.3">
      <c r="A101">
        <v>718</v>
      </c>
      <c r="B101">
        <v>2025</v>
      </c>
      <c r="C101" t="s">
        <v>164</v>
      </c>
      <c r="D101">
        <v>11</v>
      </c>
      <c r="E101">
        <v>11.291596507533511</v>
      </c>
      <c r="F101">
        <v>-0.29159650753350702</v>
      </c>
      <c r="G101">
        <v>0.64589432132476521</v>
      </c>
      <c r="H101">
        <v>-2.0970081679352019</v>
      </c>
      <c r="I101">
        <v>-0.35072538765933331</v>
      </c>
      <c r="J101">
        <v>0.44295181993438598</v>
      </c>
      <c r="K101">
        <v>0.30213081591089108</v>
      </c>
      <c r="L101">
        <v>0.58752533126026318</v>
      </c>
      <c r="M101">
        <v>7.2180037225512098E-2</v>
      </c>
      <c r="N101">
        <v>3.7271614809132943E-2</v>
      </c>
      <c r="O101">
        <v>-0.86574602325914507</v>
      </c>
      <c r="P101">
        <v>0.51784680333083766</v>
      </c>
      <c r="Q101">
        <v>-0.52486557418804092</v>
      </c>
      <c r="R101">
        <v>0.64589432132476521</v>
      </c>
      <c r="S101">
        <v>9.2569804564363469</v>
      </c>
      <c r="T101">
        <v>0.15551986573479051</v>
      </c>
      <c r="U101">
        <v>9.1014605907015564</v>
      </c>
      <c r="V101">
        <v>-2.0970081679352019</v>
      </c>
      <c r="W101">
        <v>4.6758098629890217</v>
      </c>
      <c r="X101">
        <v>8.4774446653113067E-2</v>
      </c>
      <c r="Y101">
        <v>4.5910354163359086</v>
      </c>
      <c r="Z101">
        <v>-0.35072538765933331</v>
      </c>
      <c r="AA101">
        <v>-0.44295181993438598</v>
      </c>
      <c r="AB101">
        <v>-0.36105429762281449</v>
      </c>
      <c r="AC101">
        <v>-0.24320733419896781</v>
      </c>
      <c r="AD101">
        <v>0.46641943131237762</v>
      </c>
      <c r="AE101">
        <v>0.88378470879446969</v>
      </c>
      <c r="AF101">
        <v>0.4333784132271456</v>
      </c>
      <c r="AG101">
        <v>-7.9156515782354137E-2</v>
      </c>
      <c r="AH101">
        <v>0.29625310024476548</v>
      </c>
      <c r="AI101">
        <v>1.5244728497651749</v>
      </c>
      <c r="AJ101">
        <v>-0.14740748180428531</v>
      </c>
      <c r="AK101">
        <v>0.39651839244676312</v>
      </c>
      <c r="AL101">
        <v>-3.2570798965941533E-2</v>
      </c>
      <c r="AM101">
        <v>-3.7271614809132943E-2</v>
      </c>
      <c r="AN101">
        <v>-0.86574602325914507</v>
      </c>
      <c r="AO101">
        <v>0.77295293733970938</v>
      </c>
      <c r="AP101">
        <v>0.26274066932196599</v>
      </c>
      <c r="AQ101">
        <v>-0.52486557418804092</v>
      </c>
    </row>
    <row r="102" spans="1:43" x14ac:dyDescent="0.3">
      <c r="A102">
        <v>722</v>
      </c>
      <c r="B102">
        <v>2025</v>
      </c>
      <c r="C102" t="s">
        <v>166</v>
      </c>
      <c r="D102">
        <v>6.5</v>
      </c>
      <c r="E102">
        <v>7.5506333624641204</v>
      </c>
      <c r="F102">
        <v>-1.05063336246412</v>
      </c>
      <c r="G102">
        <v>-1.208762660442896</v>
      </c>
      <c r="H102">
        <v>-0.63319673707005242</v>
      </c>
      <c r="I102">
        <v>0.45920942160513167</v>
      </c>
      <c r="J102">
        <v>0.31359609725959747</v>
      </c>
      <c r="K102">
        <v>0.30213081591089108</v>
      </c>
      <c r="L102">
        <v>-0.27268497697419752</v>
      </c>
      <c r="M102">
        <v>-1.24602299998288</v>
      </c>
      <c r="N102">
        <v>-1.803062103596254</v>
      </c>
      <c r="O102">
        <v>-1.164888500687681</v>
      </c>
      <c r="P102">
        <v>0.29619812488591601</v>
      </c>
      <c r="Q102">
        <v>-0.52486557418804092</v>
      </c>
      <c r="R102">
        <v>-1.208762660442896</v>
      </c>
      <c r="S102">
        <v>9.2569804564363469</v>
      </c>
      <c r="T102">
        <v>0.15551986573479051</v>
      </c>
      <c r="U102">
        <v>9.1014605907015564</v>
      </c>
      <c r="V102">
        <v>-0.63319673707005242</v>
      </c>
      <c r="W102">
        <v>4.6758098629890217</v>
      </c>
      <c r="X102">
        <v>8.4774446653113067E-2</v>
      </c>
      <c r="Y102">
        <v>4.5910354163359086</v>
      </c>
      <c r="Z102">
        <v>0.45920942160513167</v>
      </c>
      <c r="AA102">
        <v>-0.31359609725959747</v>
      </c>
      <c r="AB102">
        <v>-0.36105429762281449</v>
      </c>
      <c r="AC102">
        <v>-0.24320733419896781</v>
      </c>
      <c r="AD102">
        <v>-4.604717910678428E-3</v>
      </c>
      <c r="AE102">
        <v>-0.19504039896417899</v>
      </c>
      <c r="AF102">
        <v>-0.18841676498245649</v>
      </c>
      <c r="AG102">
        <v>-0.71079428967420699</v>
      </c>
      <c r="AH102">
        <v>-0.46296625756245757</v>
      </c>
      <c r="AI102">
        <v>-7.42874327512065E-2</v>
      </c>
      <c r="AJ102">
        <v>-1.613922598501544</v>
      </c>
      <c r="AK102">
        <v>-0.62542035380948047</v>
      </c>
      <c r="AL102">
        <v>-1.498726047637615</v>
      </c>
      <c r="AM102">
        <v>1.803062103596254</v>
      </c>
      <c r="AN102">
        <v>-1.164888500687681</v>
      </c>
      <c r="AO102">
        <v>0.27640974863680451</v>
      </c>
      <c r="AP102">
        <v>0.31598650113502758</v>
      </c>
      <c r="AQ102">
        <v>-0.52486557418804092</v>
      </c>
    </row>
    <row r="103" spans="1:43" x14ac:dyDescent="0.3">
      <c r="A103">
        <v>728</v>
      </c>
      <c r="B103">
        <v>2025</v>
      </c>
      <c r="C103" t="s">
        <v>167</v>
      </c>
      <c r="D103">
        <v>9.5</v>
      </c>
      <c r="E103">
        <v>10.214959459952411</v>
      </c>
      <c r="F103">
        <v>-0.71495945995240717</v>
      </c>
      <c r="G103">
        <v>-0.50910840759990983</v>
      </c>
      <c r="H103">
        <v>-1.113205905655875</v>
      </c>
      <c r="I103">
        <v>-0.28964518723019278</v>
      </c>
      <c r="J103">
        <v>0.14432707490403349</v>
      </c>
      <c r="K103">
        <v>0.30213081591089108</v>
      </c>
      <c r="L103">
        <v>0.1310673719736542</v>
      </c>
      <c r="M103">
        <v>-0.3515889382441566</v>
      </c>
      <c r="N103">
        <v>-0.15326005954397379</v>
      </c>
      <c r="O103">
        <v>-1.2383357762039811</v>
      </c>
      <c r="P103">
        <v>0.35129594179856022</v>
      </c>
      <c r="Q103">
        <v>-0.52486557418804092</v>
      </c>
      <c r="R103">
        <v>-0.50910840759990983</v>
      </c>
      <c r="S103">
        <v>9.2569804564363469</v>
      </c>
      <c r="T103">
        <v>0.15551986573479051</v>
      </c>
      <c r="U103">
        <v>9.1014605907015564</v>
      </c>
      <c r="V103">
        <v>-1.113205905655875</v>
      </c>
      <c r="W103">
        <v>4.6758098629890217</v>
      </c>
      <c r="X103">
        <v>8.4774446653113067E-2</v>
      </c>
      <c r="Y103">
        <v>4.5910354163359086</v>
      </c>
      <c r="Z103">
        <v>-0.28964518723019278</v>
      </c>
      <c r="AA103">
        <v>-0.14432707490403349</v>
      </c>
      <c r="AB103">
        <v>-0.36105429762281449</v>
      </c>
      <c r="AC103">
        <v>-0.24320733419896781</v>
      </c>
      <c r="AD103">
        <v>0.49704691709917259</v>
      </c>
      <c r="AE103">
        <v>0.62220945608254807</v>
      </c>
      <c r="AF103">
        <v>-0.23185636153822151</v>
      </c>
      <c r="AG103">
        <v>-0.38959093244483162</v>
      </c>
      <c r="AH103">
        <v>0.30972002234058338</v>
      </c>
      <c r="AI103">
        <v>-2.1124869697325591E-2</v>
      </c>
      <c r="AJ103">
        <v>-0.68559747917595881</v>
      </c>
      <c r="AK103">
        <v>0.38645328168198861</v>
      </c>
      <c r="AL103">
        <v>-0.75562261723849944</v>
      </c>
      <c r="AM103">
        <v>0.15326005954397379</v>
      </c>
      <c r="AN103">
        <v>-1.2383357762039811</v>
      </c>
      <c r="AO103">
        <v>0.47396013417779098</v>
      </c>
      <c r="AP103">
        <v>0.22863174941932929</v>
      </c>
      <c r="AQ103">
        <v>-0.52486557418804092</v>
      </c>
    </row>
    <row r="104" spans="1:43" x14ac:dyDescent="0.3">
      <c r="A104">
        <v>738</v>
      </c>
      <c r="B104">
        <v>2025</v>
      </c>
      <c r="C104" t="s">
        <v>168</v>
      </c>
      <c r="D104">
        <v>9</v>
      </c>
      <c r="E104">
        <v>9.8091282742740198</v>
      </c>
      <c r="F104">
        <v>-0.80912827427401979</v>
      </c>
      <c r="G104">
        <v>-1.505197005898941</v>
      </c>
      <c r="H104">
        <v>-0.18200959189442789</v>
      </c>
      <c r="I104">
        <v>1.0631568215595999</v>
      </c>
      <c r="J104">
        <v>0.1700265083026975</v>
      </c>
      <c r="K104">
        <v>0.30213081591089108</v>
      </c>
      <c r="L104">
        <v>-0.60564073303305133</v>
      </c>
      <c r="M104">
        <v>-0.64536282181305926</v>
      </c>
      <c r="N104">
        <v>0.23516562420213069</v>
      </c>
      <c r="O104">
        <v>-0.23025898888439769</v>
      </c>
      <c r="P104">
        <v>5.062265451997669E-2</v>
      </c>
      <c r="Q104">
        <v>-0.52486557418804092</v>
      </c>
      <c r="R104">
        <v>-1.505197005898941</v>
      </c>
      <c r="S104">
        <v>9.2569804564363469</v>
      </c>
      <c r="T104">
        <v>0.15551986573479051</v>
      </c>
      <c r="U104">
        <v>9.1014605907015564</v>
      </c>
      <c r="V104">
        <v>-0.18200959189442789</v>
      </c>
      <c r="W104">
        <v>4.6758098629890217</v>
      </c>
      <c r="X104">
        <v>8.4774446653113067E-2</v>
      </c>
      <c r="Y104">
        <v>4.5910354163359086</v>
      </c>
      <c r="Z104">
        <v>1.0631568215595999</v>
      </c>
      <c r="AA104">
        <v>-0.1700265083026975</v>
      </c>
      <c r="AB104">
        <v>-0.36105429762281449</v>
      </c>
      <c r="AC104">
        <v>-0.24320733419896781</v>
      </c>
      <c r="AD104">
        <v>-0.74911086214346134</v>
      </c>
      <c r="AE104">
        <v>-9.2384274727521684E-2</v>
      </c>
      <c r="AF104">
        <v>-0.77625494462599265</v>
      </c>
      <c r="AG104">
        <v>-0.98713425413058042</v>
      </c>
      <c r="AH104">
        <v>-0.57027290202897507</v>
      </c>
      <c r="AI104">
        <v>-0.4586871605417765</v>
      </c>
      <c r="AJ104">
        <v>-0.16620253200119131</v>
      </c>
      <c r="AK104">
        <v>-1.029014795295357</v>
      </c>
      <c r="AL104">
        <v>-0.74087113814262995</v>
      </c>
      <c r="AM104">
        <v>-0.23516562420213069</v>
      </c>
      <c r="AN104">
        <v>-0.23025898888439769</v>
      </c>
      <c r="AO104">
        <v>-0.187801306149078</v>
      </c>
      <c r="AP104">
        <v>0.28904661518903141</v>
      </c>
      <c r="AQ104">
        <v>-0.52486557418804092</v>
      </c>
    </row>
    <row r="105" spans="1:43" x14ac:dyDescent="0.3">
      <c r="A105">
        <v>742</v>
      </c>
      <c r="B105">
        <v>2025</v>
      </c>
      <c r="C105" t="s">
        <v>169</v>
      </c>
      <c r="D105">
        <v>8</v>
      </c>
      <c r="E105">
        <v>5.4005674798330574</v>
      </c>
      <c r="F105">
        <v>2.599432520166943</v>
      </c>
      <c r="G105">
        <v>-1.619956255689478</v>
      </c>
      <c r="H105">
        <v>-1.266376626999693</v>
      </c>
      <c r="I105">
        <v>0.86227762057713031</v>
      </c>
      <c r="J105">
        <v>0.19727134192800669</v>
      </c>
      <c r="K105">
        <v>0.30213081591089108</v>
      </c>
      <c r="L105">
        <v>-0.91487111095630957</v>
      </c>
      <c r="M105">
        <v>-0.74018140888891926</v>
      </c>
      <c r="N105">
        <v>-0.38352056071611551</v>
      </c>
      <c r="O105">
        <v>-1.370590383660251E-2</v>
      </c>
      <c r="P105">
        <v>-3.2657843858346101</v>
      </c>
      <c r="Q105">
        <v>-0.52486557418804092</v>
      </c>
      <c r="R105">
        <v>-1.619956255689478</v>
      </c>
      <c r="S105">
        <v>9.2569804564363469</v>
      </c>
      <c r="T105">
        <v>0.15551986573479051</v>
      </c>
      <c r="U105">
        <v>9.1014605907015564</v>
      </c>
      <c r="V105">
        <v>-1.266376626999693</v>
      </c>
      <c r="W105">
        <v>4.6758098629890217</v>
      </c>
      <c r="X105">
        <v>8.4774446653113067E-2</v>
      </c>
      <c r="Y105">
        <v>4.5910354163359086</v>
      </c>
      <c r="Z105">
        <v>0.86227762057713031</v>
      </c>
      <c r="AA105">
        <v>-0.19727134192800669</v>
      </c>
      <c r="AB105">
        <v>-0.36105429762281449</v>
      </c>
      <c r="AC105">
        <v>-0.24320733419896781</v>
      </c>
      <c r="AD105">
        <v>-1.026730712102758</v>
      </c>
      <c r="AE105">
        <v>-1.170433233828456</v>
      </c>
      <c r="AF105">
        <v>-0.91400858401066909</v>
      </c>
      <c r="AG105">
        <v>-0.87905302347788694</v>
      </c>
      <c r="AH105">
        <v>-0.735750675634669</v>
      </c>
      <c r="AI105">
        <v>-0.7632504366834183</v>
      </c>
      <c r="AJ105">
        <v>-0.71900254839259303</v>
      </c>
      <c r="AK105">
        <v>-0.87391308842833948</v>
      </c>
      <c r="AL105">
        <v>-0.62762858984582526</v>
      </c>
      <c r="AM105">
        <v>0.38352056071611551</v>
      </c>
      <c r="AN105">
        <v>-1.370590383660251E-2</v>
      </c>
      <c r="AO105">
        <v>-3.3015250642306548</v>
      </c>
      <c r="AP105">
        <v>-3.2300437074385648</v>
      </c>
      <c r="AQ105">
        <v>-0.52486557418804092</v>
      </c>
    </row>
    <row r="106" spans="1:43" x14ac:dyDescent="0.3">
      <c r="A106">
        <v>744</v>
      </c>
      <c r="B106">
        <v>2025</v>
      </c>
      <c r="C106" t="s">
        <v>170</v>
      </c>
      <c r="D106">
        <v>6.5</v>
      </c>
      <c r="E106">
        <v>8.7788643315705457</v>
      </c>
      <c r="F106">
        <v>-2.2788643315705461</v>
      </c>
      <c r="G106">
        <v>-0.51941346748046124</v>
      </c>
      <c r="H106">
        <v>-0.38676289774896627</v>
      </c>
      <c r="I106">
        <v>-1.002698677872597</v>
      </c>
      <c r="J106">
        <v>-0.45402899803501018</v>
      </c>
      <c r="K106">
        <v>0.30213081591089108</v>
      </c>
      <c r="L106">
        <v>-0.59995870562441389</v>
      </c>
      <c r="M106">
        <v>-0.51609500836658706</v>
      </c>
      <c r="N106">
        <v>-0.62714439454556925</v>
      </c>
      <c r="O106">
        <v>-0.35766673636012042</v>
      </c>
      <c r="P106">
        <v>7.905344937360527E-2</v>
      </c>
      <c r="Q106">
        <v>-0.52486557418804092</v>
      </c>
      <c r="R106">
        <v>-0.51941346748046124</v>
      </c>
      <c r="S106">
        <v>9.2569804564363469</v>
      </c>
      <c r="T106">
        <v>0.15551986573479051</v>
      </c>
      <c r="U106">
        <v>9.1014605907015564</v>
      </c>
      <c r="V106">
        <v>-0.38676289774896627</v>
      </c>
      <c r="W106">
        <v>4.6758098629890217</v>
      </c>
      <c r="X106">
        <v>8.4774446653113067E-2</v>
      </c>
      <c r="Y106">
        <v>4.5910354163359086</v>
      </c>
      <c r="Z106">
        <v>-1.002698677872597</v>
      </c>
      <c r="AA106">
        <v>0.45402899803501018</v>
      </c>
      <c r="AB106">
        <v>-0.36105429762281449</v>
      </c>
      <c r="AC106">
        <v>-0.24320733419896781</v>
      </c>
      <c r="AD106">
        <v>-0.39137763566256001</v>
      </c>
      <c r="AE106">
        <v>-0.78386097386790088</v>
      </c>
      <c r="AF106">
        <v>-0.60310819437486107</v>
      </c>
      <c r="AG106">
        <v>-1.022044156592647</v>
      </c>
      <c r="AH106">
        <v>-0.31828253776656729</v>
      </c>
      <c r="AI106">
        <v>-0.48107873548194757</v>
      </c>
      <c r="AJ106">
        <v>-1.019923832078524</v>
      </c>
      <c r="AK106">
        <v>-0.15805271051073011</v>
      </c>
      <c r="AL106">
        <v>-0.37030848251050708</v>
      </c>
      <c r="AM106">
        <v>0.62714439454556925</v>
      </c>
      <c r="AN106">
        <v>-0.35766673636012042</v>
      </c>
      <c r="AO106">
        <v>0.20951158439856579</v>
      </c>
      <c r="AP106">
        <v>-5.1404685651355253E-2</v>
      </c>
      <c r="AQ106">
        <v>-0.52486557418804092</v>
      </c>
    </row>
    <row r="107" spans="1:43" x14ac:dyDescent="0.3">
      <c r="A107">
        <v>746</v>
      </c>
      <c r="B107">
        <v>2025</v>
      </c>
      <c r="C107" t="s">
        <v>171</v>
      </c>
      <c r="D107">
        <v>7.3333333333333339</v>
      </c>
      <c r="E107">
        <v>8.0473402812419046</v>
      </c>
      <c r="F107">
        <v>-0.71400694790857067</v>
      </c>
      <c r="G107">
        <v>-1.475556788101591</v>
      </c>
      <c r="H107">
        <v>-0.33687929987603932</v>
      </c>
      <c r="I107">
        <v>1.102581711472048</v>
      </c>
      <c r="J107">
        <v>3.2066149798066532E-2</v>
      </c>
      <c r="K107">
        <v>0.30213081591089108</v>
      </c>
      <c r="L107">
        <v>-0.90880407393723095</v>
      </c>
      <c r="M107">
        <v>-1.333408368604156</v>
      </c>
      <c r="N107">
        <v>0.15831951582349371</v>
      </c>
      <c r="O107">
        <v>-0.54096165369173177</v>
      </c>
      <c r="P107">
        <v>0.16439224256511539</v>
      </c>
      <c r="Q107">
        <v>-0.52486557418804092</v>
      </c>
      <c r="R107">
        <v>-1.475556788101591</v>
      </c>
      <c r="S107">
        <v>9.2569804564363469</v>
      </c>
      <c r="T107">
        <v>0.15551986573479051</v>
      </c>
      <c r="U107">
        <v>9.1014605907015564</v>
      </c>
      <c r="V107">
        <v>-0.33687929987603932</v>
      </c>
      <c r="W107">
        <v>4.6758098629890217</v>
      </c>
      <c r="X107">
        <v>8.4774446653113067E-2</v>
      </c>
      <c r="Y107">
        <v>4.5910354163359086</v>
      </c>
      <c r="Z107">
        <v>1.102581711472048</v>
      </c>
      <c r="AA107">
        <v>-3.2066149798066532E-2</v>
      </c>
      <c r="AB107">
        <v>-0.36105429762281449</v>
      </c>
      <c r="AC107">
        <v>-0.24320733419896781</v>
      </c>
      <c r="AD107">
        <v>-0.92987636166230558</v>
      </c>
      <c r="AE107">
        <v>-0.86106324905863474</v>
      </c>
      <c r="AF107">
        <v>-0.88203436139755853</v>
      </c>
      <c r="AG107">
        <v>-0.90646373646903666</v>
      </c>
      <c r="AH107">
        <v>-0.6792590166331901</v>
      </c>
      <c r="AI107">
        <v>-1.19412771840266</v>
      </c>
      <c r="AJ107">
        <v>-0.81741343122359345</v>
      </c>
      <c r="AK107">
        <v>-1.179661453135342</v>
      </c>
      <c r="AL107">
        <v>-2.0031502214535322</v>
      </c>
      <c r="AM107">
        <v>-0.15831951582349371</v>
      </c>
      <c r="AN107">
        <v>-0.54096165369173177</v>
      </c>
      <c r="AO107">
        <v>1.1252074899779391E-2</v>
      </c>
      <c r="AP107">
        <v>0.31753241023045142</v>
      </c>
      <c r="AQ107">
        <v>-0.52486557418804092</v>
      </c>
    </row>
    <row r="108" spans="1:43" x14ac:dyDescent="0.3">
      <c r="A108">
        <v>748</v>
      </c>
      <c r="B108">
        <v>2025</v>
      </c>
      <c r="C108" t="s">
        <v>172</v>
      </c>
      <c r="D108">
        <v>6</v>
      </c>
      <c r="E108">
        <v>5.7220372098845713</v>
      </c>
      <c r="F108">
        <v>0.27796279011542868</v>
      </c>
      <c r="G108">
        <v>-1.623077168651635</v>
      </c>
      <c r="H108">
        <v>-0.79797105296872073</v>
      </c>
      <c r="I108">
        <v>0.39777994197410899</v>
      </c>
      <c r="J108">
        <v>0.20616216298500539</v>
      </c>
      <c r="K108">
        <v>0.30213081591089108</v>
      </c>
      <c r="L108">
        <v>-1.1424149854240531</v>
      </c>
      <c r="M108">
        <v>-0.55040939216847029</v>
      </c>
      <c r="N108">
        <v>0.13523234443425011</v>
      </c>
      <c r="O108">
        <v>-0.10767445157902369</v>
      </c>
      <c r="P108">
        <v>-4.0038474946862568</v>
      </c>
      <c r="Q108">
        <v>-0.52486557418804092</v>
      </c>
      <c r="R108">
        <v>-1.623077168651635</v>
      </c>
      <c r="S108">
        <v>9.2569804564363469</v>
      </c>
      <c r="T108">
        <v>0.15551986573479051</v>
      </c>
      <c r="U108">
        <v>9.1014605907015564</v>
      </c>
      <c r="V108">
        <v>-0.79797105296872073</v>
      </c>
      <c r="W108">
        <v>4.6758098629890217</v>
      </c>
      <c r="X108">
        <v>8.4774446653113067E-2</v>
      </c>
      <c r="Y108">
        <v>4.5910354163359086</v>
      </c>
      <c r="Z108">
        <v>0.39777994197410899</v>
      </c>
      <c r="AA108">
        <v>-0.20616216298500539</v>
      </c>
      <c r="AB108">
        <v>-0.36105429762281449</v>
      </c>
      <c r="AC108">
        <v>-0.24320733419896781</v>
      </c>
      <c r="AD108">
        <v>-1.0570359558845881</v>
      </c>
      <c r="AE108">
        <v>-2.4632613023803178</v>
      </c>
      <c r="AF108">
        <v>-1.1920172970754741</v>
      </c>
      <c r="AG108">
        <v>-0.87042605948862772</v>
      </c>
      <c r="AH108">
        <v>-0.96599711302155034</v>
      </c>
      <c r="AI108">
        <v>-0.30575218469376197</v>
      </c>
      <c r="AJ108">
        <v>-0.69359164052637601</v>
      </c>
      <c r="AK108">
        <v>-0.67813843396268481</v>
      </c>
      <c r="AL108">
        <v>-0.27949810201635</v>
      </c>
      <c r="AM108">
        <v>-0.13523234443425011</v>
      </c>
      <c r="AN108">
        <v>-0.10767445157902369</v>
      </c>
      <c r="AO108">
        <v>-4.2259474919290883</v>
      </c>
      <c r="AP108">
        <v>-3.7817474974434262</v>
      </c>
      <c r="AQ108">
        <v>-0.52486557418804092</v>
      </c>
    </row>
    <row r="109" spans="1:43" x14ac:dyDescent="0.3">
      <c r="A109">
        <v>754</v>
      </c>
      <c r="B109">
        <v>2025</v>
      </c>
      <c r="C109" t="s">
        <v>173</v>
      </c>
      <c r="D109">
        <v>2.3333333333333321</v>
      </c>
      <c r="E109">
        <v>4.6380300727768686</v>
      </c>
      <c r="F109">
        <v>-2.304696739443536</v>
      </c>
      <c r="G109">
        <v>-1.475795907573171</v>
      </c>
      <c r="H109">
        <v>-0.75147754818255053</v>
      </c>
      <c r="I109">
        <v>0.63886991107326152</v>
      </c>
      <c r="J109">
        <v>-1.313195207989446</v>
      </c>
      <c r="K109">
        <v>-2.6576951119746899</v>
      </c>
      <c r="L109">
        <v>-0.54025388515847939</v>
      </c>
      <c r="M109">
        <v>-1.0903410834101279</v>
      </c>
      <c r="N109">
        <v>-1.5806362382024111</v>
      </c>
      <c r="O109">
        <v>0.67292267537387829</v>
      </c>
      <c r="P109">
        <v>-9.0779482363253172E-2</v>
      </c>
      <c r="Q109">
        <v>-0.52486557418804092</v>
      </c>
      <c r="R109">
        <v>-1.475795907573171</v>
      </c>
      <c r="S109">
        <v>9.2569804564363469</v>
      </c>
      <c r="T109">
        <v>0.15551986573479051</v>
      </c>
      <c r="U109">
        <v>9.1014605907015564</v>
      </c>
      <c r="V109">
        <v>-0.75147754818255053</v>
      </c>
      <c r="W109">
        <v>4.6758098629890217</v>
      </c>
      <c r="X109">
        <v>8.4774446653113067E-2</v>
      </c>
      <c r="Y109">
        <v>4.5910354163359086</v>
      </c>
      <c r="Z109">
        <v>0.63886991107326152</v>
      </c>
      <c r="AA109">
        <v>1.313195207989446</v>
      </c>
      <c r="AB109">
        <v>2.7696665199223802</v>
      </c>
      <c r="AC109">
        <v>2.545723704027</v>
      </c>
      <c r="AD109">
        <v>-0.20745327247566619</v>
      </c>
      <c r="AE109">
        <v>0.2119509090423301</v>
      </c>
      <c r="AF109">
        <v>-1.0046539312204119</v>
      </c>
      <c r="AG109">
        <v>-0.8845840022335073</v>
      </c>
      <c r="AH109">
        <v>-0.73749891486309771</v>
      </c>
      <c r="AI109">
        <v>-0.61928409920052352</v>
      </c>
      <c r="AJ109">
        <v>-0.67660091514837262</v>
      </c>
      <c r="AK109">
        <v>-0.54704449129689214</v>
      </c>
      <c r="AL109">
        <v>-2.0473778437851191</v>
      </c>
      <c r="AM109">
        <v>1.5806362382024111</v>
      </c>
      <c r="AN109">
        <v>0.67292267537387829</v>
      </c>
      <c r="AO109">
        <v>-5.3017072503686348E-2</v>
      </c>
      <c r="AP109">
        <v>-0.12854189222282</v>
      </c>
      <c r="AQ109">
        <v>-0.52486557418804092</v>
      </c>
    </row>
    <row r="110" spans="1:43" x14ac:dyDescent="0.3">
      <c r="A110">
        <v>819</v>
      </c>
      <c r="B110">
        <v>2025</v>
      </c>
      <c r="C110" t="s">
        <v>174</v>
      </c>
      <c r="D110">
        <v>9</v>
      </c>
      <c r="E110">
        <v>9.6564815304080813</v>
      </c>
      <c r="F110">
        <v>-0.65648153040808133</v>
      </c>
      <c r="G110">
        <v>-0.24365836034261371</v>
      </c>
      <c r="H110">
        <v>-1.5519737256583039</v>
      </c>
      <c r="I110">
        <v>-0.3109948784452391</v>
      </c>
      <c r="J110">
        <v>0.45884463954915011</v>
      </c>
      <c r="K110">
        <v>0.30213081591089108</v>
      </c>
      <c r="L110">
        <v>0.21952551960797481</v>
      </c>
      <c r="M110">
        <v>-0.6144059888511616</v>
      </c>
      <c r="N110">
        <v>-0.51582033226314006</v>
      </c>
      <c r="O110">
        <v>-0.85324188321966232</v>
      </c>
      <c r="P110">
        <v>0.34103029909331672</v>
      </c>
      <c r="Q110">
        <v>-0.52486557418804092</v>
      </c>
      <c r="R110">
        <v>-0.24365836034261371</v>
      </c>
      <c r="S110">
        <v>9.2569804564363469</v>
      </c>
      <c r="T110">
        <v>0.15551986573479051</v>
      </c>
      <c r="U110">
        <v>9.1014605907015564</v>
      </c>
      <c r="V110">
        <v>-1.5519737256583039</v>
      </c>
      <c r="W110">
        <v>4.6758098629890217</v>
      </c>
      <c r="X110">
        <v>8.4774446653113067E-2</v>
      </c>
      <c r="Y110">
        <v>4.5910354163359086</v>
      </c>
      <c r="Z110">
        <v>-0.3109948784452391</v>
      </c>
      <c r="AA110">
        <v>-0.45884463954915011</v>
      </c>
      <c r="AB110">
        <v>-0.36105429762281449</v>
      </c>
      <c r="AC110">
        <v>-0.24320733419896781</v>
      </c>
      <c r="AD110">
        <v>5.3564981594611413E-2</v>
      </c>
      <c r="AE110">
        <v>0.86087337445779422</v>
      </c>
      <c r="AF110">
        <v>0.2833091586860898</v>
      </c>
      <c r="AG110">
        <v>-0.42134806344373471</v>
      </c>
      <c r="AH110">
        <v>0.15868160875432641</v>
      </c>
      <c r="AI110">
        <v>0.38207205759876189</v>
      </c>
      <c r="AJ110">
        <v>-1.086307949373996</v>
      </c>
      <c r="AK110">
        <v>-8.2234376143289378E-2</v>
      </c>
      <c r="AL110">
        <v>-0.67467564103619937</v>
      </c>
      <c r="AM110">
        <v>0.51582033226314006</v>
      </c>
      <c r="AN110">
        <v>-0.85324188321966232</v>
      </c>
      <c r="AO110">
        <v>0.53639522795997907</v>
      </c>
      <c r="AP110">
        <v>0.14566537022665441</v>
      </c>
      <c r="AQ110">
        <v>-0.52486557418804092</v>
      </c>
    </row>
    <row r="111" spans="1:43" x14ac:dyDescent="0.3">
      <c r="A111">
        <v>853</v>
      </c>
      <c r="B111">
        <v>2025</v>
      </c>
      <c r="C111" t="s">
        <v>175</v>
      </c>
      <c r="D111">
        <v>7.5</v>
      </c>
      <c r="E111">
        <v>9.3546484684740197</v>
      </c>
      <c r="F111">
        <v>-1.8546484684740201</v>
      </c>
      <c r="G111">
        <v>-0.9916980158247497</v>
      </c>
      <c r="H111">
        <v>-0.6951792453333272</v>
      </c>
      <c r="I111">
        <v>-0.21577263603211849</v>
      </c>
      <c r="J111">
        <v>0.1097177414332272</v>
      </c>
      <c r="K111">
        <v>0.30213081591089108</v>
      </c>
      <c r="L111">
        <v>-0.75256126528503453</v>
      </c>
      <c r="M111">
        <v>-0.59219675508458602</v>
      </c>
      <c r="N111">
        <v>0.21355091982086549</v>
      </c>
      <c r="O111">
        <v>1.787963523093256</v>
      </c>
      <c r="P111">
        <v>-0.57202121295984987</v>
      </c>
      <c r="Q111">
        <v>-0.52486557418804092</v>
      </c>
      <c r="R111">
        <v>-0.9916980158247497</v>
      </c>
      <c r="S111">
        <v>9.2569804564363469</v>
      </c>
      <c r="T111">
        <v>0.15551986573479051</v>
      </c>
      <c r="U111">
        <v>9.1014605907015564</v>
      </c>
      <c r="V111">
        <v>-0.6951792453333272</v>
      </c>
      <c r="W111">
        <v>4.6758098629890217</v>
      </c>
      <c r="X111">
        <v>8.4774446653113067E-2</v>
      </c>
      <c r="Y111">
        <v>4.5910354163359086</v>
      </c>
      <c r="Z111">
        <v>-0.21577263603211849</v>
      </c>
      <c r="AA111">
        <v>-0.1097177414332272</v>
      </c>
      <c r="AB111">
        <v>-0.36105429762281449</v>
      </c>
      <c r="AC111">
        <v>-0.24320733419896781</v>
      </c>
      <c r="AD111">
        <v>-0.14840493387033291</v>
      </c>
      <c r="AE111">
        <v>-0.60195516842817065</v>
      </c>
      <c r="AF111">
        <v>-1.165314794029938</v>
      </c>
      <c r="AG111">
        <v>-1.0488188638131291</v>
      </c>
      <c r="AH111">
        <v>-0.74897368236180029</v>
      </c>
      <c r="AI111">
        <v>-0.80190014920683605</v>
      </c>
      <c r="AJ111">
        <v>-0.16898419943033349</v>
      </c>
      <c r="AK111">
        <v>-0.94643138647946079</v>
      </c>
      <c r="AL111">
        <v>-0.66117467934396379</v>
      </c>
      <c r="AM111">
        <v>-0.21355091982086549</v>
      </c>
      <c r="AN111">
        <v>1.787963523093256</v>
      </c>
      <c r="AO111">
        <v>1.109497554580682E-2</v>
      </c>
      <c r="AP111">
        <v>-1.155137401465506</v>
      </c>
      <c r="AQ111">
        <v>-0.52486557418804092</v>
      </c>
    </row>
    <row r="112" spans="1:43" x14ac:dyDescent="0.3">
      <c r="A112">
        <v>911</v>
      </c>
      <c r="B112">
        <v>2025</v>
      </c>
      <c r="C112" t="s">
        <v>176</v>
      </c>
      <c r="D112">
        <v>10</v>
      </c>
      <c r="E112">
        <v>10.2773209776056</v>
      </c>
      <c r="F112">
        <v>-0.27732097760559599</v>
      </c>
      <c r="G112">
        <v>-3.5727829100532911E-2</v>
      </c>
      <c r="H112">
        <v>-0.77902746482625529</v>
      </c>
      <c r="I112">
        <v>0.77735911461953289</v>
      </c>
      <c r="J112">
        <v>0.19454304276244699</v>
      </c>
      <c r="K112">
        <v>0.30213081591089108</v>
      </c>
      <c r="L112">
        <v>-0.36679642826878028</v>
      </c>
      <c r="M112">
        <v>-0.4164417043647724</v>
      </c>
      <c r="N112">
        <v>0.12809226856537459</v>
      </c>
      <c r="O112">
        <v>-0.27536182286342142</v>
      </c>
      <c r="P112">
        <v>3.9984184236606428E-2</v>
      </c>
      <c r="Q112">
        <v>-0.52486557418804092</v>
      </c>
      <c r="R112">
        <v>-3.5727829100532911E-2</v>
      </c>
      <c r="S112">
        <v>9.2569804564363469</v>
      </c>
      <c r="T112">
        <v>0.15551986573479051</v>
      </c>
      <c r="U112">
        <v>9.1014605907015564</v>
      </c>
      <c r="V112">
        <v>-0.77902746482625529</v>
      </c>
      <c r="W112">
        <v>4.6758098629890217</v>
      </c>
      <c r="X112">
        <v>8.4774446653113067E-2</v>
      </c>
      <c r="Y112">
        <v>4.5910354163359086</v>
      </c>
      <c r="Z112">
        <v>0.77735911461953289</v>
      </c>
      <c r="AA112">
        <v>-0.19454304276244699</v>
      </c>
      <c r="AB112">
        <v>-0.36105429762281449</v>
      </c>
      <c r="AC112">
        <v>-0.24320733419896781</v>
      </c>
      <c r="AD112">
        <v>-6.8461041033000977E-2</v>
      </c>
      <c r="AE112">
        <v>-1.0210431538966001</v>
      </c>
      <c r="AF112">
        <v>-0.47273227387502309</v>
      </c>
      <c r="AG112">
        <v>-0.26477934284982901</v>
      </c>
      <c r="AH112">
        <v>-0.30005335613762357</v>
      </c>
      <c r="AI112">
        <v>-7.3709401820605328E-2</v>
      </c>
      <c r="AJ112">
        <v>-0.32139952649377712</v>
      </c>
      <c r="AK112">
        <v>-0.35291985498939732</v>
      </c>
      <c r="AL112">
        <v>-0.57500573161114288</v>
      </c>
      <c r="AM112">
        <v>-0.12809226856537459</v>
      </c>
      <c r="AN112">
        <v>-0.27536182286342142</v>
      </c>
      <c r="AO112">
        <v>0.30647621714495782</v>
      </c>
      <c r="AP112">
        <v>-0.22650784867174489</v>
      </c>
      <c r="AQ112">
        <v>-0.52486557418804092</v>
      </c>
    </row>
    <row r="113" spans="1:43" x14ac:dyDescent="0.3">
      <c r="A113">
        <v>912</v>
      </c>
      <c r="B113">
        <v>2025</v>
      </c>
      <c r="C113" t="s">
        <v>177</v>
      </c>
      <c r="D113">
        <v>12.66666666666667</v>
      </c>
      <c r="E113">
        <v>11.40201376168798</v>
      </c>
      <c r="F113">
        <v>1.2646529049786861</v>
      </c>
      <c r="G113">
        <v>-0.1857060880970319</v>
      </c>
      <c r="H113">
        <v>-0.25254819194285633</v>
      </c>
      <c r="I113">
        <v>-0.33601200128004799</v>
      </c>
      <c r="J113">
        <v>-0.20424653177271959</v>
      </c>
      <c r="K113">
        <v>0.30213081591089108</v>
      </c>
      <c r="L113">
        <v>-0.91734470554847292</v>
      </c>
      <c r="M113">
        <v>0.56334344417857607</v>
      </c>
      <c r="N113">
        <v>0.99079124086235171</v>
      </c>
      <c r="O113">
        <v>1.0844731045741041</v>
      </c>
      <c r="P113">
        <v>0.47275905645089589</v>
      </c>
      <c r="Q113">
        <v>-0.52486557418804092</v>
      </c>
      <c r="R113">
        <v>-0.1857060880970319</v>
      </c>
      <c r="S113">
        <v>9.2569804564363469</v>
      </c>
      <c r="T113">
        <v>0.15551986573479051</v>
      </c>
      <c r="U113">
        <v>9.1014605907015564</v>
      </c>
      <c r="V113">
        <v>-0.25254819194285633</v>
      </c>
      <c r="W113">
        <v>4.6758098629890217</v>
      </c>
      <c r="X113">
        <v>8.4774446653113067E-2</v>
      </c>
      <c r="Y113">
        <v>4.5910354163359086</v>
      </c>
      <c r="Z113">
        <v>-0.33601200128004799</v>
      </c>
      <c r="AA113">
        <v>0.20424653177271959</v>
      </c>
      <c r="AB113">
        <v>-0.36105429762281449</v>
      </c>
      <c r="AC113">
        <v>-0.24320733419896781</v>
      </c>
      <c r="AD113">
        <v>-1.7278869439859339</v>
      </c>
      <c r="AE113">
        <v>-0.90321685135006058</v>
      </c>
      <c r="AF113">
        <v>-0.3030335373997089</v>
      </c>
      <c r="AG113">
        <v>-0.44245777640692102</v>
      </c>
      <c r="AH113">
        <v>-0.77774924876457752</v>
      </c>
      <c r="AI113">
        <v>-1.3497238753836349</v>
      </c>
      <c r="AJ113">
        <v>0.80011364878907365</v>
      </c>
      <c r="AK113">
        <v>0.43265379011046179</v>
      </c>
      <c r="AL113">
        <v>0.45726289363619271</v>
      </c>
      <c r="AM113">
        <v>-0.99079124086235171</v>
      </c>
      <c r="AN113">
        <v>1.0844731045741041</v>
      </c>
      <c r="AO113">
        <v>0.50591577151741707</v>
      </c>
      <c r="AP113">
        <v>0.43960234138437471</v>
      </c>
      <c r="AQ113">
        <v>-0.52486557418804092</v>
      </c>
    </row>
    <row r="114" spans="1:43" x14ac:dyDescent="0.3">
      <c r="A114">
        <v>913</v>
      </c>
      <c r="B114">
        <v>2025</v>
      </c>
      <c r="C114" t="s">
        <v>178</v>
      </c>
      <c r="D114">
        <v>1.3333333333333319</v>
      </c>
      <c r="E114">
        <v>5.5856813390628757</v>
      </c>
      <c r="F114">
        <v>-4.2523480057295444</v>
      </c>
      <c r="G114">
        <v>2.873902552999527E-3</v>
      </c>
      <c r="H114">
        <v>-0.19228701534782999</v>
      </c>
      <c r="I114">
        <v>-0.86084766200820995</v>
      </c>
      <c r="J114">
        <v>-0.50846142824019791</v>
      </c>
      <c r="K114">
        <v>-3.1881896902688212</v>
      </c>
      <c r="L114">
        <v>-1.4243252031436211</v>
      </c>
      <c r="M114">
        <v>0.74122833095816087</v>
      </c>
      <c r="N114">
        <v>0.61867382378951552</v>
      </c>
      <c r="O114">
        <v>4.9034620953025583E-2</v>
      </c>
      <c r="P114">
        <v>-1.8760139372266551</v>
      </c>
      <c r="Q114">
        <v>-0.52486557418804092</v>
      </c>
      <c r="R114">
        <v>2.873902552999527E-3</v>
      </c>
      <c r="S114">
        <v>9.2569804564363469</v>
      </c>
      <c r="T114">
        <v>0.15551986573479051</v>
      </c>
      <c r="U114">
        <v>9.1014605907015564</v>
      </c>
      <c r="V114">
        <v>-0.19228701534782999</v>
      </c>
      <c r="W114">
        <v>4.6758098629890217</v>
      </c>
      <c r="X114">
        <v>8.4774446653113067E-2</v>
      </c>
      <c r="Y114">
        <v>4.5910354163359086</v>
      </c>
      <c r="Z114">
        <v>-0.86084766200820995</v>
      </c>
      <c r="AA114">
        <v>0.50846142824019791</v>
      </c>
      <c r="AB114">
        <v>2.7696665199223802</v>
      </c>
      <c r="AC114">
        <v>3.6067128606152621</v>
      </c>
      <c r="AD114">
        <v>-2.0131803907555099</v>
      </c>
      <c r="AE114">
        <v>-0.90155692170921564</v>
      </c>
      <c r="AF114">
        <v>-1.377120074301686</v>
      </c>
      <c r="AG114">
        <v>-1.9310781188100159</v>
      </c>
      <c r="AH114">
        <v>-1.5131025085369949</v>
      </c>
      <c r="AI114">
        <v>-0.80991320474830342</v>
      </c>
      <c r="AJ114">
        <v>0.67092900376900577</v>
      </c>
      <c r="AK114">
        <v>1.1043761822972979</v>
      </c>
      <c r="AL114">
        <v>0.44837980680817968</v>
      </c>
      <c r="AM114">
        <v>-0.61867382378951552</v>
      </c>
      <c r="AN114">
        <v>4.9034620953025583E-2</v>
      </c>
      <c r="AO114">
        <v>-1.656612497595255</v>
      </c>
      <c r="AP114">
        <v>-2.0954153768580541</v>
      </c>
      <c r="AQ114">
        <v>-0.52486557418804092</v>
      </c>
    </row>
    <row r="115" spans="1:43" x14ac:dyDescent="0.3">
      <c r="A115">
        <v>914</v>
      </c>
      <c r="B115">
        <v>2025</v>
      </c>
      <c r="C115" t="s">
        <v>179</v>
      </c>
      <c r="D115">
        <v>10.5</v>
      </c>
      <c r="E115">
        <v>11.53758713341805</v>
      </c>
      <c r="F115">
        <v>-1.037587133418054</v>
      </c>
      <c r="G115">
        <v>0.12713945884498551</v>
      </c>
      <c r="H115">
        <v>-0.74144465835943685</v>
      </c>
      <c r="I115">
        <v>0.1697006231450662</v>
      </c>
      <c r="J115">
        <v>0.25979327455415457</v>
      </c>
      <c r="K115">
        <v>0.30213081591089108</v>
      </c>
      <c r="L115">
        <v>-0.1168537978577479</v>
      </c>
      <c r="M115">
        <v>-1.7036843477482421E-2</v>
      </c>
      <c r="N115">
        <v>0.10925580382180421</v>
      </c>
      <c r="O115">
        <v>-0.31106392281069323</v>
      </c>
      <c r="P115">
        <v>0.71979116962614276</v>
      </c>
      <c r="Q115">
        <v>-0.52486557418804092</v>
      </c>
      <c r="R115">
        <v>0.12713945884498551</v>
      </c>
      <c r="S115">
        <v>9.2569804564363469</v>
      </c>
      <c r="T115">
        <v>0.15551986573479051</v>
      </c>
      <c r="U115">
        <v>9.1014605907015564</v>
      </c>
      <c r="V115">
        <v>-0.74144465835943685</v>
      </c>
      <c r="W115">
        <v>4.6758098629890217</v>
      </c>
      <c r="X115">
        <v>8.4774446653113067E-2</v>
      </c>
      <c r="Y115">
        <v>4.5910354163359086</v>
      </c>
      <c r="Z115">
        <v>0.1697006231450662</v>
      </c>
      <c r="AA115">
        <v>-0.25979327455415457</v>
      </c>
      <c r="AB115">
        <v>-0.36105429762281449</v>
      </c>
      <c r="AC115">
        <v>-0.24320733419896781</v>
      </c>
      <c r="AD115">
        <v>3.4443430926279349E-2</v>
      </c>
      <c r="AE115">
        <v>0.1899723881925848</v>
      </c>
      <c r="AF115">
        <v>1.454331815678514E-2</v>
      </c>
      <c r="AG115">
        <v>-0.1235871974863843</v>
      </c>
      <c r="AH115">
        <v>-0.3452679587762516</v>
      </c>
      <c r="AI115">
        <v>-0.47122676815950082</v>
      </c>
      <c r="AJ115">
        <v>-2.6793379674006579E-2</v>
      </c>
      <c r="AK115">
        <v>-6.7631715443575588E-2</v>
      </c>
      <c r="AL115">
        <v>4.3314564685134907E-2</v>
      </c>
      <c r="AM115">
        <v>-0.10925580382180421</v>
      </c>
      <c r="AN115">
        <v>-0.31106392281069323</v>
      </c>
      <c r="AO115">
        <v>0.68744965465307317</v>
      </c>
      <c r="AP115">
        <v>0.75213268459921234</v>
      </c>
      <c r="AQ115">
        <v>-0.52486557418804092</v>
      </c>
    </row>
    <row r="116" spans="1:43" x14ac:dyDescent="0.3">
      <c r="A116">
        <v>915</v>
      </c>
      <c r="B116">
        <v>2025</v>
      </c>
      <c r="C116" t="s">
        <v>180</v>
      </c>
      <c r="D116">
        <v>11</v>
      </c>
      <c r="E116">
        <v>12.87926011425542</v>
      </c>
      <c r="F116">
        <v>-1.8792601142554159</v>
      </c>
      <c r="G116">
        <v>5.6654710148292868E-2</v>
      </c>
      <c r="H116">
        <v>-0.62526645034259476</v>
      </c>
      <c r="I116">
        <v>1.220419782207038</v>
      </c>
      <c r="J116">
        <v>3.1207594116596661E-2</v>
      </c>
      <c r="K116">
        <v>0.30213081591089108</v>
      </c>
      <c r="L116">
        <v>0.22454074809157101</v>
      </c>
      <c r="M116">
        <v>-7.6015603999315548E-2</v>
      </c>
      <c r="N116">
        <v>0.66165319098465336</v>
      </c>
      <c r="O116">
        <v>-0.58351710857274275</v>
      </c>
      <c r="P116">
        <v>0.1004019269506473</v>
      </c>
      <c r="Q116">
        <v>-0.52486557418804092</v>
      </c>
      <c r="R116">
        <v>5.6654710148292868E-2</v>
      </c>
      <c r="S116">
        <v>9.2569804564363469</v>
      </c>
      <c r="T116">
        <v>0.15551986573479051</v>
      </c>
      <c r="U116">
        <v>9.1014605907015564</v>
      </c>
      <c r="V116">
        <v>-0.62526645034259476</v>
      </c>
      <c r="W116">
        <v>4.6758098629890217</v>
      </c>
      <c r="X116">
        <v>8.4774446653113067E-2</v>
      </c>
      <c r="Y116">
        <v>4.5910354163359086</v>
      </c>
      <c r="Z116">
        <v>1.220419782207038</v>
      </c>
      <c r="AA116">
        <v>-3.1207594116596661E-2</v>
      </c>
      <c r="AB116">
        <v>-0.36105429762281449</v>
      </c>
      <c r="AC116">
        <v>-0.24320733419896781</v>
      </c>
      <c r="AD116">
        <v>-0.1152864839344299</v>
      </c>
      <c r="AE116">
        <v>-0.4305913513054776</v>
      </c>
      <c r="AF116">
        <v>0.61994082721420596</v>
      </c>
      <c r="AG116">
        <v>0.7561723276868636</v>
      </c>
      <c r="AH116">
        <v>2.1546371183212391E-2</v>
      </c>
      <c r="AI116">
        <v>0.49546279770505153</v>
      </c>
      <c r="AJ116">
        <v>-0.19484618850127619</v>
      </c>
      <c r="AK116">
        <v>-0.14815260156177151</v>
      </c>
      <c r="AL116">
        <v>0.114951978065101</v>
      </c>
      <c r="AM116">
        <v>-0.66165319098465336</v>
      </c>
      <c r="AN116">
        <v>-0.58351710857274275</v>
      </c>
      <c r="AO116">
        <v>0.19597865865134231</v>
      </c>
      <c r="AP116">
        <v>4.8251952499523271E-3</v>
      </c>
      <c r="AQ116">
        <v>-0.52486557418804092</v>
      </c>
    </row>
    <row r="117" spans="1:43" x14ac:dyDescent="0.3">
      <c r="A117">
        <v>916</v>
      </c>
      <c r="B117">
        <v>2025</v>
      </c>
      <c r="C117" t="s">
        <v>181</v>
      </c>
      <c r="D117">
        <v>14</v>
      </c>
      <c r="E117">
        <v>12.550402999135629</v>
      </c>
      <c r="F117">
        <v>1.449597000864367</v>
      </c>
      <c r="G117">
        <v>0.34161412538838298</v>
      </c>
      <c r="H117">
        <v>0.46152085770525297</v>
      </c>
      <c r="I117">
        <v>0.16053204409566019</v>
      </c>
      <c r="J117">
        <v>-1.092336528685117</v>
      </c>
      <c r="K117">
        <v>0.30213081591089108</v>
      </c>
      <c r="L117">
        <v>-0.50482170754104416</v>
      </c>
      <c r="M117">
        <v>-0.17977668488025711</v>
      </c>
      <c r="N117">
        <v>0.92353005923376152</v>
      </c>
      <c r="O117">
        <v>-0.1643504037952109</v>
      </c>
      <c r="P117">
        <v>3.3371597473601133E-2</v>
      </c>
      <c r="Q117">
        <v>-0.52486557418804092</v>
      </c>
      <c r="R117">
        <v>0.34161412538838298</v>
      </c>
      <c r="S117">
        <v>9.2569804564363469</v>
      </c>
      <c r="T117">
        <v>0.15551986573479051</v>
      </c>
      <c r="U117">
        <v>9.1014605907015564</v>
      </c>
      <c r="V117">
        <v>0.46152085770525297</v>
      </c>
      <c r="W117">
        <v>4.6758098629890217</v>
      </c>
      <c r="X117">
        <v>8.4774446653113067E-2</v>
      </c>
      <c r="Y117">
        <v>4.5910354163359086</v>
      </c>
      <c r="Z117">
        <v>0.16053204409566019</v>
      </c>
      <c r="AA117">
        <v>1.092336528685117</v>
      </c>
      <c r="AB117">
        <v>-0.36105429762281449</v>
      </c>
      <c r="AC117">
        <v>-0.24320733419896781</v>
      </c>
      <c r="AD117">
        <v>-1.27329936706458</v>
      </c>
      <c r="AE117">
        <v>-0.35619588797862167</v>
      </c>
      <c r="AF117">
        <v>-0.102003580230491</v>
      </c>
      <c r="AG117">
        <v>-0.2439728683523</v>
      </c>
      <c r="AH117">
        <v>-0.64901673446716468</v>
      </c>
      <c r="AI117">
        <v>-0.40444180715310751</v>
      </c>
      <c r="AJ117">
        <v>5.3085660623089902E-3</v>
      </c>
      <c r="AK117">
        <v>-0.95443397454653567</v>
      </c>
      <c r="AL117">
        <v>0.40979535384345522</v>
      </c>
      <c r="AM117">
        <v>-0.92353005923376152</v>
      </c>
      <c r="AN117">
        <v>-0.1643504037952109</v>
      </c>
      <c r="AO117">
        <v>-0.24110328007590831</v>
      </c>
      <c r="AP117">
        <v>0.30784647502311052</v>
      </c>
      <c r="AQ117">
        <v>-0.52486557418804092</v>
      </c>
    </row>
    <row r="118" spans="1:43" x14ac:dyDescent="0.3">
      <c r="A118">
        <v>917</v>
      </c>
      <c r="B118">
        <v>2025</v>
      </c>
      <c r="C118" t="s">
        <v>182</v>
      </c>
      <c r="D118">
        <v>8</v>
      </c>
      <c r="E118">
        <v>7.4012372582013839</v>
      </c>
      <c r="F118">
        <v>0.5987627417986161</v>
      </c>
      <c r="G118">
        <v>-0.9248953396496965</v>
      </c>
      <c r="H118">
        <v>-0.94785209776846957</v>
      </c>
      <c r="I118">
        <v>0.99919506771493261</v>
      </c>
      <c r="J118">
        <v>-0.60612690676117764</v>
      </c>
      <c r="K118">
        <v>0.30213081591089108</v>
      </c>
      <c r="L118">
        <v>-1.109184419724506</v>
      </c>
      <c r="M118">
        <v>0.38404493595172118</v>
      </c>
      <c r="N118">
        <v>0.56224777674793491</v>
      </c>
      <c r="O118">
        <v>-1.7679061497065429</v>
      </c>
      <c r="P118">
        <v>-0.11528244085642431</v>
      </c>
      <c r="Q118">
        <v>-0.52486557418804092</v>
      </c>
      <c r="R118">
        <v>-0.9248953396496965</v>
      </c>
      <c r="S118">
        <v>9.2569804564363469</v>
      </c>
      <c r="T118">
        <v>0.15551986573479051</v>
      </c>
      <c r="U118">
        <v>9.1014605907015564</v>
      </c>
      <c r="V118">
        <v>-0.94785209776846957</v>
      </c>
      <c r="W118">
        <v>4.6758098629890217</v>
      </c>
      <c r="X118">
        <v>8.4774446653113067E-2</v>
      </c>
      <c r="Y118">
        <v>4.5910354163359086</v>
      </c>
      <c r="Z118">
        <v>0.99919506771493261</v>
      </c>
      <c r="AA118">
        <v>0.60612690676117764</v>
      </c>
      <c r="AB118">
        <v>-0.36105429762281449</v>
      </c>
      <c r="AC118">
        <v>-0.24320733419896781</v>
      </c>
      <c r="AD118">
        <v>-0.96037784971013473</v>
      </c>
      <c r="AE118">
        <v>-0.60479546590440014</v>
      </c>
      <c r="AF118">
        <v>-1.2642721172684539</v>
      </c>
      <c r="AG118">
        <v>-1.019303653155827</v>
      </c>
      <c r="AH118">
        <v>-1.4305570348018291</v>
      </c>
      <c r="AI118">
        <v>-1.3758003975063891</v>
      </c>
      <c r="AJ118">
        <v>0.2882868418269271</v>
      </c>
      <c r="AK118">
        <v>0.41656611306840419</v>
      </c>
      <c r="AL118">
        <v>0.44728185295983242</v>
      </c>
      <c r="AM118">
        <v>-0.56224777674793491</v>
      </c>
      <c r="AN118">
        <v>-1.7679061497065429</v>
      </c>
      <c r="AO118">
        <v>4.3348010981679751E-2</v>
      </c>
      <c r="AP118">
        <v>-0.27391289269452851</v>
      </c>
      <c r="AQ118">
        <v>-0.52486557418804092</v>
      </c>
    </row>
    <row r="119" spans="1:43" x14ac:dyDescent="0.3">
      <c r="A119">
        <v>918</v>
      </c>
      <c r="B119">
        <v>2025</v>
      </c>
      <c r="C119" t="s">
        <v>183</v>
      </c>
      <c r="D119">
        <v>15</v>
      </c>
      <c r="E119">
        <v>14.304037895362701</v>
      </c>
      <c r="F119">
        <v>0.69596210463729768</v>
      </c>
      <c r="G119">
        <v>0.59089206913665315</v>
      </c>
      <c r="H119">
        <v>1.655632331620371E-2</v>
      </c>
      <c r="I119">
        <v>-0.19603836112577719</v>
      </c>
      <c r="J119">
        <v>7.2017607509129625E-2</v>
      </c>
      <c r="K119">
        <v>0.30213081591089108</v>
      </c>
      <c r="L119">
        <v>2.339299940028506E-2</v>
      </c>
      <c r="M119">
        <v>0.35700040740269262</v>
      </c>
      <c r="N119">
        <v>0.82329117310573463</v>
      </c>
      <c r="O119">
        <v>-2.0029093577354419E-2</v>
      </c>
      <c r="P119">
        <v>0.67841731490579826</v>
      </c>
      <c r="Q119">
        <v>-0.52486557418804092</v>
      </c>
      <c r="R119">
        <v>0.59089206913665315</v>
      </c>
      <c r="S119">
        <v>9.2569804564363469</v>
      </c>
      <c r="T119">
        <v>0.15551986573479051</v>
      </c>
      <c r="U119">
        <v>9.1014605907015564</v>
      </c>
      <c r="V119">
        <v>1.655632331620371E-2</v>
      </c>
      <c r="W119">
        <v>4.6758098629890217</v>
      </c>
      <c r="X119">
        <v>8.4774446653113067E-2</v>
      </c>
      <c r="Y119">
        <v>4.5910354163359086</v>
      </c>
      <c r="Z119">
        <v>-0.19603836112577719</v>
      </c>
      <c r="AA119">
        <v>-7.2017607509129625E-2</v>
      </c>
      <c r="AB119">
        <v>-0.36105429762281449</v>
      </c>
      <c r="AC119">
        <v>-0.24320733419896781</v>
      </c>
      <c r="AD119">
        <v>0.27973872820758089</v>
      </c>
      <c r="AE119">
        <v>0.37953922337240997</v>
      </c>
      <c r="AF119">
        <v>-0.21369211742682509</v>
      </c>
      <c r="AG119">
        <v>0.14437906956440641</v>
      </c>
      <c r="AH119">
        <v>-0.1763119735034259</v>
      </c>
      <c r="AI119">
        <v>-0.27329493381243591</v>
      </c>
      <c r="AJ119">
        <v>-0.1118472468317389</v>
      </c>
      <c r="AK119">
        <v>0.50871962720162633</v>
      </c>
      <c r="AL119">
        <v>0.67412884183819044</v>
      </c>
      <c r="AM119">
        <v>-0.82329117310573463</v>
      </c>
      <c r="AN119">
        <v>-2.0029093577354419E-2</v>
      </c>
      <c r="AO119">
        <v>0.80685985776912716</v>
      </c>
      <c r="AP119">
        <v>0.54997477204246936</v>
      </c>
      <c r="AQ119">
        <v>-0.52486557418804092</v>
      </c>
    </row>
    <row r="120" spans="1:43" x14ac:dyDescent="0.3">
      <c r="A120">
        <v>921</v>
      </c>
      <c r="B120">
        <v>2025</v>
      </c>
      <c r="C120" t="s">
        <v>184</v>
      </c>
      <c r="D120">
        <v>8.6666666666666661</v>
      </c>
      <c r="E120">
        <v>8.3976987163925507</v>
      </c>
      <c r="F120">
        <v>0.26896795027411541</v>
      </c>
      <c r="G120">
        <v>-0.1003229218270973</v>
      </c>
      <c r="H120">
        <v>-0.96202330187597418</v>
      </c>
      <c r="I120">
        <v>-0.65826572491656432</v>
      </c>
      <c r="J120">
        <v>-0.67591794415710316</v>
      </c>
      <c r="K120">
        <v>-1.339839020331361</v>
      </c>
      <c r="L120">
        <v>-0.35643797080639972</v>
      </c>
      <c r="M120">
        <v>0.18346720181966161</v>
      </c>
      <c r="N120">
        <v>0.56263673029721206</v>
      </c>
      <c r="O120">
        <v>-1.8385603598158851</v>
      </c>
      <c r="P120">
        <v>0.44696638354083512</v>
      </c>
      <c r="Q120">
        <v>-0.52486557418804092</v>
      </c>
      <c r="R120">
        <v>-0.1003229218270973</v>
      </c>
      <c r="S120">
        <v>9.2569804564363469</v>
      </c>
      <c r="T120">
        <v>0.15551986573479051</v>
      </c>
      <c r="U120">
        <v>9.1014605907015564</v>
      </c>
      <c r="V120">
        <v>-0.96202330187597418</v>
      </c>
      <c r="W120">
        <v>4.6758098629890217</v>
      </c>
      <c r="X120">
        <v>8.4774446653113067E-2</v>
      </c>
      <c r="Y120">
        <v>4.5910354163359086</v>
      </c>
      <c r="Z120">
        <v>-0.65826572491656432</v>
      </c>
      <c r="AA120">
        <v>0.67591794415710316</v>
      </c>
      <c r="AB120">
        <v>2.7696665199223802</v>
      </c>
      <c r="AC120">
        <v>-8.9988479259657889E-2</v>
      </c>
      <c r="AD120">
        <v>0.11003538416022331</v>
      </c>
      <c r="AE120">
        <v>-0.84694427979363895</v>
      </c>
      <c r="AF120">
        <v>-0.45124884041413132</v>
      </c>
      <c r="AG120">
        <v>-0.19906291087108879</v>
      </c>
      <c r="AH120">
        <v>-0.33297763284216031</v>
      </c>
      <c r="AI120">
        <v>-0.41842954507760199</v>
      </c>
      <c r="AJ120">
        <v>-0.46003181674615651</v>
      </c>
      <c r="AK120">
        <v>0.61522829931083878</v>
      </c>
      <c r="AL120">
        <v>0.39520512289430237</v>
      </c>
      <c r="AM120">
        <v>-0.56263673029721206</v>
      </c>
      <c r="AN120">
        <v>-1.8385603598158851</v>
      </c>
      <c r="AO120">
        <v>0.46291758297450991</v>
      </c>
      <c r="AP120">
        <v>0.43101518410716022</v>
      </c>
      <c r="AQ120">
        <v>-0.52486557418804092</v>
      </c>
    </row>
    <row r="121" spans="1:43" x14ac:dyDescent="0.3">
      <c r="A121">
        <v>922</v>
      </c>
      <c r="B121">
        <v>2025</v>
      </c>
      <c r="C121" t="s">
        <v>185</v>
      </c>
      <c r="D121">
        <v>1</v>
      </c>
      <c r="E121">
        <v>10.07065074256486</v>
      </c>
      <c r="F121">
        <v>-9.0706507425648581</v>
      </c>
      <c r="G121">
        <v>0.47082692768891549</v>
      </c>
      <c r="H121">
        <v>1.576501792403995</v>
      </c>
      <c r="I121">
        <v>-0.74318423087416152</v>
      </c>
      <c r="J121">
        <v>-0.37519450746093591</v>
      </c>
      <c r="K121">
        <v>-3.1881896902688212</v>
      </c>
      <c r="L121">
        <v>-1.388916403165547</v>
      </c>
      <c r="M121">
        <v>0.3722501896278036</v>
      </c>
      <c r="N121">
        <v>0.97237151206443551</v>
      </c>
      <c r="O121">
        <v>0.62046218298485911</v>
      </c>
      <c r="P121">
        <v>0.68733568527777422</v>
      </c>
      <c r="Q121">
        <v>-0.52486557418804092</v>
      </c>
      <c r="R121">
        <v>0.47082692768891549</v>
      </c>
      <c r="S121">
        <v>9.2569804564363469</v>
      </c>
      <c r="T121">
        <v>0.15551986573479051</v>
      </c>
      <c r="U121">
        <v>9.1014605907015564</v>
      </c>
      <c r="V121">
        <v>1.576501792403995</v>
      </c>
      <c r="W121">
        <v>4.6758098629890217</v>
      </c>
      <c r="X121">
        <v>8.4774446653113067E-2</v>
      </c>
      <c r="Y121">
        <v>4.5910354163359086</v>
      </c>
      <c r="Z121">
        <v>-0.74318423087416152</v>
      </c>
      <c r="AA121">
        <v>0.37519450746093591</v>
      </c>
      <c r="AB121">
        <v>2.7696665199223802</v>
      </c>
      <c r="AC121">
        <v>3.6067128606152621</v>
      </c>
      <c r="AD121">
        <v>-1.5874005800635</v>
      </c>
      <c r="AE121">
        <v>-1.3858641168055079</v>
      </c>
      <c r="AF121">
        <v>-1.064576333070971</v>
      </c>
      <c r="AG121">
        <v>-1.593244346402293</v>
      </c>
      <c r="AH121">
        <v>-1.445085579735808</v>
      </c>
      <c r="AI121">
        <v>-1.2573274629152009</v>
      </c>
      <c r="AJ121">
        <v>0.15619522904307109</v>
      </c>
      <c r="AK121">
        <v>0.4696966977611482</v>
      </c>
      <c r="AL121">
        <v>0.49085864207919139</v>
      </c>
      <c r="AM121">
        <v>-0.97237151206443551</v>
      </c>
      <c r="AN121">
        <v>0.62046218298485911</v>
      </c>
      <c r="AO121">
        <v>0.40618539761813249</v>
      </c>
      <c r="AP121">
        <v>0.9684859729374159</v>
      </c>
      <c r="AQ121">
        <v>-0.52486557418804092</v>
      </c>
    </row>
    <row r="122" spans="1:43" x14ac:dyDescent="0.3">
      <c r="A122">
        <v>924</v>
      </c>
      <c r="B122">
        <v>2025</v>
      </c>
      <c r="C122" t="s">
        <v>186</v>
      </c>
      <c r="D122">
        <v>17.666666666666671</v>
      </c>
      <c r="E122">
        <v>15.0447938810313</v>
      </c>
      <c r="F122">
        <v>2.6218727856353752</v>
      </c>
      <c r="G122">
        <v>0.2926765368647738</v>
      </c>
      <c r="H122">
        <v>2.6374908906126109</v>
      </c>
      <c r="I122">
        <v>0.57054216720506579</v>
      </c>
      <c r="J122">
        <v>0.69263889112095789</v>
      </c>
      <c r="K122">
        <v>0.30213081591089108</v>
      </c>
      <c r="L122">
        <v>-0.50913252904264905</v>
      </c>
      <c r="M122">
        <v>-0.47110352536362249</v>
      </c>
      <c r="N122">
        <v>-1.0616332914846529</v>
      </c>
      <c r="O122">
        <v>0.49490354825540961</v>
      </c>
      <c r="P122">
        <v>0.55686797500864083</v>
      </c>
      <c r="Q122">
        <v>-0.52486557418804092</v>
      </c>
      <c r="R122">
        <v>0.2926765368647738</v>
      </c>
      <c r="S122">
        <v>9.2569804564363469</v>
      </c>
      <c r="T122">
        <v>0.15551986573479051</v>
      </c>
      <c r="U122">
        <v>9.1014605907015564</v>
      </c>
      <c r="V122">
        <v>2.6374908906126109</v>
      </c>
      <c r="W122">
        <v>4.6758098629890217</v>
      </c>
      <c r="X122">
        <v>8.4774446653113067E-2</v>
      </c>
      <c r="Y122">
        <v>4.5910354163359086</v>
      </c>
      <c r="Z122">
        <v>0.57054216720506579</v>
      </c>
      <c r="AA122">
        <v>-0.69263889112095789</v>
      </c>
      <c r="AB122">
        <v>-0.36105429762281449</v>
      </c>
      <c r="AC122">
        <v>-0.24320733419896781</v>
      </c>
      <c r="AD122">
        <v>-1.831606498663656</v>
      </c>
      <c r="AE122">
        <v>-0.64291763965167037</v>
      </c>
      <c r="AF122">
        <v>0.49417234032708302</v>
      </c>
      <c r="AG122">
        <v>-0.72377448601876249</v>
      </c>
      <c r="AH122">
        <v>-0.21206330454723471</v>
      </c>
      <c r="AI122">
        <v>-0.13860558570165399</v>
      </c>
      <c r="AJ122">
        <v>-1.339464745492857</v>
      </c>
      <c r="AK122">
        <v>-0.3568798985689805</v>
      </c>
      <c r="AL122">
        <v>0.28303406797096958</v>
      </c>
      <c r="AM122">
        <v>1.0616332914846529</v>
      </c>
      <c r="AN122">
        <v>0.49490354825540961</v>
      </c>
      <c r="AO122">
        <v>0.35861675100843687</v>
      </c>
      <c r="AP122">
        <v>0.75511919900884472</v>
      </c>
      <c r="AQ122">
        <v>-0.52486557418804092</v>
      </c>
    </row>
    <row r="123" spans="1:43" x14ac:dyDescent="0.3">
      <c r="A123">
        <v>926</v>
      </c>
      <c r="B123">
        <v>2025</v>
      </c>
      <c r="C123" t="s">
        <v>187</v>
      </c>
      <c r="D123">
        <v>1.6666666666666681</v>
      </c>
      <c r="E123">
        <v>5.5013306572745</v>
      </c>
      <c r="F123">
        <v>-3.8346639906078321</v>
      </c>
      <c r="G123">
        <v>-0.29484363013605919</v>
      </c>
      <c r="H123">
        <v>0.27455344719488478</v>
      </c>
      <c r="I123">
        <v>-1.438337162420106</v>
      </c>
      <c r="J123">
        <v>-0.82257833356729493</v>
      </c>
      <c r="K123">
        <v>-3.1881896902688212</v>
      </c>
      <c r="L123">
        <v>-0.87473532448470082</v>
      </c>
      <c r="M123">
        <v>-0.46214898039570051</v>
      </c>
      <c r="N123">
        <v>-1.405634923424018</v>
      </c>
      <c r="O123">
        <v>-0.44064405449182747</v>
      </c>
      <c r="P123">
        <v>0.27379093331530863</v>
      </c>
      <c r="Q123">
        <v>-0.52486557418804092</v>
      </c>
      <c r="R123">
        <v>-0.29484363013605919</v>
      </c>
      <c r="S123">
        <v>9.2569804564363469</v>
      </c>
      <c r="T123">
        <v>0.15551986573479051</v>
      </c>
      <c r="U123">
        <v>9.1014605907015564</v>
      </c>
      <c r="V123">
        <v>0.27455344719488478</v>
      </c>
      <c r="W123">
        <v>4.6758098629890217</v>
      </c>
      <c r="X123">
        <v>8.4774446653113067E-2</v>
      </c>
      <c r="Y123">
        <v>4.5910354163359086</v>
      </c>
      <c r="Z123">
        <v>-1.438337162420106</v>
      </c>
      <c r="AA123">
        <v>0.82257833356729493</v>
      </c>
      <c r="AB123">
        <v>2.7696665199223802</v>
      </c>
      <c r="AC123">
        <v>3.6067128606152621</v>
      </c>
      <c r="AD123">
        <v>-0.2661002023550913</v>
      </c>
      <c r="AE123">
        <v>-1.7392437635228</v>
      </c>
      <c r="AF123">
        <v>-0.66674185991589552</v>
      </c>
      <c r="AG123">
        <v>-0.62146727918405131</v>
      </c>
      <c r="AH123">
        <v>-1.1234546914207351</v>
      </c>
      <c r="AI123">
        <v>-0.83140415050963301</v>
      </c>
      <c r="AJ123">
        <v>-1.9680213442112551</v>
      </c>
      <c r="AK123">
        <v>1.0024875610309329</v>
      </c>
      <c r="AL123">
        <v>-0.42091315800677959</v>
      </c>
      <c r="AM123">
        <v>1.405634923424018</v>
      </c>
      <c r="AN123">
        <v>-0.44064405449182747</v>
      </c>
      <c r="AO123">
        <v>0.34090885906740631</v>
      </c>
      <c r="AP123">
        <v>0.2066730075632108</v>
      </c>
      <c r="AQ123">
        <v>-0.52486557418804092</v>
      </c>
    </row>
    <row r="124" spans="1:43" x14ac:dyDescent="0.3">
      <c r="A124">
        <v>927</v>
      </c>
      <c r="B124">
        <v>2025</v>
      </c>
      <c r="C124" t="s">
        <v>188</v>
      </c>
      <c r="D124">
        <v>10.33333333333333</v>
      </c>
      <c r="E124">
        <v>10.27946329780444</v>
      </c>
      <c r="F124">
        <v>5.3870035528891691E-2</v>
      </c>
      <c r="G124">
        <v>-0.72092535648164924</v>
      </c>
      <c r="H124">
        <v>5.4158029281238342E-2</v>
      </c>
      <c r="I124">
        <v>1.1472021295124919</v>
      </c>
      <c r="J124">
        <v>-0.67536465271793367</v>
      </c>
      <c r="K124">
        <v>0.30213081591089108</v>
      </c>
      <c r="L124">
        <v>-0.90092759037342329</v>
      </c>
      <c r="M124">
        <v>2.4404181184138819E-2</v>
      </c>
      <c r="N124">
        <v>0.74977895229233116</v>
      </c>
      <c r="O124">
        <v>-0.42298050196449211</v>
      </c>
      <c r="P124">
        <v>-0.1046232235313465</v>
      </c>
      <c r="Q124">
        <v>-0.52486557418804092</v>
      </c>
      <c r="R124">
        <v>-0.72092535648164924</v>
      </c>
      <c r="S124">
        <v>9.2569804564363469</v>
      </c>
      <c r="T124">
        <v>0.15551986573479051</v>
      </c>
      <c r="U124">
        <v>9.1014605907015564</v>
      </c>
      <c r="V124">
        <v>5.4158029281238342E-2</v>
      </c>
      <c r="W124">
        <v>4.6758098629890217</v>
      </c>
      <c r="X124">
        <v>8.4774446653113067E-2</v>
      </c>
      <c r="Y124">
        <v>4.5910354163359086</v>
      </c>
      <c r="Z124">
        <v>1.1472021295124919</v>
      </c>
      <c r="AA124">
        <v>0.67536465271793367</v>
      </c>
      <c r="AB124">
        <v>-0.36105429762281449</v>
      </c>
      <c r="AC124">
        <v>-0.24320733419896781</v>
      </c>
      <c r="AD124">
        <v>-1.614291619626633</v>
      </c>
      <c r="AE124">
        <v>-0.2141977569733241</v>
      </c>
      <c r="AF124">
        <v>-0.58434799726517517</v>
      </c>
      <c r="AG124">
        <v>-0.97398483482204401</v>
      </c>
      <c r="AH124">
        <v>-1.0638125484501391</v>
      </c>
      <c r="AI124">
        <v>-0.9549307851032246</v>
      </c>
      <c r="AJ124">
        <v>-9.2951956367116284E-2</v>
      </c>
      <c r="AK124">
        <v>-0.32041449727365001</v>
      </c>
      <c r="AL124">
        <v>0.48657899719318271</v>
      </c>
      <c r="AM124">
        <v>-0.74977895229233116</v>
      </c>
      <c r="AN124">
        <v>-0.42298050196449211</v>
      </c>
      <c r="AO124">
        <v>-7.6453755270924809E-2</v>
      </c>
      <c r="AP124">
        <v>-0.13279269179176831</v>
      </c>
      <c r="AQ124">
        <v>-0.52486557418804092</v>
      </c>
    </row>
    <row r="125" spans="1:43" x14ac:dyDescent="0.3">
      <c r="A125">
        <v>935</v>
      </c>
      <c r="B125">
        <v>2025</v>
      </c>
      <c r="C125" t="s">
        <v>189</v>
      </c>
      <c r="D125">
        <v>19</v>
      </c>
      <c r="E125">
        <v>17.976321369146479</v>
      </c>
      <c r="F125">
        <v>1.0236786308535211</v>
      </c>
      <c r="G125">
        <v>1.0044280283270479</v>
      </c>
      <c r="H125">
        <v>0.58943874630300286</v>
      </c>
      <c r="I125">
        <v>-0.82819005663222922</v>
      </c>
      <c r="J125">
        <v>2.3385197907649379E-2</v>
      </c>
      <c r="K125">
        <v>0.30213081591089108</v>
      </c>
      <c r="L125">
        <v>1.0041125160644451</v>
      </c>
      <c r="M125">
        <v>0.45991313716515198</v>
      </c>
      <c r="N125">
        <v>0.39035809036376001</v>
      </c>
      <c r="O125">
        <v>0.17588634151902971</v>
      </c>
      <c r="P125">
        <v>0.84807382809021825</v>
      </c>
      <c r="Q125">
        <v>-0.52486557418804092</v>
      </c>
      <c r="R125">
        <v>1.0044280283270479</v>
      </c>
      <c r="S125">
        <v>9.2569804564363469</v>
      </c>
      <c r="T125">
        <v>0.15551986573479051</v>
      </c>
      <c r="U125">
        <v>9.1014605907015564</v>
      </c>
      <c r="V125">
        <v>0.58943874630300286</v>
      </c>
      <c r="W125">
        <v>4.6758098629890217</v>
      </c>
      <c r="X125">
        <v>8.4774446653113067E-2</v>
      </c>
      <c r="Y125">
        <v>4.5910354163359086</v>
      </c>
      <c r="Z125">
        <v>-0.82819005663222922</v>
      </c>
      <c r="AA125">
        <v>-2.3385197907649379E-2</v>
      </c>
      <c r="AB125">
        <v>-0.36105429762281449</v>
      </c>
      <c r="AC125">
        <v>-0.24320733419896781</v>
      </c>
      <c r="AD125">
        <v>1.0463859087469161</v>
      </c>
      <c r="AE125">
        <v>1.127585080921466</v>
      </c>
      <c r="AF125">
        <v>0.981461374907725</v>
      </c>
      <c r="AG125">
        <v>1.1626606515888891</v>
      </c>
      <c r="AH125">
        <v>1.058353238243394</v>
      </c>
      <c r="AI125">
        <v>0.64822884197827757</v>
      </c>
      <c r="AJ125">
        <v>-0.20639887935564111</v>
      </c>
      <c r="AK125">
        <v>0.97493225778966508</v>
      </c>
      <c r="AL125">
        <v>0.61120603306143195</v>
      </c>
      <c r="AM125">
        <v>-0.39035809036376001</v>
      </c>
      <c r="AN125">
        <v>0.17588634151902971</v>
      </c>
      <c r="AO125">
        <v>1.0519593150346089</v>
      </c>
      <c r="AP125">
        <v>0.64418834114582768</v>
      </c>
      <c r="AQ125">
        <v>-0.52486557418804092</v>
      </c>
    </row>
    <row r="126" spans="1:43" x14ac:dyDescent="0.3">
      <c r="A126">
        <v>936</v>
      </c>
      <c r="B126">
        <v>2025</v>
      </c>
      <c r="C126" t="s">
        <v>190</v>
      </c>
      <c r="D126">
        <v>16.666666666666671</v>
      </c>
      <c r="E126">
        <v>15.40301434197894</v>
      </c>
      <c r="F126">
        <v>1.263652324687728</v>
      </c>
      <c r="G126">
        <v>0.84516085089395321</v>
      </c>
      <c r="H126">
        <v>0.1153704908269305</v>
      </c>
      <c r="I126">
        <v>-0.63669773420034181</v>
      </c>
      <c r="J126">
        <v>3.7465511083754732E-2</v>
      </c>
      <c r="K126">
        <v>0.30213081591089108</v>
      </c>
      <c r="L126">
        <v>0.41983457720903089</v>
      </c>
      <c r="M126">
        <v>0.35128027187132371</v>
      </c>
      <c r="N126">
        <v>-4.2380515603575968E-2</v>
      </c>
      <c r="O126">
        <v>-0.18760008713646209</v>
      </c>
      <c r="P126">
        <v>-0.6987917178076205</v>
      </c>
      <c r="Q126">
        <v>1.9052497423687671</v>
      </c>
      <c r="R126">
        <v>0.84516085089395321</v>
      </c>
      <c r="S126">
        <v>9.2569804564363469</v>
      </c>
      <c r="T126">
        <v>0.15551986573479051</v>
      </c>
      <c r="U126">
        <v>9.1014605907015564</v>
      </c>
      <c r="V126">
        <v>0.1153704908269305</v>
      </c>
      <c r="W126">
        <v>4.6758098629890217</v>
      </c>
      <c r="X126">
        <v>8.4774446653113067E-2</v>
      </c>
      <c r="Y126">
        <v>4.5910354163359086</v>
      </c>
      <c r="Z126">
        <v>-0.63669773420034181</v>
      </c>
      <c r="AA126">
        <v>-3.7465511083754732E-2</v>
      </c>
      <c r="AB126">
        <v>-0.36105429762281449</v>
      </c>
      <c r="AC126">
        <v>-0.24320733419896781</v>
      </c>
      <c r="AD126">
        <v>0.86344053684154298</v>
      </c>
      <c r="AE126">
        <v>0.65622366274314547</v>
      </c>
      <c r="AF126">
        <v>-9.3653751561679158E-3</v>
      </c>
      <c r="AG126">
        <v>0.36473462605783269</v>
      </c>
      <c r="AH126">
        <v>0.47938303982748792</v>
      </c>
      <c r="AI126">
        <v>0.1645909729403445</v>
      </c>
      <c r="AJ126">
        <v>-0.6037513005851648</v>
      </c>
      <c r="AK126">
        <v>1.150906694357402</v>
      </c>
      <c r="AL126">
        <v>0.50668542184173326</v>
      </c>
      <c r="AM126">
        <v>4.2380515603575968E-2</v>
      </c>
      <c r="AN126">
        <v>-0.18760008713646209</v>
      </c>
      <c r="AO126">
        <v>-0.44540687497066489</v>
      </c>
      <c r="AP126">
        <v>-0.95217656064457612</v>
      </c>
      <c r="AQ126">
        <v>1.9052497423687671</v>
      </c>
    </row>
    <row r="127" spans="1:43" x14ac:dyDescent="0.3">
      <c r="A127">
        <v>939</v>
      </c>
      <c r="B127">
        <v>2025</v>
      </c>
      <c r="C127" t="s">
        <v>191</v>
      </c>
      <c r="D127">
        <v>18</v>
      </c>
      <c r="E127">
        <v>17.76304365992409</v>
      </c>
      <c r="F127">
        <v>0.2369563400759063</v>
      </c>
      <c r="G127">
        <v>0.979777591283432</v>
      </c>
      <c r="H127">
        <v>-0.50869551330837648</v>
      </c>
      <c r="I127">
        <v>-1.02426666858882</v>
      </c>
      <c r="J127">
        <v>-0.1383857714964114</v>
      </c>
      <c r="K127">
        <v>0.30213081591089108</v>
      </c>
      <c r="L127">
        <v>1.2027450223554641</v>
      </c>
      <c r="M127">
        <v>0.59522831164895484</v>
      </c>
      <c r="N127">
        <v>0.93450410580265597</v>
      </c>
      <c r="O127">
        <v>-6.5558645882441091E-2</v>
      </c>
      <c r="P127">
        <v>-0.59205849539328637</v>
      </c>
      <c r="Q127">
        <v>1.9052497423687671</v>
      </c>
      <c r="R127">
        <v>0.979777591283432</v>
      </c>
      <c r="S127">
        <v>9.2569804564363469</v>
      </c>
      <c r="T127">
        <v>0.15551986573479051</v>
      </c>
      <c r="U127">
        <v>9.1014605907015564</v>
      </c>
      <c r="V127">
        <v>-0.50869551330837648</v>
      </c>
      <c r="W127">
        <v>4.6758098629890217</v>
      </c>
      <c r="X127">
        <v>8.4774446653113067E-2</v>
      </c>
      <c r="Y127">
        <v>4.5910354163359086</v>
      </c>
      <c r="Z127">
        <v>-1.02426666858882</v>
      </c>
      <c r="AA127">
        <v>0.1383857714964114</v>
      </c>
      <c r="AB127">
        <v>-0.36105429762281449</v>
      </c>
      <c r="AC127">
        <v>-0.24320733419896781</v>
      </c>
      <c r="AD127">
        <v>1.2062547390095231</v>
      </c>
      <c r="AE127">
        <v>0.76064495711660884</v>
      </c>
      <c r="AF127">
        <v>1.148887200417759</v>
      </c>
      <c r="AG127">
        <v>1.304802262709972</v>
      </c>
      <c r="AH127">
        <v>1.363736354356212</v>
      </c>
      <c r="AI127">
        <v>1.4321446205227091</v>
      </c>
      <c r="AJ127">
        <v>-9.0420889607265922E-2</v>
      </c>
      <c r="AK127">
        <v>1.1438941171852239</v>
      </c>
      <c r="AL127">
        <v>0.73221170736890651</v>
      </c>
      <c r="AM127">
        <v>-0.93450410580265597</v>
      </c>
      <c r="AN127">
        <v>-6.5558645882441091E-2</v>
      </c>
      <c r="AO127">
        <v>-0.38104697469877707</v>
      </c>
      <c r="AP127">
        <v>-0.80307001608779571</v>
      </c>
      <c r="AQ127">
        <v>1.9052497423687671</v>
      </c>
    </row>
    <row r="128" spans="1:43" x14ac:dyDescent="0.3">
      <c r="A128">
        <v>941</v>
      </c>
      <c r="B128">
        <v>2025</v>
      </c>
      <c r="C128" t="s">
        <v>192</v>
      </c>
      <c r="D128">
        <v>16.333333333333329</v>
      </c>
      <c r="E128">
        <v>15.91557371637268</v>
      </c>
      <c r="F128">
        <v>0.41775961696064989</v>
      </c>
      <c r="G128">
        <v>0.76368542010506424</v>
      </c>
      <c r="H128">
        <v>-0.49637479764817088</v>
      </c>
      <c r="I128">
        <v>-0.6158283018878834</v>
      </c>
      <c r="J128">
        <v>2.2011508817297621E-2</v>
      </c>
      <c r="K128">
        <v>0.30213081591089108</v>
      </c>
      <c r="L128">
        <v>0.78047194563047695</v>
      </c>
      <c r="M128">
        <v>0.38228327218815411</v>
      </c>
      <c r="N128">
        <v>0.30326027772202929</v>
      </c>
      <c r="O128">
        <v>-0.1118381879727294</v>
      </c>
      <c r="P128">
        <v>-0.3360029003233711</v>
      </c>
      <c r="Q128">
        <v>1.9052497423687671</v>
      </c>
      <c r="R128">
        <v>0.76368542010506424</v>
      </c>
      <c r="S128">
        <v>9.2569804564363469</v>
      </c>
      <c r="T128">
        <v>0.15551986573479051</v>
      </c>
      <c r="U128">
        <v>9.1014605907015564</v>
      </c>
      <c r="V128">
        <v>-0.49637479764817088</v>
      </c>
      <c r="W128">
        <v>4.6758098629890217</v>
      </c>
      <c r="X128">
        <v>8.4774446653113067E-2</v>
      </c>
      <c r="Y128">
        <v>4.5910354163359086</v>
      </c>
      <c r="Z128">
        <v>-0.6158283018878834</v>
      </c>
      <c r="AA128">
        <v>-2.2011508817297621E-2</v>
      </c>
      <c r="AB128">
        <v>-0.36105429762281449</v>
      </c>
      <c r="AC128">
        <v>-0.24320733419896781</v>
      </c>
      <c r="AD128">
        <v>0.95325796931197782</v>
      </c>
      <c r="AE128">
        <v>0.67759465891165926</v>
      </c>
      <c r="AF128">
        <v>0.51382870735900854</v>
      </c>
      <c r="AG128">
        <v>1.012442902904928</v>
      </c>
      <c r="AH128">
        <v>0.94840543088598694</v>
      </c>
      <c r="AI128">
        <v>0.57730200440930213</v>
      </c>
      <c r="AJ128">
        <v>-0.30854371215909338</v>
      </c>
      <c r="AK128">
        <v>0.94300440642927386</v>
      </c>
      <c r="AL128">
        <v>0.51238912229428168</v>
      </c>
      <c r="AM128">
        <v>-0.30326027772202929</v>
      </c>
      <c r="AN128">
        <v>-0.1118381879727294</v>
      </c>
      <c r="AO128">
        <v>-0.13630498471923089</v>
      </c>
      <c r="AP128">
        <v>-0.5357008159275114</v>
      </c>
      <c r="AQ128">
        <v>1.9052497423687671</v>
      </c>
    </row>
    <row r="129" spans="1:43" x14ac:dyDescent="0.3">
      <c r="A129">
        <v>942</v>
      </c>
      <c r="B129">
        <v>2025</v>
      </c>
      <c r="C129" t="s">
        <v>193</v>
      </c>
      <c r="D129">
        <v>12</v>
      </c>
      <c r="E129">
        <v>12.58638708443425</v>
      </c>
      <c r="F129">
        <v>-0.58638708443425003</v>
      </c>
      <c r="G129">
        <v>0.37200785292227861</v>
      </c>
      <c r="H129">
        <v>-0.1117295135109911</v>
      </c>
      <c r="I129">
        <v>0.16096864309801279</v>
      </c>
      <c r="J129">
        <v>-0.13254759286241649</v>
      </c>
      <c r="K129">
        <v>0.30213081591089108</v>
      </c>
      <c r="L129">
        <v>-0.25813171335263457</v>
      </c>
      <c r="M129">
        <v>0.38013816065194878</v>
      </c>
      <c r="N129">
        <v>0.39305298281232393</v>
      </c>
      <c r="O129">
        <v>-0.40271784690568191</v>
      </c>
      <c r="P129">
        <v>0.58881631428142578</v>
      </c>
      <c r="Q129">
        <v>-0.52486557418804092</v>
      </c>
      <c r="R129">
        <v>0.37200785292227861</v>
      </c>
      <c r="S129">
        <v>9.2569804564363469</v>
      </c>
      <c r="T129">
        <v>0.15551986573479051</v>
      </c>
      <c r="U129">
        <v>9.1014605907015564</v>
      </c>
      <c r="V129">
        <v>-0.1117295135109911</v>
      </c>
      <c r="W129">
        <v>4.6758098629890217</v>
      </c>
      <c r="X129">
        <v>8.4774446653113067E-2</v>
      </c>
      <c r="Y129">
        <v>4.5910354163359086</v>
      </c>
      <c r="Z129">
        <v>0.16096864309801279</v>
      </c>
      <c r="AA129">
        <v>0.13254759286241649</v>
      </c>
      <c r="AB129">
        <v>-0.36105429762281449</v>
      </c>
      <c r="AC129">
        <v>-0.24320733419896781</v>
      </c>
      <c r="AD129">
        <v>-0.21531865345498941</v>
      </c>
      <c r="AE129">
        <v>-7.6069606024059641E-2</v>
      </c>
      <c r="AF129">
        <v>-0.25791586266454991</v>
      </c>
      <c r="AG129">
        <v>-0.16224499109702251</v>
      </c>
      <c r="AH129">
        <v>-0.248998753372069</v>
      </c>
      <c r="AI129">
        <v>-0.58824241350311668</v>
      </c>
      <c r="AJ129">
        <v>-2.5139415256678802E-2</v>
      </c>
      <c r="AK129">
        <v>0.92039915766248515</v>
      </c>
      <c r="AL129">
        <v>0.24515473955004019</v>
      </c>
      <c r="AM129">
        <v>-0.39305298281232393</v>
      </c>
      <c r="AN129">
        <v>-0.40271784690568191</v>
      </c>
      <c r="AO129">
        <v>0.69036658908594462</v>
      </c>
      <c r="AP129">
        <v>0.487266039476907</v>
      </c>
      <c r="AQ129">
        <v>-0.52486557418804092</v>
      </c>
    </row>
    <row r="130" spans="1:43" x14ac:dyDescent="0.3">
      <c r="A130">
        <v>943</v>
      </c>
      <c r="B130">
        <v>2025</v>
      </c>
      <c r="C130" t="s">
        <v>194</v>
      </c>
      <c r="D130">
        <v>9.5</v>
      </c>
      <c r="E130">
        <v>10.06873711371928</v>
      </c>
      <c r="F130">
        <v>-0.56873711371927627</v>
      </c>
      <c r="G130">
        <v>0.35511105323997683</v>
      </c>
      <c r="H130">
        <v>-1.3487042152690041</v>
      </c>
      <c r="I130">
        <v>-5.6414000173388781E-2</v>
      </c>
      <c r="J130">
        <v>0.11261775173508071</v>
      </c>
      <c r="K130">
        <v>0.30213081591089108</v>
      </c>
      <c r="L130">
        <v>-5.1253202509714268E-3</v>
      </c>
      <c r="M130">
        <v>0.26084559563101739</v>
      </c>
      <c r="N130">
        <v>-7.6219474390698053E-2</v>
      </c>
      <c r="O130">
        <v>-1.8940466730624419</v>
      </c>
      <c r="P130">
        <v>0.33584046143090618</v>
      </c>
      <c r="Q130">
        <v>-0.52486557418804092</v>
      </c>
      <c r="R130">
        <v>0.35511105323997683</v>
      </c>
      <c r="S130">
        <v>9.2569804564363469</v>
      </c>
      <c r="T130">
        <v>0.15551986573479051</v>
      </c>
      <c r="U130">
        <v>9.1014605907015564</v>
      </c>
      <c r="V130">
        <v>-1.3487042152690041</v>
      </c>
      <c r="W130">
        <v>4.6758098629890217</v>
      </c>
      <c r="X130">
        <v>8.4774446653113067E-2</v>
      </c>
      <c r="Y130">
        <v>4.5910354163359086</v>
      </c>
      <c r="Z130">
        <v>-5.6414000173388781E-2</v>
      </c>
      <c r="AA130">
        <v>-0.11261775173508071</v>
      </c>
      <c r="AB130">
        <v>-0.36105429762281449</v>
      </c>
      <c r="AC130">
        <v>-0.24320733419896781</v>
      </c>
      <c r="AD130">
        <v>0.2273526594280848</v>
      </c>
      <c r="AE130">
        <v>5.3581901341409298E-2</v>
      </c>
      <c r="AF130">
        <v>1.029547272536886E-2</v>
      </c>
      <c r="AG130">
        <v>0.1061096937637111</v>
      </c>
      <c r="AH130">
        <v>-0.2142402760756898</v>
      </c>
      <c r="AI130">
        <v>-0.2138513726887129</v>
      </c>
      <c r="AJ130">
        <v>-0.32225156876937022</v>
      </c>
      <c r="AK130">
        <v>0.86223601758735391</v>
      </c>
      <c r="AL130">
        <v>0.24255233807506851</v>
      </c>
      <c r="AM130">
        <v>7.6219474390698053E-2</v>
      </c>
      <c r="AN130">
        <v>-1.8940466730624419</v>
      </c>
      <c r="AO130">
        <v>0.51157603133967788</v>
      </c>
      <c r="AP130">
        <v>0.1601048915221345</v>
      </c>
      <c r="AQ130">
        <v>-0.52486557418804092</v>
      </c>
    </row>
    <row r="131" spans="1:43" x14ac:dyDescent="0.3">
      <c r="A131">
        <v>944</v>
      </c>
      <c r="B131">
        <v>2025</v>
      </c>
      <c r="C131" t="s">
        <v>195</v>
      </c>
      <c r="D131">
        <v>13.66666666666667</v>
      </c>
      <c r="E131">
        <v>13.989725721157111</v>
      </c>
      <c r="F131">
        <v>-0.3230590544904377</v>
      </c>
      <c r="G131">
        <v>0.77215476698841301</v>
      </c>
      <c r="H131">
        <v>0.36156959745085149</v>
      </c>
      <c r="I131">
        <v>-0.67673386271608293</v>
      </c>
      <c r="J131">
        <v>-0.27489612485011511</v>
      </c>
      <c r="K131">
        <v>0.30213081591089108</v>
      </c>
      <c r="L131">
        <v>0.2404878941689394</v>
      </c>
      <c r="M131">
        <v>0.1008094781156509</v>
      </c>
      <c r="N131">
        <v>-0.46428398698390211</v>
      </c>
      <c r="O131">
        <v>0.1366282555212327</v>
      </c>
      <c r="P131">
        <v>0.24230003982360379</v>
      </c>
      <c r="Q131">
        <v>-0.52486557418804092</v>
      </c>
      <c r="R131">
        <v>0.77215476698841301</v>
      </c>
      <c r="S131">
        <v>9.2569804564363469</v>
      </c>
      <c r="T131">
        <v>0.15551986573479051</v>
      </c>
      <c r="U131">
        <v>9.1014605907015564</v>
      </c>
      <c r="V131">
        <v>0.36156959745085149</v>
      </c>
      <c r="W131">
        <v>4.6758098629890217</v>
      </c>
      <c r="X131">
        <v>8.4774446653113067E-2</v>
      </c>
      <c r="Y131">
        <v>4.5910354163359086</v>
      </c>
      <c r="Z131">
        <v>-0.67673386271608293</v>
      </c>
      <c r="AA131">
        <v>0.27489612485011511</v>
      </c>
      <c r="AB131">
        <v>-0.36105429762281449</v>
      </c>
      <c r="AC131">
        <v>-0.24320733419896781</v>
      </c>
      <c r="AD131">
        <v>0.246891229161666</v>
      </c>
      <c r="AE131">
        <v>0.84598304019399084</v>
      </c>
      <c r="AF131">
        <v>0.15110169090767439</v>
      </c>
      <c r="AG131">
        <v>4.2631774952800038E-2</v>
      </c>
      <c r="AH131">
        <v>0.28996717554512969</v>
      </c>
      <c r="AI131">
        <v>-0.13364754574762441</v>
      </c>
      <c r="AJ131">
        <v>-0.75288375888088266</v>
      </c>
      <c r="AK131">
        <v>1.104871187744745</v>
      </c>
      <c r="AL131">
        <v>-4.9558994516910017E-2</v>
      </c>
      <c r="AM131">
        <v>0.46428398698390211</v>
      </c>
      <c r="AN131">
        <v>0.1366282555212327</v>
      </c>
      <c r="AO131">
        <v>0.4527200999443205</v>
      </c>
      <c r="AP131">
        <v>3.1879979702887112E-2</v>
      </c>
      <c r="AQ131">
        <v>-0.52486557418804092</v>
      </c>
    </row>
    <row r="132" spans="1:43" x14ac:dyDescent="0.3">
      <c r="A132">
        <v>946</v>
      </c>
      <c r="B132">
        <v>2025</v>
      </c>
      <c r="C132" t="s">
        <v>196</v>
      </c>
      <c r="D132">
        <v>17</v>
      </c>
      <c r="E132">
        <v>17.47799276687531</v>
      </c>
      <c r="F132">
        <v>-0.47799276687531028</v>
      </c>
      <c r="G132">
        <v>0.95571884690757991</v>
      </c>
      <c r="H132">
        <v>-0.1372488189786388</v>
      </c>
      <c r="I132">
        <v>-0.31732556397935302</v>
      </c>
      <c r="J132">
        <v>-3.6351198507507107E-2</v>
      </c>
      <c r="K132">
        <v>0.30213081591089108</v>
      </c>
      <c r="L132">
        <v>0.97734612211631788</v>
      </c>
      <c r="M132">
        <v>0.39662146499358059</v>
      </c>
      <c r="N132">
        <v>0.45186831594232207</v>
      </c>
      <c r="O132">
        <v>0.41852096789013071</v>
      </c>
      <c r="P132">
        <v>-0.60888159876265247</v>
      </c>
      <c r="Q132">
        <v>1.9052497423687671</v>
      </c>
      <c r="R132">
        <v>0.95571884690757991</v>
      </c>
      <c r="S132">
        <v>9.2569804564363469</v>
      </c>
      <c r="T132">
        <v>0.15551986573479051</v>
      </c>
      <c r="U132">
        <v>9.1014605907015564</v>
      </c>
      <c r="V132">
        <v>-0.1372488189786388</v>
      </c>
      <c r="W132">
        <v>4.6758098629890217</v>
      </c>
      <c r="X132">
        <v>8.4774446653113067E-2</v>
      </c>
      <c r="Y132">
        <v>4.5910354163359086</v>
      </c>
      <c r="Z132">
        <v>-0.31732556397935302</v>
      </c>
      <c r="AA132">
        <v>3.6351198507507107E-2</v>
      </c>
      <c r="AB132">
        <v>-0.36105429762281449</v>
      </c>
      <c r="AC132">
        <v>-0.24320733419896781</v>
      </c>
      <c r="AD132">
        <v>1.0403246369857031</v>
      </c>
      <c r="AE132">
        <v>0.85820528870222879</v>
      </c>
      <c r="AF132">
        <v>0.90989100449285498</v>
      </c>
      <c r="AG132">
        <v>1.200767618773146</v>
      </c>
      <c r="AH132">
        <v>1.192680762782004</v>
      </c>
      <c r="AI132">
        <v>0.66220742096197027</v>
      </c>
      <c r="AJ132">
        <v>-6.9721274323740298E-2</v>
      </c>
      <c r="AK132">
        <v>0.72082946143306315</v>
      </c>
      <c r="AL132">
        <v>0.5387562078714192</v>
      </c>
      <c r="AM132">
        <v>-0.45186831594232207</v>
      </c>
      <c r="AN132">
        <v>0.41852096789013071</v>
      </c>
      <c r="AO132">
        <v>-0.37318619621526899</v>
      </c>
      <c r="AP132">
        <v>-0.84457700131003599</v>
      </c>
      <c r="AQ132">
        <v>1.9052497423687671</v>
      </c>
    </row>
    <row r="133" spans="1:43" x14ac:dyDescent="0.3">
      <c r="A133">
        <v>948</v>
      </c>
      <c r="B133">
        <v>2025</v>
      </c>
      <c r="C133" t="s">
        <v>197</v>
      </c>
      <c r="D133">
        <v>8.6666666666666661</v>
      </c>
      <c r="E133">
        <v>10.406829779554879</v>
      </c>
      <c r="F133">
        <v>-1.740163112888212</v>
      </c>
      <c r="G133">
        <v>-0.22383645495630261</v>
      </c>
      <c r="H133">
        <v>-0.83335576538665779</v>
      </c>
      <c r="I133">
        <v>0.40542042451528099</v>
      </c>
      <c r="J133">
        <v>-0.70205619490407412</v>
      </c>
      <c r="K133">
        <v>0.30213081591089108</v>
      </c>
      <c r="L133">
        <v>-0.25165194290492171</v>
      </c>
      <c r="M133">
        <v>0.31895621178323569</v>
      </c>
      <c r="N133">
        <v>0.31895733167500462</v>
      </c>
      <c r="O133">
        <v>-1.190646770551848</v>
      </c>
      <c r="P133">
        <v>0.1809764470005237</v>
      </c>
      <c r="Q133">
        <v>-0.52486557418804092</v>
      </c>
      <c r="R133">
        <v>-0.22383645495630261</v>
      </c>
      <c r="S133">
        <v>9.2569804564363469</v>
      </c>
      <c r="T133">
        <v>0.15551986573479051</v>
      </c>
      <c r="U133">
        <v>9.1014605907015564</v>
      </c>
      <c r="V133">
        <v>-0.83335576538665779</v>
      </c>
      <c r="W133">
        <v>4.6758098629890217</v>
      </c>
      <c r="X133">
        <v>8.4774446653113067E-2</v>
      </c>
      <c r="Y133">
        <v>4.5910354163359086</v>
      </c>
      <c r="Z133">
        <v>0.40542042451528099</v>
      </c>
      <c r="AA133">
        <v>0.70205619490407412</v>
      </c>
      <c r="AB133">
        <v>-0.36105429762281449</v>
      </c>
      <c r="AC133">
        <v>-0.24320733419896781</v>
      </c>
      <c r="AD133">
        <v>0.12514507761795071</v>
      </c>
      <c r="AE133">
        <v>0.67948540009478309</v>
      </c>
      <c r="AF133">
        <v>-0.79468803971406099</v>
      </c>
      <c r="AG133">
        <v>-0.51823899970646359</v>
      </c>
      <c r="AH133">
        <v>-0.36717091417409359</v>
      </c>
      <c r="AI133">
        <v>-0.6344441815476457</v>
      </c>
      <c r="AJ133">
        <v>0.22157694366137509</v>
      </c>
      <c r="AK133">
        <v>0.45294901345582711</v>
      </c>
      <c r="AL133">
        <v>0.28234267823250497</v>
      </c>
      <c r="AM133">
        <v>-0.31895733167500462</v>
      </c>
      <c r="AN133">
        <v>-1.190646770551848</v>
      </c>
      <c r="AO133">
        <v>8.4952876096148988E-2</v>
      </c>
      <c r="AP133">
        <v>0.27700001790489848</v>
      </c>
      <c r="AQ133">
        <v>-0.52486557418804092</v>
      </c>
    </row>
    <row r="134" spans="1:43" x14ac:dyDescent="0.3">
      <c r="A134">
        <v>960</v>
      </c>
      <c r="B134">
        <v>2025</v>
      </c>
      <c r="C134" t="s">
        <v>198</v>
      </c>
      <c r="D134">
        <v>16</v>
      </c>
      <c r="E134">
        <v>15.41974223395335</v>
      </c>
      <c r="F134">
        <v>0.58025776604664969</v>
      </c>
      <c r="G134">
        <v>0.80215320375351551</v>
      </c>
      <c r="H134">
        <v>-9.2006185454759901E-2</v>
      </c>
      <c r="I134">
        <v>1.322354070186439E-2</v>
      </c>
      <c r="J134">
        <v>0.10489075060185241</v>
      </c>
      <c r="K134">
        <v>0.30213081591089108</v>
      </c>
      <c r="L134">
        <v>0.39693460344919002</v>
      </c>
      <c r="M134">
        <v>0.63925871643441878</v>
      </c>
      <c r="N134">
        <v>2.9298067048949009E-2</v>
      </c>
      <c r="O134">
        <v>3.3362420613984103E-2</v>
      </c>
      <c r="P134">
        <v>-0.78698300486569128</v>
      </c>
      <c r="Q134">
        <v>1.9052497423687671</v>
      </c>
      <c r="R134">
        <v>0.80215320375351551</v>
      </c>
      <c r="S134">
        <v>9.2569804564363469</v>
      </c>
      <c r="T134">
        <v>0.15551986573479051</v>
      </c>
      <c r="U134">
        <v>9.1014605907015564</v>
      </c>
      <c r="V134">
        <v>-9.2006185454759901E-2</v>
      </c>
      <c r="W134">
        <v>4.6758098629890217</v>
      </c>
      <c r="X134">
        <v>8.4774446653113067E-2</v>
      </c>
      <c r="Y134">
        <v>4.5910354163359086</v>
      </c>
      <c r="Z134">
        <v>1.322354070186439E-2</v>
      </c>
      <c r="AA134">
        <v>-0.10489075060185241</v>
      </c>
      <c r="AB134">
        <v>-0.36105429762281449</v>
      </c>
      <c r="AC134">
        <v>-0.24320733419896781</v>
      </c>
      <c r="AD134">
        <v>0.4812871645103215</v>
      </c>
      <c r="AE134">
        <v>0.6855152021474773</v>
      </c>
      <c r="AF134">
        <v>0.53185628555726339</v>
      </c>
      <c r="AG134">
        <v>0.41241348009062562</v>
      </c>
      <c r="AH134">
        <v>0.21853435706528571</v>
      </c>
      <c r="AI134">
        <v>5.2001131324165978E-2</v>
      </c>
      <c r="AJ134">
        <v>-3.1128771252759271E-2</v>
      </c>
      <c r="AK134">
        <v>1.366894071260514</v>
      </c>
      <c r="AL134">
        <v>0.58201084929550118</v>
      </c>
      <c r="AM134">
        <v>-2.9298067048949009E-2</v>
      </c>
      <c r="AN134">
        <v>3.3362420613984103E-2</v>
      </c>
      <c r="AO134">
        <v>-0.58885830028315966</v>
      </c>
      <c r="AP134">
        <v>-0.9851077094482229</v>
      </c>
      <c r="AQ134">
        <v>1.9052497423687671</v>
      </c>
    </row>
    <row r="135" spans="1:43" x14ac:dyDescent="0.3">
      <c r="A135">
        <v>961</v>
      </c>
      <c r="B135">
        <v>2025</v>
      </c>
      <c r="C135" t="s">
        <v>199</v>
      </c>
      <c r="D135">
        <v>18</v>
      </c>
      <c r="E135">
        <v>15.988456749575921</v>
      </c>
      <c r="F135">
        <v>2.0115432504240811</v>
      </c>
      <c r="G135">
        <v>1.0468863031931579</v>
      </c>
      <c r="H135">
        <v>-0.2335549722977622</v>
      </c>
      <c r="I135">
        <v>-0.45494156952091919</v>
      </c>
      <c r="J135">
        <v>0.28865982446668481</v>
      </c>
      <c r="K135">
        <v>0.30213081591089108</v>
      </c>
      <c r="L135">
        <v>0.83550330020022046</v>
      </c>
      <c r="M135">
        <v>0.58403398016741548</v>
      </c>
      <c r="N135">
        <v>-0.23652390148568581</v>
      </c>
      <c r="O135">
        <v>0.63314735504145947</v>
      </c>
      <c r="P135">
        <v>-2.4088719681944069</v>
      </c>
      <c r="Q135">
        <v>1.9052497423687671</v>
      </c>
      <c r="R135">
        <v>1.0468863031931579</v>
      </c>
      <c r="S135">
        <v>9.2569804564363469</v>
      </c>
      <c r="T135">
        <v>0.15551986573479051</v>
      </c>
      <c r="U135">
        <v>9.1014605907015564</v>
      </c>
      <c r="V135">
        <v>-0.2335549722977622</v>
      </c>
      <c r="W135">
        <v>4.6758098629890217</v>
      </c>
      <c r="X135">
        <v>8.4774446653113067E-2</v>
      </c>
      <c r="Y135">
        <v>4.5910354163359086</v>
      </c>
      <c r="Z135">
        <v>-0.45494156952091919</v>
      </c>
      <c r="AA135">
        <v>-0.28865982446668481</v>
      </c>
      <c r="AB135">
        <v>-0.36105429762281449</v>
      </c>
      <c r="AC135">
        <v>-0.24320733419896781</v>
      </c>
      <c r="AD135">
        <v>1.049229220555433</v>
      </c>
      <c r="AE135">
        <v>0.94971787951425202</v>
      </c>
      <c r="AF135">
        <v>0.89776246480774291</v>
      </c>
      <c r="AG135">
        <v>0.51181436769830746</v>
      </c>
      <c r="AH135">
        <v>0.94727396444005252</v>
      </c>
      <c r="AI135">
        <v>0.65722190418553539</v>
      </c>
      <c r="AJ135">
        <v>-0.17306899033979431</v>
      </c>
      <c r="AK135">
        <v>1.3476713597179539</v>
      </c>
      <c r="AL135">
        <v>0.57749957112408701</v>
      </c>
      <c r="AM135">
        <v>0.23652390148568581</v>
      </c>
      <c r="AN135">
        <v>0.63314735504145947</v>
      </c>
      <c r="AO135">
        <v>-1.035996438945388</v>
      </c>
      <c r="AP135">
        <v>-3.7817474974434262</v>
      </c>
      <c r="AQ135">
        <v>1.9052497423687671</v>
      </c>
    </row>
    <row r="136" spans="1:43" x14ac:dyDescent="0.3">
      <c r="A136">
        <v>962</v>
      </c>
      <c r="B136">
        <v>2025</v>
      </c>
      <c r="C136" t="s">
        <v>200</v>
      </c>
      <c r="D136">
        <v>11</v>
      </c>
      <c r="E136">
        <v>10.92807479510517</v>
      </c>
      <c r="F136">
        <v>7.1925204894832007E-2</v>
      </c>
      <c r="G136">
        <v>7.5371242772520219E-2</v>
      </c>
      <c r="H136">
        <v>-0.984778476961372</v>
      </c>
      <c r="I136">
        <v>-0.38054509952002169</v>
      </c>
      <c r="J136">
        <v>1.006804533729524E-2</v>
      </c>
      <c r="K136">
        <v>0.30213081591089108</v>
      </c>
      <c r="L136">
        <v>-0.13218701757705351</v>
      </c>
      <c r="M136">
        <v>-7.1940574924414056E-3</v>
      </c>
      <c r="N136">
        <v>0.14417827606762729</v>
      </c>
      <c r="O136">
        <v>-0.16722105435236201</v>
      </c>
      <c r="P136">
        <v>0.42009302551328032</v>
      </c>
      <c r="Q136">
        <v>-0.52486557418804092</v>
      </c>
      <c r="R136">
        <v>7.5371242772520219E-2</v>
      </c>
      <c r="S136">
        <v>9.2569804564363469</v>
      </c>
      <c r="T136">
        <v>0.15551986573479051</v>
      </c>
      <c r="U136">
        <v>9.1014605907015564</v>
      </c>
      <c r="V136">
        <v>-0.984778476961372</v>
      </c>
      <c r="W136">
        <v>4.6758098629890217</v>
      </c>
      <c r="X136">
        <v>8.4774446653113067E-2</v>
      </c>
      <c r="Y136">
        <v>4.5910354163359086</v>
      </c>
      <c r="Z136">
        <v>-0.38054509952002169</v>
      </c>
      <c r="AA136">
        <v>-1.006804533729524E-2</v>
      </c>
      <c r="AB136">
        <v>-0.36105429762281449</v>
      </c>
      <c r="AC136">
        <v>-0.24320733419896781</v>
      </c>
      <c r="AD136">
        <v>2.741877822288603E-2</v>
      </c>
      <c r="AE136">
        <v>0.17437526832522279</v>
      </c>
      <c r="AF136">
        <v>-0.32395350402199252</v>
      </c>
      <c r="AG136">
        <v>0.16645982705244999</v>
      </c>
      <c r="AH136">
        <v>-0.34951015206072378</v>
      </c>
      <c r="AI136">
        <v>-0.48791232298016379</v>
      </c>
      <c r="AJ136">
        <v>-0.56586047938820216</v>
      </c>
      <c r="AK136">
        <v>0.37102561190319511</v>
      </c>
      <c r="AL136">
        <v>0.17325269500768289</v>
      </c>
      <c r="AM136">
        <v>-0.14417827606762729</v>
      </c>
      <c r="AN136">
        <v>-0.16722105435236201</v>
      </c>
      <c r="AO136">
        <v>0.65285040766505908</v>
      </c>
      <c r="AP136">
        <v>0.1873356433615016</v>
      </c>
      <c r="AQ136">
        <v>-0.52486557418804092</v>
      </c>
    </row>
    <row r="137" spans="1:43" x14ac:dyDescent="0.3">
      <c r="A137">
        <v>963</v>
      </c>
      <c r="B137">
        <v>2025</v>
      </c>
      <c r="C137" t="s">
        <v>201</v>
      </c>
      <c r="D137">
        <v>8</v>
      </c>
      <c r="E137">
        <v>10.82739226361873</v>
      </c>
      <c r="F137">
        <v>-2.827392263618727</v>
      </c>
      <c r="G137">
        <v>1.9811647906312919E-2</v>
      </c>
      <c r="H137">
        <v>-0.68690095789416017</v>
      </c>
      <c r="I137">
        <v>-0.19459758441801339</v>
      </c>
      <c r="J137">
        <v>0.20167859442621849</v>
      </c>
      <c r="K137">
        <v>0.30213081591089108</v>
      </c>
      <c r="L137">
        <v>-0.67733793679187515</v>
      </c>
      <c r="M137">
        <v>0.56903172427497684</v>
      </c>
      <c r="N137">
        <v>0.76128086439238751</v>
      </c>
      <c r="O137">
        <v>-0.24970699986617859</v>
      </c>
      <c r="P137">
        <v>0.53325433250918686</v>
      </c>
      <c r="Q137">
        <v>-0.52486557418804092</v>
      </c>
      <c r="R137">
        <v>1.9811647906312919E-2</v>
      </c>
      <c r="S137">
        <v>9.2569804564363469</v>
      </c>
      <c r="T137">
        <v>0.15551986573479051</v>
      </c>
      <c r="U137">
        <v>9.1014605907015564</v>
      </c>
      <c r="V137">
        <v>-0.68690095789416017</v>
      </c>
      <c r="W137">
        <v>4.6758098629890217</v>
      </c>
      <c r="X137">
        <v>8.4774446653113067E-2</v>
      </c>
      <c r="Y137">
        <v>4.5910354163359086</v>
      </c>
      <c r="Z137">
        <v>-0.19459758441801339</v>
      </c>
      <c r="AA137">
        <v>-0.20167859442621849</v>
      </c>
      <c r="AB137">
        <v>-0.36105429762281449</v>
      </c>
      <c r="AC137">
        <v>-0.24320733419896781</v>
      </c>
      <c r="AD137">
        <v>-0.51020465374953183</v>
      </c>
      <c r="AE137">
        <v>-0.45190135582292301</v>
      </c>
      <c r="AF137">
        <v>-1.350623690338266</v>
      </c>
      <c r="AG137">
        <v>-0.47934724683018731</v>
      </c>
      <c r="AH137">
        <v>-0.54697952157791452</v>
      </c>
      <c r="AI137">
        <v>-0.72497115243242805</v>
      </c>
      <c r="AJ137">
        <v>9.9008156310618226E-2</v>
      </c>
      <c r="AK137">
        <v>1.046708047669614</v>
      </c>
      <c r="AL137">
        <v>0.56137896884469818</v>
      </c>
      <c r="AM137">
        <v>-0.76128086439238751</v>
      </c>
      <c r="AN137">
        <v>-0.24970699986617859</v>
      </c>
      <c r="AO137">
        <v>0.68285972161438191</v>
      </c>
      <c r="AP137">
        <v>0.3836489434039918</v>
      </c>
      <c r="AQ137">
        <v>-0.52486557418804092</v>
      </c>
    </row>
    <row r="138" spans="1:43" x14ac:dyDescent="0.3">
      <c r="A138">
        <v>964</v>
      </c>
      <c r="B138">
        <v>2025</v>
      </c>
      <c r="C138" t="s">
        <v>202</v>
      </c>
      <c r="D138">
        <v>16.333333333333329</v>
      </c>
      <c r="E138">
        <v>16.427500214553451</v>
      </c>
      <c r="F138">
        <v>-9.4166881220118626E-2</v>
      </c>
      <c r="G138">
        <v>0.84409752556950546</v>
      </c>
      <c r="H138">
        <v>1.1101123470265091</v>
      </c>
      <c r="I138">
        <v>-0.17901100003402251</v>
      </c>
      <c r="J138">
        <v>-9.9846160905987844E-2</v>
      </c>
      <c r="K138">
        <v>0.30213081591089108</v>
      </c>
      <c r="L138">
        <v>0.45391651310443781</v>
      </c>
      <c r="M138">
        <v>0.19001124250652049</v>
      </c>
      <c r="N138">
        <v>-5.4688117198563688E-2</v>
      </c>
      <c r="O138">
        <v>0.14364971161372411</v>
      </c>
      <c r="P138">
        <v>0.3314380056657269</v>
      </c>
      <c r="Q138">
        <v>-0.52486557418804092</v>
      </c>
      <c r="R138">
        <v>0.84409752556950546</v>
      </c>
      <c r="S138">
        <v>9.2569804564363469</v>
      </c>
      <c r="T138">
        <v>0.15551986573479051</v>
      </c>
      <c r="U138">
        <v>9.1014605907015564</v>
      </c>
      <c r="V138">
        <v>1.1101123470265091</v>
      </c>
      <c r="W138">
        <v>4.6758098629890217</v>
      </c>
      <c r="X138">
        <v>8.4774446653113067E-2</v>
      </c>
      <c r="Y138">
        <v>4.5910354163359086</v>
      </c>
      <c r="Z138">
        <v>-0.17901100003402251</v>
      </c>
      <c r="AA138">
        <v>9.9846160905987844E-2</v>
      </c>
      <c r="AB138">
        <v>-0.36105429762281449</v>
      </c>
      <c r="AC138">
        <v>-0.24320733419896781</v>
      </c>
      <c r="AD138">
        <v>0.54451572898629319</v>
      </c>
      <c r="AE138">
        <v>0.63991856135749803</v>
      </c>
      <c r="AF138">
        <v>0.20563251046355879</v>
      </c>
      <c r="AG138">
        <v>0.56720592742502618</v>
      </c>
      <c r="AH138">
        <v>0.32398208704797932</v>
      </c>
      <c r="AI138">
        <v>0.44224426334627093</v>
      </c>
      <c r="AJ138">
        <v>-0.75646734845175911</v>
      </c>
      <c r="AK138">
        <v>1.125166411090111</v>
      </c>
      <c r="AL138">
        <v>0.20133466488120999</v>
      </c>
      <c r="AM138">
        <v>5.4688117198563688E-2</v>
      </c>
      <c r="AN138">
        <v>0.14364971161372411</v>
      </c>
      <c r="AO138">
        <v>0.40398812572900228</v>
      </c>
      <c r="AP138">
        <v>0.25888788560245152</v>
      </c>
      <c r="AQ138">
        <v>-0.52486557418804092</v>
      </c>
    </row>
    <row r="139" spans="1:43" x14ac:dyDescent="0.3">
      <c r="A139">
        <v>968</v>
      </c>
      <c r="B139">
        <v>2025</v>
      </c>
      <c r="C139" t="s">
        <v>203</v>
      </c>
      <c r="D139">
        <v>13</v>
      </c>
      <c r="E139">
        <v>13.731877231340629</v>
      </c>
      <c r="F139">
        <v>-0.73187723134062743</v>
      </c>
      <c r="G139">
        <v>0.66236237261281783</v>
      </c>
      <c r="H139">
        <v>0.64015638648936835</v>
      </c>
      <c r="I139">
        <v>-0.52117363817782136</v>
      </c>
      <c r="J139">
        <v>-0.28325273348308821</v>
      </c>
      <c r="K139">
        <v>0.30213081591089108</v>
      </c>
      <c r="L139">
        <v>0.11779894416895539</v>
      </c>
      <c r="M139">
        <v>-0.31114476434307708</v>
      </c>
      <c r="N139">
        <v>-8.7721386490754408E-2</v>
      </c>
      <c r="O139">
        <v>-0.68979583347916362</v>
      </c>
      <c r="P139">
        <v>0.22631071407403339</v>
      </c>
      <c r="Q139">
        <v>-0.52486557418804092</v>
      </c>
      <c r="R139">
        <v>0.66236237261281783</v>
      </c>
      <c r="S139">
        <v>9.2569804564363469</v>
      </c>
      <c r="T139">
        <v>0.15551986573479051</v>
      </c>
      <c r="U139">
        <v>9.1014605907015564</v>
      </c>
      <c r="V139">
        <v>0.64015638648936835</v>
      </c>
      <c r="W139">
        <v>4.6758098629890217</v>
      </c>
      <c r="X139">
        <v>8.4774446653113067E-2</v>
      </c>
      <c r="Y139">
        <v>4.5910354163359086</v>
      </c>
      <c r="Z139">
        <v>-0.52117363817782136</v>
      </c>
      <c r="AA139">
        <v>0.28325273348308821</v>
      </c>
      <c r="AB139">
        <v>-0.36105429762281449</v>
      </c>
      <c r="AC139">
        <v>-0.24320733419896781</v>
      </c>
      <c r="AD139">
        <v>0.40706557606565857</v>
      </c>
      <c r="AE139">
        <v>0.41754898113535782</v>
      </c>
      <c r="AF139">
        <v>-0.37027316666535542</v>
      </c>
      <c r="AG139">
        <v>4.3304123910362091E-2</v>
      </c>
      <c r="AH139">
        <v>0.30107875628340891</v>
      </c>
      <c r="AI139">
        <v>-9.1930605715699845E-2</v>
      </c>
      <c r="AJ139">
        <v>-1.0522262583502731</v>
      </c>
      <c r="AK139">
        <v>0.23135157481497201</v>
      </c>
      <c r="AL139">
        <v>-0.1125596094939304</v>
      </c>
      <c r="AM139">
        <v>8.7721386490754408E-2</v>
      </c>
      <c r="AN139">
        <v>-0.68979583347916362</v>
      </c>
      <c r="AO139">
        <v>0.21494208539696491</v>
      </c>
      <c r="AP139">
        <v>0.23767934275110189</v>
      </c>
      <c r="AQ139">
        <v>-0.52486557418804092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Q139"/>
  <sheetViews>
    <sheetView workbookViewId="0">
      <selection activeCell="E1" sqref="E1"/>
    </sheetView>
  </sheetViews>
  <sheetFormatPr defaultRowHeight="14.4" x14ac:dyDescent="0.3"/>
  <sheetData>
    <row r="1" spans="1:43" x14ac:dyDescent="0.3">
      <c r="A1" t="s">
        <v>210</v>
      </c>
      <c r="B1" t="s">
        <v>211</v>
      </c>
      <c r="C1" t="s">
        <v>0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  <c r="AC1" t="s">
        <v>237</v>
      </c>
      <c r="AD1" t="s">
        <v>238</v>
      </c>
      <c r="AE1" t="s">
        <v>239</v>
      </c>
      <c r="AF1" t="s">
        <v>240</v>
      </c>
      <c r="AG1" t="s">
        <v>241</v>
      </c>
      <c r="AH1" t="s">
        <v>242</v>
      </c>
      <c r="AI1" t="s">
        <v>243</v>
      </c>
      <c r="AJ1" t="s">
        <v>244</v>
      </c>
      <c r="AK1" t="s">
        <v>245</v>
      </c>
      <c r="AL1" t="s">
        <v>246</v>
      </c>
      <c r="AM1" t="s">
        <v>247</v>
      </c>
      <c r="AN1" t="s">
        <v>248</v>
      </c>
      <c r="AO1" t="s">
        <v>249</v>
      </c>
      <c r="AP1" t="s">
        <v>250</v>
      </c>
      <c r="AQ1" t="s">
        <v>251</v>
      </c>
    </row>
    <row r="2" spans="1:43" x14ac:dyDescent="0.3">
      <c r="A2">
        <v>111</v>
      </c>
      <c r="B2">
        <v>2025</v>
      </c>
      <c r="C2" t="s">
        <v>10</v>
      </c>
      <c r="D2">
        <v>21</v>
      </c>
      <c r="E2">
        <v>18.705976997167749</v>
      </c>
      <c r="F2">
        <v>2.294023002832255</v>
      </c>
      <c r="G2">
        <v>1.7165950624219799</v>
      </c>
      <c r="H2">
        <v>2.8756599867515158</v>
      </c>
      <c r="I2">
        <v>-0.42158540574117398</v>
      </c>
      <c r="J2">
        <v>0.25658800001000043</v>
      </c>
      <c r="K2">
        <v>0.30213081591089108</v>
      </c>
      <c r="L2">
        <v>0.82855756119354007</v>
      </c>
      <c r="M2">
        <v>-0.59856352858252293</v>
      </c>
      <c r="N2">
        <v>-1.86143291838422</v>
      </c>
      <c r="O2">
        <v>-0.26667228604177462</v>
      </c>
      <c r="P2">
        <v>-2.4190324545542512</v>
      </c>
      <c r="Q2">
        <v>1.9052497423687671</v>
      </c>
      <c r="R2">
        <v>1.7165950624219799</v>
      </c>
      <c r="S2">
        <v>9.2569804564363469</v>
      </c>
      <c r="T2">
        <v>0.15551986573479051</v>
      </c>
      <c r="U2">
        <v>9.1014605907015564</v>
      </c>
      <c r="V2">
        <v>2.8756599867515158</v>
      </c>
      <c r="W2">
        <v>4.6758098629890217</v>
      </c>
      <c r="X2">
        <v>8.4774446653113067E-2</v>
      </c>
      <c r="Y2">
        <v>4.5910354163359086</v>
      </c>
      <c r="Z2">
        <v>-0.42158540574117398</v>
      </c>
      <c r="AA2">
        <v>-0.25658800001000043</v>
      </c>
      <c r="AB2">
        <v>-0.36105429762281449</v>
      </c>
      <c r="AC2">
        <v>-0.24320733419896781</v>
      </c>
      <c r="AD2">
        <v>0.81618166449696727</v>
      </c>
      <c r="AE2">
        <v>-0.15540861457515259</v>
      </c>
      <c r="AF2">
        <v>1.196381170667248</v>
      </c>
      <c r="AG2">
        <v>1.2381494972013289</v>
      </c>
      <c r="AH2">
        <v>0.91084590313541414</v>
      </c>
      <c r="AI2">
        <v>0.96519574623543503</v>
      </c>
      <c r="AJ2">
        <v>-1.47859823708382</v>
      </c>
      <c r="AK2">
        <v>8.3757450567581923E-2</v>
      </c>
      <c r="AL2">
        <v>-0.40084979923133052</v>
      </c>
      <c r="AM2">
        <v>1.86143291838422</v>
      </c>
      <c r="AN2">
        <v>-0.26667228604177462</v>
      </c>
      <c r="AO2">
        <v>-2.7395727313078782</v>
      </c>
      <c r="AP2">
        <v>-2.0984921778006238</v>
      </c>
      <c r="AQ2">
        <v>1.9052497423687671</v>
      </c>
    </row>
    <row r="3" spans="1:43" x14ac:dyDescent="0.3">
      <c r="A3">
        <v>112</v>
      </c>
      <c r="B3">
        <v>2025</v>
      </c>
      <c r="C3" t="s">
        <v>15</v>
      </c>
      <c r="D3">
        <v>19.333333333333329</v>
      </c>
      <c r="E3">
        <v>19.153396474737619</v>
      </c>
      <c r="F3">
        <v>0.17993685859571329</v>
      </c>
      <c r="G3">
        <v>1.367696449300476</v>
      </c>
      <c r="H3">
        <v>1.807989546824148</v>
      </c>
      <c r="I3">
        <v>-0.8962558410990128</v>
      </c>
      <c r="J3">
        <v>0.23216686062596961</v>
      </c>
      <c r="K3">
        <v>0.30213081591089108</v>
      </c>
      <c r="L3">
        <v>1.0991730695809541</v>
      </c>
      <c r="M3">
        <v>8.140324626645988E-2</v>
      </c>
      <c r="N3">
        <v>-1.258860523364604</v>
      </c>
      <c r="O3">
        <v>-0.12581644586588439</v>
      </c>
      <c r="P3">
        <v>-0.60432103230856904</v>
      </c>
      <c r="Q3">
        <v>1.9052497423687671</v>
      </c>
      <c r="R3">
        <v>1.367696449300476</v>
      </c>
      <c r="S3">
        <v>9.2569804564363469</v>
      </c>
      <c r="T3">
        <v>0.15551986573479051</v>
      </c>
      <c r="U3">
        <v>9.1014605907015564</v>
      </c>
      <c r="V3">
        <v>1.807989546824148</v>
      </c>
      <c r="W3">
        <v>4.6758098629890217</v>
      </c>
      <c r="X3">
        <v>8.4774446653113067E-2</v>
      </c>
      <c r="Y3">
        <v>4.5910354163359086</v>
      </c>
      <c r="Z3">
        <v>-0.8962558410990128</v>
      </c>
      <c r="AA3">
        <v>-0.23216686062596961</v>
      </c>
      <c r="AB3">
        <v>-0.36105429762281449</v>
      </c>
      <c r="AC3">
        <v>-0.24320733419896781</v>
      </c>
      <c r="AD3">
        <v>1.267547364049759</v>
      </c>
      <c r="AE3">
        <v>0.26915693062328749</v>
      </c>
      <c r="AF3">
        <v>0.99717106829337931</v>
      </c>
      <c r="AG3">
        <v>1.4217017657343669</v>
      </c>
      <c r="AH3">
        <v>1.2429961547473261</v>
      </c>
      <c r="AI3">
        <v>1.3964651340376031</v>
      </c>
      <c r="AJ3">
        <v>-0.70990574409729057</v>
      </c>
      <c r="AK3">
        <v>0.82082056181754393</v>
      </c>
      <c r="AL3">
        <v>0.1332949210791263</v>
      </c>
      <c r="AM3">
        <v>1.258860523364604</v>
      </c>
      <c r="AN3">
        <v>-0.12581644586588439</v>
      </c>
      <c r="AO3">
        <v>-0.72087482061560337</v>
      </c>
      <c r="AP3">
        <v>-0.48776724400153471</v>
      </c>
      <c r="AQ3">
        <v>1.9052497423687671</v>
      </c>
    </row>
    <row r="4" spans="1:43" x14ac:dyDescent="0.3">
      <c r="A4">
        <v>122</v>
      </c>
      <c r="B4">
        <v>2025</v>
      </c>
      <c r="C4" t="s">
        <v>18</v>
      </c>
      <c r="D4">
        <v>20.666666666666671</v>
      </c>
      <c r="E4">
        <v>18.72397204883865</v>
      </c>
      <c r="F4">
        <v>1.9426946178280211</v>
      </c>
      <c r="G4">
        <v>1.432490476724144</v>
      </c>
      <c r="H4">
        <v>0.79318469282908943</v>
      </c>
      <c r="I4">
        <v>-1.110102032451358</v>
      </c>
      <c r="J4">
        <v>0.21703720161695669</v>
      </c>
      <c r="K4">
        <v>0.30213081591089108</v>
      </c>
      <c r="L4">
        <v>1.233462943901114</v>
      </c>
      <c r="M4">
        <v>0.64367318837703735</v>
      </c>
      <c r="N4">
        <v>-0.66609531426604984</v>
      </c>
      <c r="O4">
        <v>0.44703351058615909</v>
      </c>
      <c r="P4">
        <v>-1.5483319501499531</v>
      </c>
      <c r="Q4">
        <v>1.9052497423687671</v>
      </c>
      <c r="R4">
        <v>1.432490476724144</v>
      </c>
      <c r="S4">
        <v>9.2569804564363469</v>
      </c>
      <c r="T4">
        <v>0.15551986573479051</v>
      </c>
      <c r="U4">
        <v>9.1014605907015564</v>
      </c>
      <c r="V4">
        <v>0.79318469282908943</v>
      </c>
      <c r="W4">
        <v>4.6758098629890217</v>
      </c>
      <c r="X4">
        <v>8.4774446653113067E-2</v>
      </c>
      <c r="Y4">
        <v>4.5910354163359086</v>
      </c>
      <c r="Z4">
        <v>-1.110102032451358</v>
      </c>
      <c r="AA4">
        <v>-0.21703720161695669</v>
      </c>
      <c r="AB4">
        <v>-0.36105429762281449</v>
      </c>
      <c r="AC4">
        <v>-0.24320733419896781</v>
      </c>
      <c r="AD4">
        <v>1.381950241729794</v>
      </c>
      <c r="AE4">
        <v>0.55060539699136535</v>
      </c>
      <c r="AF4">
        <v>1.372222327811224</v>
      </c>
      <c r="AG4">
        <v>1.2364995398019329</v>
      </c>
      <c r="AH4">
        <v>1.682622761288457</v>
      </c>
      <c r="AI4">
        <v>1.1768773957839109</v>
      </c>
      <c r="AJ4">
        <v>-0.46005687681308571</v>
      </c>
      <c r="AK4">
        <v>1.853896930641366</v>
      </c>
      <c r="AL4">
        <v>0.53717951130283204</v>
      </c>
      <c r="AM4">
        <v>0.66609531426604984</v>
      </c>
      <c r="AN4">
        <v>0.44703351058615909</v>
      </c>
      <c r="AO4">
        <v>-1.4399273843605369</v>
      </c>
      <c r="AP4">
        <v>-1.656736515939369</v>
      </c>
      <c r="AQ4">
        <v>1.9052497423687671</v>
      </c>
    </row>
    <row r="5" spans="1:43" x14ac:dyDescent="0.3">
      <c r="A5">
        <v>124</v>
      </c>
      <c r="B5">
        <v>2025</v>
      </c>
      <c r="C5" t="s">
        <v>20</v>
      </c>
      <c r="D5">
        <v>19</v>
      </c>
      <c r="E5">
        <v>17.541836821887738</v>
      </c>
      <c r="F5">
        <v>1.4581631781122579</v>
      </c>
      <c r="G5">
        <v>1.4165765268111901</v>
      </c>
      <c r="H5">
        <v>0.91617923755310449</v>
      </c>
      <c r="I5">
        <v>-0.80622912681388914</v>
      </c>
      <c r="J5">
        <v>0.310428980745731</v>
      </c>
      <c r="K5">
        <v>0.30213081591089108</v>
      </c>
      <c r="L5">
        <v>1.0532288020410681</v>
      </c>
      <c r="M5">
        <v>0.44382636101723238</v>
      </c>
      <c r="N5">
        <v>-1.3739074267615441</v>
      </c>
      <c r="O5">
        <v>0.1488349858183079</v>
      </c>
      <c r="P5">
        <v>-1.6896021344669809</v>
      </c>
      <c r="Q5">
        <v>1.9052497423687671</v>
      </c>
      <c r="R5">
        <v>1.4165765268111901</v>
      </c>
      <c r="S5">
        <v>9.2569804564363469</v>
      </c>
      <c r="T5">
        <v>0.15551986573479051</v>
      </c>
      <c r="U5">
        <v>9.1014605907015564</v>
      </c>
      <c r="V5">
        <v>0.91617923755310449</v>
      </c>
      <c r="W5">
        <v>4.6758098629890217</v>
      </c>
      <c r="X5">
        <v>8.4774446653113067E-2</v>
      </c>
      <c r="Y5">
        <v>4.5910354163359086</v>
      </c>
      <c r="Z5">
        <v>-0.80622912681388914</v>
      </c>
      <c r="AA5">
        <v>-0.310428980745731</v>
      </c>
      <c r="AB5">
        <v>-0.36105429762281449</v>
      </c>
      <c r="AC5">
        <v>-0.24320733419896781</v>
      </c>
      <c r="AD5">
        <v>1.482071991429702</v>
      </c>
      <c r="AE5">
        <v>0.1051943576358926</v>
      </c>
      <c r="AF5">
        <v>1.0083565740444549</v>
      </c>
      <c r="AG5">
        <v>1.112187332486857</v>
      </c>
      <c r="AH5">
        <v>1.256885874444654</v>
      </c>
      <c r="AI5">
        <v>1.3546766822048479</v>
      </c>
      <c r="AJ5">
        <v>-0.75626686791632569</v>
      </c>
      <c r="AK5">
        <v>1.676024973191744</v>
      </c>
      <c r="AL5">
        <v>0.4117209777762787</v>
      </c>
      <c r="AM5">
        <v>1.3739074267615441</v>
      </c>
      <c r="AN5">
        <v>0.1488349858183079</v>
      </c>
      <c r="AO5">
        <v>-1.5146284740371929</v>
      </c>
      <c r="AP5">
        <v>-1.8645757948967701</v>
      </c>
      <c r="AQ5">
        <v>1.9052497423687671</v>
      </c>
    </row>
    <row r="6" spans="1:43" x14ac:dyDescent="0.3">
      <c r="A6">
        <v>128</v>
      </c>
      <c r="B6">
        <v>2025</v>
      </c>
      <c r="C6" t="s">
        <v>23</v>
      </c>
      <c r="D6">
        <v>22</v>
      </c>
      <c r="E6">
        <v>23.25188328883797</v>
      </c>
      <c r="F6">
        <v>-1.2518832888379661</v>
      </c>
      <c r="G6">
        <v>1.5970640711805191</v>
      </c>
      <c r="H6">
        <v>0.68409035925290007</v>
      </c>
      <c r="I6">
        <v>-0.61622124099000086</v>
      </c>
      <c r="J6">
        <v>0.3988220579068365</v>
      </c>
      <c r="K6">
        <v>0.30213081591089108</v>
      </c>
      <c r="L6">
        <v>1.79281389083965</v>
      </c>
      <c r="M6">
        <v>1.252840211326564</v>
      </c>
      <c r="N6">
        <v>0.7895911263004971</v>
      </c>
      <c r="O6">
        <v>1.594349780785939</v>
      </c>
      <c r="P6">
        <v>0.59010082221333193</v>
      </c>
      <c r="Q6">
        <v>1.9052497423687671</v>
      </c>
      <c r="R6">
        <v>1.5970640711805191</v>
      </c>
      <c r="S6">
        <v>9.2569804564363469</v>
      </c>
      <c r="T6">
        <v>0.15551986573479051</v>
      </c>
      <c r="U6">
        <v>9.1014605907015564</v>
      </c>
      <c r="V6">
        <v>0.68409035925290007</v>
      </c>
      <c r="W6">
        <v>4.6758098629890217</v>
      </c>
      <c r="X6">
        <v>8.4774446653113067E-2</v>
      </c>
      <c r="Y6">
        <v>4.5910354163359086</v>
      </c>
      <c r="Z6">
        <v>-0.61622124099000086</v>
      </c>
      <c r="AA6">
        <v>-0.3988220579068365</v>
      </c>
      <c r="AB6">
        <v>-0.36105429762281449</v>
      </c>
      <c r="AC6">
        <v>-0.24320733419896781</v>
      </c>
      <c r="AD6">
        <v>1.916056571820252</v>
      </c>
      <c r="AE6">
        <v>0.88426567112827603</v>
      </c>
      <c r="AF6">
        <v>1.825545956006511</v>
      </c>
      <c r="AG6">
        <v>1.9067083042134541</v>
      </c>
      <c r="AH6">
        <v>2.0346627465546478</v>
      </c>
      <c r="AI6">
        <v>2.1896440953147569</v>
      </c>
      <c r="AJ6">
        <v>1.060337383781971</v>
      </c>
      <c r="AK6">
        <v>1.7624859246793161</v>
      </c>
      <c r="AL6">
        <v>0.93569732551840423</v>
      </c>
      <c r="AM6">
        <v>-0.7895911263004971</v>
      </c>
      <c r="AN6">
        <v>1.594349780785939</v>
      </c>
      <c r="AO6">
        <v>0.61125154426374895</v>
      </c>
      <c r="AP6">
        <v>0.56895010016291492</v>
      </c>
      <c r="AQ6">
        <v>1.9052497423687671</v>
      </c>
    </row>
    <row r="7" spans="1:43" x14ac:dyDescent="0.3">
      <c r="A7">
        <v>132</v>
      </c>
      <c r="B7">
        <v>2025</v>
      </c>
      <c r="C7" t="s">
        <v>26</v>
      </c>
      <c r="D7">
        <v>18.666666666666671</v>
      </c>
      <c r="E7">
        <v>17.913243227580899</v>
      </c>
      <c r="F7">
        <v>0.75342343908577192</v>
      </c>
      <c r="G7">
        <v>1.256818793854017</v>
      </c>
      <c r="H7">
        <v>1.722635742315785</v>
      </c>
      <c r="I7">
        <v>-0.9663299809766186</v>
      </c>
      <c r="J7">
        <v>0.40021482601233199</v>
      </c>
      <c r="K7">
        <v>0.30213081591089108</v>
      </c>
      <c r="L7">
        <v>0.80220623391074675</v>
      </c>
      <c r="M7">
        <v>0.44103212918608059</v>
      </c>
      <c r="N7">
        <v>-1.624032341343203</v>
      </c>
      <c r="O7">
        <v>0.13602050517805209</v>
      </c>
      <c r="P7">
        <v>-1.3696264908018529</v>
      </c>
      <c r="Q7">
        <v>1.9052497423687671</v>
      </c>
      <c r="R7">
        <v>1.256818793854017</v>
      </c>
      <c r="S7">
        <v>9.2569804564363469</v>
      </c>
      <c r="T7">
        <v>0.15551986573479051</v>
      </c>
      <c r="U7">
        <v>9.1014605907015564</v>
      </c>
      <c r="V7">
        <v>1.722635742315785</v>
      </c>
      <c r="W7">
        <v>4.6758098629890217</v>
      </c>
      <c r="X7">
        <v>8.4774446653113067E-2</v>
      </c>
      <c r="Y7">
        <v>4.5910354163359086</v>
      </c>
      <c r="Z7">
        <v>-0.9663299809766186</v>
      </c>
      <c r="AA7">
        <v>-0.40021482601233199</v>
      </c>
      <c r="AB7">
        <v>-0.36105429762281449</v>
      </c>
      <c r="AC7">
        <v>-0.24320733419896781</v>
      </c>
      <c r="AD7">
        <v>1.1017518483244959</v>
      </c>
      <c r="AE7">
        <v>-0.33139979459329838</v>
      </c>
      <c r="AF7">
        <v>1.015139564866649</v>
      </c>
      <c r="AG7">
        <v>0.99957513843350698</v>
      </c>
      <c r="AH7">
        <v>0.92903135686408489</v>
      </c>
      <c r="AI7">
        <v>1.0991392895690411</v>
      </c>
      <c r="AJ7">
        <v>-0.91194000368056649</v>
      </c>
      <c r="AK7">
        <v>1.8543919360888139</v>
      </c>
      <c r="AL7">
        <v>0.38064445514999462</v>
      </c>
      <c r="AM7">
        <v>1.624032341343203</v>
      </c>
      <c r="AN7">
        <v>0.13602050517805209</v>
      </c>
      <c r="AO7">
        <v>-1.4362936089143781</v>
      </c>
      <c r="AP7">
        <v>-1.3029593726893269</v>
      </c>
      <c r="AQ7">
        <v>1.9052497423687671</v>
      </c>
    </row>
    <row r="8" spans="1:43" x14ac:dyDescent="0.3">
      <c r="A8">
        <v>134</v>
      </c>
      <c r="B8">
        <v>2025</v>
      </c>
      <c r="C8" t="s">
        <v>28</v>
      </c>
      <c r="D8">
        <v>22</v>
      </c>
      <c r="E8">
        <v>21.331575696039561</v>
      </c>
      <c r="F8">
        <v>0.6684243039604425</v>
      </c>
      <c r="G8">
        <v>1.4103440813732611</v>
      </c>
      <c r="H8">
        <v>1.9312787783721681</v>
      </c>
      <c r="I8">
        <v>-1.1836689643477849</v>
      </c>
      <c r="J8">
        <v>0.29436444999467309</v>
      </c>
      <c r="K8">
        <v>0.30213081591089108</v>
      </c>
      <c r="L8">
        <v>1.301273441953797</v>
      </c>
      <c r="M8">
        <v>0.64163852699473622</v>
      </c>
      <c r="N8">
        <v>-0.17701400844626419</v>
      </c>
      <c r="O8">
        <v>0.87610525287169916</v>
      </c>
      <c r="P8">
        <v>-1.577591001454439</v>
      </c>
      <c r="Q8">
        <v>1.9052497423687671</v>
      </c>
      <c r="R8">
        <v>1.4103440813732611</v>
      </c>
      <c r="S8">
        <v>9.2569804564363469</v>
      </c>
      <c r="T8">
        <v>0.15551986573479051</v>
      </c>
      <c r="U8">
        <v>9.1014605907015564</v>
      </c>
      <c r="V8">
        <v>1.9312787783721681</v>
      </c>
      <c r="W8">
        <v>4.6758098629890217</v>
      </c>
      <c r="X8">
        <v>8.4774446653113067E-2</v>
      </c>
      <c r="Y8">
        <v>4.5910354163359086</v>
      </c>
      <c r="Z8">
        <v>-1.1836689643477849</v>
      </c>
      <c r="AA8">
        <v>-0.29436444999467309</v>
      </c>
      <c r="AB8">
        <v>-0.36105429762281449</v>
      </c>
      <c r="AC8">
        <v>-0.24320733419896781</v>
      </c>
      <c r="AD8">
        <v>1.592211699258091</v>
      </c>
      <c r="AE8">
        <v>0.108580562136146</v>
      </c>
      <c r="AF8">
        <v>1.4083937272837781</v>
      </c>
      <c r="AG8">
        <v>1.4064671205385471</v>
      </c>
      <c r="AH8">
        <v>1.626615444517453</v>
      </c>
      <c r="AI8">
        <v>1.6653720979887709</v>
      </c>
      <c r="AJ8">
        <v>-0.18840575130046969</v>
      </c>
      <c r="AK8">
        <v>1.5277708416810909</v>
      </c>
      <c r="AL8">
        <v>0.58555049060358766</v>
      </c>
      <c r="AM8">
        <v>0.17701400844626419</v>
      </c>
      <c r="AN8">
        <v>0.87610525287169916</v>
      </c>
      <c r="AO8">
        <v>-1.6273499483899061</v>
      </c>
      <c r="AP8">
        <v>-1.527832054518973</v>
      </c>
      <c r="AQ8">
        <v>1.9052497423687671</v>
      </c>
    </row>
    <row r="9" spans="1:43" x14ac:dyDescent="0.3">
      <c r="A9">
        <v>136</v>
      </c>
      <c r="B9">
        <v>2025</v>
      </c>
      <c r="C9" t="s">
        <v>30</v>
      </c>
      <c r="D9">
        <v>14.33333333333333</v>
      </c>
      <c r="E9">
        <v>16.57560540753866</v>
      </c>
      <c r="F9">
        <v>-2.2422720742053301</v>
      </c>
      <c r="G9">
        <v>1.1604992405406229</v>
      </c>
      <c r="H9">
        <v>1.577122043989845</v>
      </c>
      <c r="I9">
        <v>-0.98348832176907919</v>
      </c>
      <c r="J9">
        <v>0.34765213929123429</v>
      </c>
      <c r="K9">
        <v>0.30213081591089108</v>
      </c>
      <c r="L9">
        <v>0.54514429009264853</v>
      </c>
      <c r="M9">
        <v>0.27018450934420712</v>
      </c>
      <c r="N9">
        <v>-2.1889040244793021</v>
      </c>
      <c r="O9">
        <v>0.35605199112617902</v>
      </c>
      <c r="P9">
        <v>-0.86851649014422616</v>
      </c>
      <c r="Q9">
        <v>1.9052497423687671</v>
      </c>
      <c r="R9">
        <v>1.1604992405406229</v>
      </c>
      <c r="S9">
        <v>9.2569804564363469</v>
      </c>
      <c r="T9">
        <v>0.15551986573479051</v>
      </c>
      <c r="U9">
        <v>9.1014605907015564</v>
      </c>
      <c r="V9">
        <v>1.577122043989845</v>
      </c>
      <c r="W9">
        <v>4.6758098629890217</v>
      </c>
      <c r="X9">
        <v>8.4774446653113067E-2</v>
      </c>
      <c r="Y9">
        <v>4.5910354163359086</v>
      </c>
      <c r="Z9">
        <v>-0.98348832176907919</v>
      </c>
      <c r="AA9">
        <v>-0.34765213929123429</v>
      </c>
      <c r="AB9">
        <v>-0.36105429762281449</v>
      </c>
      <c r="AC9">
        <v>-0.24320733419896781</v>
      </c>
      <c r="AD9">
        <v>1.013018556198592</v>
      </c>
      <c r="AE9">
        <v>0.33052135794753162</v>
      </c>
      <c r="AF9">
        <v>0.55040967933170881</v>
      </c>
      <c r="AG9">
        <v>0.41451203827670929</v>
      </c>
      <c r="AH9">
        <v>0.541546445453707</v>
      </c>
      <c r="AI9">
        <v>0.42085766334764219</v>
      </c>
      <c r="AJ9">
        <v>-0.63886045435298555</v>
      </c>
      <c r="AK9">
        <v>1.483055349594961</v>
      </c>
      <c r="AL9">
        <v>-3.3641367209354497E-2</v>
      </c>
      <c r="AM9">
        <v>2.1889040244793021</v>
      </c>
      <c r="AN9">
        <v>0.35605199112617902</v>
      </c>
      <c r="AO9">
        <v>-0.94360280645723249</v>
      </c>
      <c r="AP9">
        <v>-0.79343017383121983</v>
      </c>
      <c r="AQ9">
        <v>1.9052497423687671</v>
      </c>
    </row>
    <row r="10" spans="1:43" x14ac:dyDescent="0.3">
      <c r="A10">
        <v>137</v>
      </c>
      <c r="B10">
        <v>2025</v>
      </c>
      <c r="C10" t="s">
        <v>33</v>
      </c>
      <c r="D10">
        <v>22</v>
      </c>
      <c r="E10">
        <v>21.067220234557809</v>
      </c>
      <c r="F10">
        <v>0.93277976544219499</v>
      </c>
      <c r="G10">
        <v>2.092592347243929</v>
      </c>
      <c r="H10">
        <v>-0.1086398365514093</v>
      </c>
      <c r="I10">
        <v>-0.72043742285158663</v>
      </c>
      <c r="J10">
        <v>0.3764232941280457</v>
      </c>
      <c r="K10">
        <v>0.30213081591089108</v>
      </c>
      <c r="L10">
        <v>1.72860949703705</v>
      </c>
      <c r="M10">
        <v>0.8932279742465955</v>
      </c>
      <c r="N10">
        <v>0.85926937641388179</v>
      </c>
      <c r="O10">
        <v>1.3704519681865139</v>
      </c>
      <c r="P10">
        <v>-1.5490967820568391</v>
      </c>
      <c r="Q10">
        <v>1.9052497423687671</v>
      </c>
      <c r="R10">
        <v>2.092592347243929</v>
      </c>
      <c r="S10">
        <v>9.2569804564363469</v>
      </c>
      <c r="T10">
        <v>0.15551986573479051</v>
      </c>
      <c r="U10">
        <v>9.1014605907015564</v>
      </c>
      <c r="V10">
        <v>-0.1086398365514093</v>
      </c>
      <c r="W10">
        <v>4.6758098629890217</v>
      </c>
      <c r="X10">
        <v>8.4774446653113067E-2</v>
      </c>
      <c r="Y10">
        <v>4.5910354163359086</v>
      </c>
      <c r="Z10">
        <v>-0.72043742285158663</v>
      </c>
      <c r="AA10">
        <v>-0.3764232941280457</v>
      </c>
      <c r="AB10">
        <v>-0.36105429762281449</v>
      </c>
      <c r="AC10">
        <v>-0.24320733419896781</v>
      </c>
      <c r="AD10">
        <v>1.665511596354128</v>
      </c>
      <c r="AE10">
        <v>1.250294642796216</v>
      </c>
      <c r="AF10">
        <v>1.969848083353684</v>
      </c>
      <c r="AG10">
        <v>1.8002715989268669</v>
      </c>
      <c r="AH10">
        <v>1.773202921686367</v>
      </c>
      <c r="AI10">
        <v>1.9125281391050399</v>
      </c>
      <c r="AJ10">
        <v>0.37624767674844761</v>
      </c>
      <c r="AK10">
        <v>1.496337995768148</v>
      </c>
      <c r="AL10">
        <v>0.80709825022319159</v>
      </c>
      <c r="AM10">
        <v>-0.85926937641388179</v>
      </c>
      <c r="AN10">
        <v>1.3704519681865139</v>
      </c>
      <c r="AO10">
        <v>-2.444968092214483</v>
      </c>
      <c r="AP10">
        <v>-0.65322547189919489</v>
      </c>
      <c r="AQ10">
        <v>1.9052497423687671</v>
      </c>
    </row>
    <row r="11" spans="1:43" x14ac:dyDescent="0.3">
      <c r="A11">
        <v>138</v>
      </c>
      <c r="B11">
        <v>2025</v>
      </c>
      <c r="C11" t="s">
        <v>36</v>
      </c>
      <c r="D11">
        <v>22</v>
      </c>
      <c r="E11">
        <v>21.456200315069971</v>
      </c>
      <c r="F11">
        <v>0.54379968493002906</v>
      </c>
      <c r="G11">
        <v>1.562415458805577</v>
      </c>
      <c r="H11">
        <v>1.234991015446546</v>
      </c>
      <c r="I11">
        <v>-0.76553809979461895</v>
      </c>
      <c r="J11">
        <v>0.22810303040034571</v>
      </c>
      <c r="K11">
        <v>0.30213081591089108</v>
      </c>
      <c r="L11">
        <v>1.4922353840535569</v>
      </c>
      <c r="M11">
        <v>0.64221512184458163</v>
      </c>
      <c r="N11">
        <v>0.38930235930143597</v>
      </c>
      <c r="O11">
        <v>1.336211055234549</v>
      </c>
      <c r="P11">
        <v>-1.997132701387619</v>
      </c>
      <c r="Q11">
        <v>1.9052497423687671</v>
      </c>
      <c r="R11">
        <v>1.562415458805577</v>
      </c>
      <c r="S11">
        <v>9.2569804564363469</v>
      </c>
      <c r="T11">
        <v>0.15551986573479051</v>
      </c>
      <c r="U11">
        <v>9.1014605907015564</v>
      </c>
      <c r="V11">
        <v>1.234991015446546</v>
      </c>
      <c r="W11">
        <v>4.6758098629890217</v>
      </c>
      <c r="X11">
        <v>8.4774446653113067E-2</v>
      </c>
      <c r="Y11">
        <v>4.5910354163359086</v>
      </c>
      <c r="Z11">
        <v>-0.76553809979461895</v>
      </c>
      <c r="AA11">
        <v>-0.22810303040034571</v>
      </c>
      <c r="AB11">
        <v>-0.36105429762281449</v>
      </c>
      <c r="AC11">
        <v>-0.24320733419896781</v>
      </c>
      <c r="AD11">
        <v>1.6527831918700071</v>
      </c>
      <c r="AE11">
        <v>0.47421965098316132</v>
      </c>
      <c r="AF11">
        <v>1.642456409072673</v>
      </c>
      <c r="AG11">
        <v>1.6651936219230929</v>
      </c>
      <c r="AH11">
        <v>1.714080254513713</v>
      </c>
      <c r="AI11">
        <v>1.8046791759586951</v>
      </c>
      <c r="AJ11">
        <v>0.14860202876352099</v>
      </c>
      <c r="AK11">
        <v>1.1398515726977321</v>
      </c>
      <c r="AL11">
        <v>0.63819176407249167</v>
      </c>
      <c r="AM11">
        <v>-0.38930235930143597</v>
      </c>
      <c r="AN11">
        <v>1.336211055234549</v>
      </c>
      <c r="AO11">
        <v>-1.843331763973115</v>
      </c>
      <c r="AP11">
        <v>-2.150933638802123</v>
      </c>
      <c r="AQ11">
        <v>1.9052497423687671</v>
      </c>
    </row>
    <row r="12" spans="1:43" x14ac:dyDescent="0.3">
      <c r="A12">
        <v>142</v>
      </c>
      <c r="B12">
        <v>2025</v>
      </c>
      <c r="C12" t="s">
        <v>38</v>
      </c>
      <c r="D12">
        <v>22</v>
      </c>
      <c r="E12">
        <v>23.741085147534619</v>
      </c>
      <c r="F12">
        <v>-1.741085147534619</v>
      </c>
      <c r="G12">
        <v>1.7357667543525661</v>
      </c>
      <c r="H12">
        <v>0.74560497178442164</v>
      </c>
      <c r="I12">
        <v>-0.74440670808074905</v>
      </c>
      <c r="J12">
        <v>0.31888098445442298</v>
      </c>
      <c r="K12">
        <v>0.30213081591089108</v>
      </c>
      <c r="L12">
        <v>1.697291123218519</v>
      </c>
      <c r="M12">
        <v>2.4858291920612912</v>
      </c>
      <c r="N12">
        <v>0.42589177532987599</v>
      </c>
      <c r="O12">
        <v>2.1992682659845371</v>
      </c>
      <c r="P12">
        <v>0.43941714374601282</v>
      </c>
      <c r="Q12">
        <v>1.9052497423687671</v>
      </c>
      <c r="R12">
        <v>1.7357667543525661</v>
      </c>
      <c r="S12">
        <v>9.2569804564363469</v>
      </c>
      <c r="T12">
        <v>0.15551986573479051</v>
      </c>
      <c r="U12">
        <v>9.1014605907015564</v>
      </c>
      <c r="V12">
        <v>0.74560497178442164</v>
      </c>
      <c r="W12">
        <v>4.6758098629890217</v>
      </c>
      <c r="X12">
        <v>8.4774446653113067E-2</v>
      </c>
      <c r="Y12">
        <v>4.5910354163359086</v>
      </c>
      <c r="Z12">
        <v>-0.74440670808074905</v>
      </c>
      <c r="AA12">
        <v>-0.31888098445442298</v>
      </c>
      <c r="AB12">
        <v>-0.36105429762281449</v>
      </c>
      <c r="AC12">
        <v>-0.24320733419896781</v>
      </c>
      <c r="AD12">
        <v>1.953684201501384</v>
      </c>
      <c r="AE12">
        <v>1.0459816045271939</v>
      </c>
      <c r="AF12">
        <v>1.7460731083293339</v>
      </c>
      <c r="AG12">
        <v>1.605793999302807</v>
      </c>
      <c r="AH12">
        <v>1.9755249877191481</v>
      </c>
      <c r="AI12">
        <v>1.8566888379312421</v>
      </c>
      <c r="AJ12">
        <v>3.5203337938207562</v>
      </c>
      <c r="AK12">
        <v>2.6624058281396459</v>
      </c>
      <c r="AL12">
        <v>1.274747954223471</v>
      </c>
      <c r="AM12">
        <v>-0.42589177532987599</v>
      </c>
      <c r="AN12">
        <v>2.1992682659845371</v>
      </c>
      <c r="AO12">
        <v>0.29566163516653982</v>
      </c>
      <c r="AP12">
        <v>0.58317265232548587</v>
      </c>
      <c r="AQ12">
        <v>1.9052497423687671</v>
      </c>
    </row>
    <row r="13" spans="1:43" x14ac:dyDescent="0.3">
      <c r="A13">
        <v>144</v>
      </c>
      <c r="B13">
        <v>2025</v>
      </c>
      <c r="C13" t="s">
        <v>40</v>
      </c>
      <c r="D13">
        <v>22</v>
      </c>
      <c r="E13">
        <v>21.812877017464668</v>
      </c>
      <c r="F13">
        <v>0.18712298253532819</v>
      </c>
      <c r="G13">
        <v>1.4366997628963041</v>
      </c>
      <c r="H13">
        <v>0.87478822771254039</v>
      </c>
      <c r="I13">
        <v>-0.83526296047034265</v>
      </c>
      <c r="J13">
        <v>0.33904750346139217</v>
      </c>
      <c r="K13">
        <v>0.30213081591089108</v>
      </c>
      <c r="L13">
        <v>1.5488989226393679</v>
      </c>
      <c r="M13">
        <v>0.90008008013166207</v>
      </c>
      <c r="N13">
        <v>0.66362574112741679</v>
      </c>
      <c r="O13">
        <v>0.90772120157545844</v>
      </c>
      <c r="P13">
        <v>-0.2226619960842762</v>
      </c>
      <c r="Q13">
        <v>1.9052497423687671</v>
      </c>
      <c r="R13">
        <v>1.4366997628963041</v>
      </c>
      <c r="S13">
        <v>9.2569804564363469</v>
      </c>
      <c r="T13">
        <v>0.15551986573479051</v>
      </c>
      <c r="U13">
        <v>9.1014605907015564</v>
      </c>
      <c r="V13">
        <v>0.87478822771254039</v>
      </c>
      <c r="W13">
        <v>4.6758098629890217</v>
      </c>
      <c r="X13">
        <v>8.4774446653113067E-2</v>
      </c>
      <c r="Y13">
        <v>4.5910354163359086</v>
      </c>
      <c r="Z13">
        <v>-0.83526296047034265</v>
      </c>
      <c r="AA13">
        <v>-0.33904750346139217</v>
      </c>
      <c r="AB13">
        <v>-0.36105429762281449</v>
      </c>
      <c r="AC13">
        <v>-0.24320733419896781</v>
      </c>
      <c r="AD13">
        <v>1.7336721205294441</v>
      </c>
      <c r="AE13">
        <v>0.68527621804373251</v>
      </c>
      <c r="AF13">
        <v>1.668284344936144</v>
      </c>
      <c r="AG13">
        <v>1.6073433636442149</v>
      </c>
      <c r="AH13">
        <v>1.735401540186468</v>
      </c>
      <c r="AI13">
        <v>1.863415948496207</v>
      </c>
      <c r="AJ13">
        <v>0.41148213085091417</v>
      </c>
      <c r="AK13">
        <v>1.505990601993382</v>
      </c>
      <c r="AL13">
        <v>0.78276750755069024</v>
      </c>
      <c r="AM13">
        <v>-0.66362574112741679</v>
      </c>
      <c r="AN13">
        <v>0.90772120157545844</v>
      </c>
      <c r="AO13">
        <v>-0.2263228657166344</v>
      </c>
      <c r="AP13">
        <v>-0.2190011264519181</v>
      </c>
      <c r="AQ13">
        <v>1.9052497423687671</v>
      </c>
    </row>
    <row r="14" spans="1:43" x14ac:dyDescent="0.3">
      <c r="A14">
        <v>146</v>
      </c>
      <c r="B14">
        <v>2025</v>
      </c>
      <c r="C14" t="s">
        <v>42</v>
      </c>
      <c r="D14">
        <v>22</v>
      </c>
      <c r="E14">
        <v>23.173670729623371</v>
      </c>
      <c r="F14">
        <v>-1.173670729623371</v>
      </c>
      <c r="G14">
        <v>1.879989898971651</v>
      </c>
      <c r="H14">
        <v>1.091222351725927</v>
      </c>
      <c r="I14">
        <v>-0.75540900294003677</v>
      </c>
      <c r="J14">
        <v>0.71641134399010042</v>
      </c>
      <c r="K14">
        <v>0.30213081591089108</v>
      </c>
      <c r="L14">
        <v>1.6539223494989359</v>
      </c>
      <c r="M14">
        <v>0.53340850818335039</v>
      </c>
      <c r="N14">
        <v>0.58819653496400393</v>
      </c>
      <c r="O14">
        <v>1.0639906249230791</v>
      </c>
      <c r="P14">
        <v>1.412511382119209</v>
      </c>
      <c r="Q14">
        <v>1.9052497423687671</v>
      </c>
      <c r="R14">
        <v>1.879989898971651</v>
      </c>
      <c r="S14">
        <v>9.2569804564363469</v>
      </c>
      <c r="T14">
        <v>0.15551986573479051</v>
      </c>
      <c r="U14">
        <v>9.1014605907015564</v>
      </c>
      <c r="V14">
        <v>1.091222351725927</v>
      </c>
      <c r="W14">
        <v>4.6758098629890217</v>
      </c>
      <c r="X14">
        <v>8.4774446653113067E-2</v>
      </c>
      <c r="Y14">
        <v>4.5910354163359086</v>
      </c>
      <c r="Z14">
        <v>-0.75540900294003677</v>
      </c>
      <c r="AA14">
        <v>-0.71641134399010042</v>
      </c>
      <c r="AB14">
        <v>-0.36105429762281449</v>
      </c>
      <c r="AC14">
        <v>-0.24320733419896781</v>
      </c>
      <c r="AD14">
        <v>1.6403166662608279</v>
      </c>
      <c r="AE14">
        <v>1.139123888440881</v>
      </c>
      <c r="AF14">
        <v>1.742929105034297</v>
      </c>
      <c r="AG14">
        <v>1.722114261597125</v>
      </c>
      <c r="AH14">
        <v>1.775233828314986</v>
      </c>
      <c r="AI14">
        <v>1.903816347345499</v>
      </c>
      <c r="AJ14">
        <v>0.6114364048790657</v>
      </c>
      <c r="AK14">
        <v>0.2416641883034705</v>
      </c>
      <c r="AL14">
        <v>0.74712493136751501</v>
      </c>
      <c r="AM14">
        <v>-0.58819653496400393</v>
      </c>
      <c r="AN14">
        <v>1.0639906249230791</v>
      </c>
      <c r="AO14">
        <v>1.371568611807138</v>
      </c>
      <c r="AP14">
        <v>1.4534541524312801</v>
      </c>
      <c r="AQ14">
        <v>1.9052497423687671</v>
      </c>
    </row>
    <row r="15" spans="1:43" x14ac:dyDescent="0.3">
      <c r="A15">
        <v>156</v>
      </c>
      <c r="B15">
        <v>2025</v>
      </c>
      <c r="C15" t="s">
        <v>43</v>
      </c>
      <c r="D15">
        <v>21.666666666666671</v>
      </c>
      <c r="E15">
        <v>19.59369365251289</v>
      </c>
      <c r="F15">
        <v>2.0729730141537779</v>
      </c>
      <c r="G15">
        <v>1.3441430307488831</v>
      </c>
      <c r="H15">
        <v>1.520826590805225</v>
      </c>
      <c r="I15">
        <v>-0.69642447772218907</v>
      </c>
      <c r="J15">
        <v>0.36940221655513678</v>
      </c>
      <c r="K15">
        <v>0.30213081591089108</v>
      </c>
      <c r="L15">
        <v>1.3396778496451791</v>
      </c>
      <c r="M15">
        <v>0.58299324022054611</v>
      </c>
      <c r="N15">
        <v>-1.5526871474472019</v>
      </c>
      <c r="O15">
        <v>7.9771271287927922E-2</v>
      </c>
      <c r="P15">
        <v>-0.50762598733135256</v>
      </c>
      <c r="Q15">
        <v>1.9052497423687671</v>
      </c>
      <c r="R15">
        <v>1.3441430307488831</v>
      </c>
      <c r="S15">
        <v>9.2569804564363469</v>
      </c>
      <c r="T15">
        <v>0.15551986573479051</v>
      </c>
      <c r="U15">
        <v>9.1014605907015564</v>
      </c>
      <c r="V15">
        <v>1.520826590805225</v>
      </c>
      <c r="W15">
        <v>4.6758098629890217</v>
      </c>
      <c r="X15">
        <v>8.4774446653113067E-2</v>
      </c>
      <c r="Y15">
        <v>4.5910354163359086</v>
      </c>
      <c r="Z15">
        <v>-0.69642447772218907</v>
      </c>
      <c r="AA15">
        <v>-0.36940221655513678</v>
      </c>
      <c r="AB15">
        <v>-0.36105429762281449</v>
      </c>
      <c r="AC15">
        <v>-0.24320733419896781</v>
      </c>
      <c r="AD15">
        <v>1.489044516475011</v>
      </c>
      <c r="AE15">
        <v>0.67921739087288102</v>
      </c>
      <c r="AF15">
        <v>1.6505673231106861</v>
      </c>
      <c r="AG15">
        <v>1.249391638612908</v>
      </c>
      <c r="AH15">
        <v>1.4487990050177999</v>
      </c>
      <c r="AI15">
        <v>1.5210472237817909</v>
      </c>
      <c r="AJ15">
        <v>-1.9275359595244079E-2</v>
      </c>
      <c r="AK15">
        <v>1.0759958699769501</v>
      </c>
      <c r="AL15">
        <v>0.6922592102799322</v>
      </c>
      <c r="AM15">
        <v>1.5526871474472019</v>
      </c>
      <c r="AN15">
        <v>7.9771271287927922E-2</v>
      </c>
      <c r="AO15">
        <v>-0.61292127153773457</v>
      </c>
      <c r="AP15">
        <v>-0.40233070312497049</v>
      </c>
      <c r="AQ15">
        <v>1.9052497423687671</v>
      </c>
    </row>
    <row r="16" spans="1:43" x14ac:dyDescent="0.3">
      <c r="A16">
        <v>158</v>
      </c>
      <c r="B16">
        <v>2025</v>
      </c>
      <c r="C16" t="s">
        <v>46</v>
      </c>
      <c r="D16">
        <v>17.666666666666671</v>
      </c>
      <c r="E16">
        <v>18.45310204113985</v>
      </c>
      <c r="F16">
        <v>-0.78643537447317868</v>
      </c>
      <c r="G16">
        <v>0.99466003825239113</v>
      </c>
      <c r="H16">
        <v>1.8486891153654299</v>
      </c>
      <c r="I16">
        <v>-1.2168941484268241</v>
      </c>
      <c r="J16">
        <v>0.50396651036417561</v>
      </c>
      <c r="K16">
        <v>0.30213081591089108</v>
      </c>
      <c r="L16">
        <v>1.3951450814669999</v>
      </c>
      <c r="M16">
        <v>0.35271606052388299</v>
      </c>
      <c r="N16">
        <v>-4.0756560151033927</v>
      </c>
      <c r="O16">
        <v>0.660379742759299</v>
      </c>
      <c r="P16">
        <v>0.87541015224878305</v>
      </c>
      <c r="Q16">
        <v>1.9052497423687671</v>
      </c>
      <c r="R16">
        <v>0.99466003825239113</v>
      </c>
      <c r="S16">
        <v>9.2569804564363469</v>
      </c>
      <c r="T16">
        <v>0.15551986573479051</v>
      </c>
      <c r="U16">
        <v>9.1014605907015564</v>
      </c>
      <c r="V16">
        <v>1.8486891153654299</v>
      </c>
      <c r="W16">
        <v>4.6758098629890217</v>
      </c>
      <c r="X16">
        <v>8.4774446653113067E-2</v>
      </c>
      <c r="Y16">
        <v>4.5910354163359086</v>
      </c>
      <c r="Z16">
        <v>-1.2168941484268241</v>
      </c>
      <c r="AA16">
        <v>-0.50396651036417561</v>
      </c>
      <c r="AB16">
        <v>-0.36105429762281449</v>
      </c>
      <c r="AC16">
        <v>-0.24320733419896781</v>
      </c>
      <c r="AD16">
        <v>1.0662443463684079</v>
      </c>
      <c r="AE16">
        <v>1.3240234095803409</v>
      </c>
      <c r="AF16">
        <v>2.0246900604827651</v>
      </c>
      <c r="AG16">
        <v>1.211724741485992</v>
      </c>
      <c r="AH16">
        <v>1.5035008929526781</v>
      </c>
      <c r="AI16">
        <v>1.2406870379318129</v>
      </c>
      <c r="AJ16">
        <v>-0.27040229029283858</v>
      </c>
      <c r="AK16">
        <v>0.65829377323880822</v>
      </c>
      <c r="AL16">
        <v>0.67025669862567949</v>
      </c>
      <c r="AM16">
        <v>4.0756560151033927</v>
      </c>
      <c r="AN16">
        <v>0.660379742759299</v>
      </c>
      <c r="AO16">
        <v>0.69391704936037679</v>
      </c>
      <c r="AP16">
        <v>1.0569032551371891</v>
      </c>
      <c r="AQ16">
        <v>1.9052497423687671</v>
      </c>
    </row>
    <row r="17" spans="1:43" x14ac:dyDescent="0.3">
      <c r="A17">
        <v>172</v>
      </c>
      <c r="B17">
        <v>2025</v>
      </c>
      <c r="C17" t="s">
        <v>48</v>
      </c>
      <c r="D17">
        <v>20.666666666666671</v>
      </c>
      <c r="E17">
        <v>19.92351730451686</v>
      </c>
      <c r="F17">
        <v>0.74314936214981131</v>
      </c>
      <c r="G17">
        <v>1.3599017362913199</v>
      </c>
      <c r="H17">
        <v>0.4864384445788999</v>
      </c>
      <c r="I17">
        <v>-1.135817713689931</v>
      </c>
      <c r="J17">
        <v>0.41023130896281351</v>
      </c>
      <c r="K17">
        <v>0.30213081591089108</v>
      </c>
      <c r="L17">
        <v>1.773061090225561</v>
      </c>
      <c r="M17">
        <v>0.82214837005172559</v>
      </c>
      <c r="N17">
        <v>-0.79831173862394345</v>
      </c>
      <c r="O17">
        <v>0.15488662753338331</v>
      </c>
      <c r="P17">
        <v>-0.67733620876059564</v>
      </c>
      <c r="Q17">
        <v>1.9052497423687671</v>
      </c>
      <c r="R17">
        <v>1.3599017362913199</v>
      </c>
      <c r="S17">
        <v>9.2569804564363469</v>
      </c>
      <c r="T17">
        <v>0.15551986573479051</v>
      </c>
      <c r="U17">
        <v>9.1014605907015564</v>
      </c>
      <c r="V17">
        <v>0.4864384445788999</v>
      </c>
      <c r="W17">
        <v>4.6758098629890217</v>
      </c>
      <c r="X17">
        <v>8.4774446653113067E-2</v>
      </c>
      <c r="Y17">
        <v>4.5910354163359086</v>
      </c>
      <c r="Z17">
        <v>-1.135817713689931</v>
      </c>
      <c r="AA17">
        <v>-0.41023130896281351</v>
      </c>
      <c r="AB17">
        <v>-0.36105429762281449</v>
      </c>
      <c r="AC17">
        <v>-0.24320733419896781</v>
      </c>
      <c r="AD17">
        <v>1.87090101564654</v>
      </c>
      <c r="AE17">
        <v>0.96091133901709658</v>
      </c>
      <c r="AF17">
        <v>1.7166061849387071</v>
      </c>
      <c r="AG17">
        <v>1.9446480744631851</v>
      </c>
      <c r="AH17">
        <v>2.0529409062122261</v>
      </c>
      <c r="AI17">
        <v>2.0923590210756138</v>
      </c>
      <c r="AJ17">
        <v>-0.24536728343055969</v>
      </c>
      <c r="AK17">
        <v>2.0069361148106828</v>
      </c>
      <c r="AL17">
        <v>0.7048762787750531</v>
      </c>
      <c r="AM17">
        <v>0.79831173862394345</v>
      </c>
      <c r="AN17">
        <v>0.15488662753338331</v>
      </c>
      <c r="AO17">
        <v>-0.75506871208429638</v>
      </c>
      <c r="AP17">
        <v>-0.59960370543689501</v>
      </c>
      <c r="AQ17">
        <v>1.9052497423687671</v>
      </c>
    </row>
    <row r="18" spans="1:43" x14ac:dyDescent="0.3">
      <c r="A18">
        <v>174</v>
      </c>
      <c r="B18">
        <v>2025</v>
      </c>
      <c r="C18" t="s">
        <v>50</v>
      </c>
      <c r="D18">
        <v>13.33333333333333</v>
      </c>
      <c r="E18">
        <v>13.083407784304139</v>
      </c>
      <c r="F18">
        <v>0.2499255490291947</v>
      </c>
      <c r="G18">
        <v>0.80811271124992112</v>
      </c>
      <c r="H18">
        <v>0.42917027419242021</v>
      </c>
      <c r="I18">
        <v>-0.5974474838888354</v>
      </c>
      <c r="J18">
        <v>0.35177320656228961</v>
      </c>
      <c r="K18">
        <v>0.30213081591089108</v>
      </c>
      <c r="L18">
        <v>0.21362142657096739</v>
      </c>
      <c r="M18">
        <v>0.60423147189824389</v>
      </c>
      <c r="N18">
        <v>-2.462671758377744</v>
      </c>
      <c r="O18">
        <v>-0.59977119753823394</v>
      </c>
      <c r="P18">
        <v>-1.2106902759156331</v>
      </c>
      <c r="Q18">
        <v>1.9052497423687671</v>
      </c>
      <c r="R18">
        <v>0.80811271124992112</v>
      </c>
      <c r="S18">
        <v>9.2569804564363469</v>
      </c>
      <c r="T18">
        <v>0.15551986573479051</v>
      </c>
      <c r="U18">
        <v>9.1014605907015564</v>
      </c>
      <c r="V18">
        <v>0.42917027419242021</v>
      </c>
      <c r="W18">
        <v>4.6758098629890217</v>
      </c>
      <c r="X18">
        <v>8.4774446653113067E-2</v>
      </c>
      <c r="Y18">
        <v>4.5910354163359086</v>
      </c>
      <c r="Z18">
        <v>-0.5974474838888354</v>
      </c>
      <c r="AA18">
        <v>-0.35177320656228961</v>
      </c>
      <c r="AB18">
        <v>-0.36105429762281449</v>
      </c>
      <c r="AC18">
        <v>-0.24320733419896781</v>
      </c>
      <c r="AD18">
        <v>0.70149726702637083</v>
      </c>
      <c r="AE18">
        <v>0.12681480406661511</v>
      </c>
      <c r="AF18">
        <v>-0.13348329365798731</v>
      </c>
      <c r="AG18">
        <v>0.22893981488961079</v>
      </c>
      <c r="AH18">
        <v>0.1956218175676428</v>
      </c>
      <c r="AI18">
        <v>0.16233814953355191</v>
      </c>
      <c r="AJ18">
        <v>-1.103059757553468E-2</v>
      </c>
      <c r="AK18">
        <v>1.6841100621667271</v>
      </c>
      <c r="AL18">
        <v>0.13961495110353919</v>
      </c>
      <c r="AM18">
        <v>2.462671758377744</v>
      </c>
      <c r="AN18">
        <v>-0.59977119753823394</v>
      </c>
      <c r="AO18">
        <v>-1.164983621678966</v>
      </c>
      <c r="AP18">
        <v>-1.256396930152299</v>
      </c>
      <c r="AQ18">
        <v>1.9052497423687671</v>
      </c>
    </row>
    <row r="19" spans="1:43" x14ac:dyDescent="0.3">
      <c r="A19">
        <v>176</v>
      </c>
      <c r="B19">
        <v>2025</v>
      </c>
      <c r="C19" t="s">
        <v>52</v>
      </c>
      <c r="D19">
        <v>17.666666666666671</v>
      </c>
      <c r="E19">
        <v>17.487681244544088</v>
      </c>
      <c r="F19">
        <v>0.17898542212257951</v>
      </c>
      <c r="G19">
        <v>1.7859954459810099</v>
      </c>
      <c r="H19">
        <v>-0.61172632171221764</v>
      </c>
      <c r="I19">
        <v>-0.41599693851105968</v>
      </c>
      <c r="J19">
        <v>2.8078635633017889E-2</v>
      </c>
      <c r="K19">
        <v>0.30213081591089108</v>
      </c>
      <c r="L19">
        <v>1.482979284085165</v>
      </c>
      <c r="M19">
        <v>0.46083822183074702</v>
      </c>
      <c r="N19">
        <v>0.29525894756546839</v>
      </c>
      <c r="O19">
        <v>6.2198234769151213E-2</v>
      </c>
      <c r="P19">
        <v>0.37168948070493318</v>
      </c>
      <c r="Q19">
        <v>-0.52486557418804092</v>
      </c>
      <c r="R19">
        <v>1.7859954459810099</v>
      </c>
      <c r="S19">
        <v>9.2569804564363469</v>
      </c>
      <c r="T19">
        <v>0.15551986573479051</v>
      </c>
      <c r="U19">
        <v>9.1014605907015564</v>
      </c>
      <c r="V19">
        <v>-0.61172632171221764</v>
      </c>
      <c r="W19">
        <v>4.6758098629890217</v>
      </c>
      <c r="X19">
        <v>8.4774446653113067E-2</v>
      </c>
      <c r="Y19">
        <v>4.5910354163359086</v>
      </c>
      <c r="Z19">
        <v>-0.41599693851105968</v>
      </c>
      <c r="AA19">
        <v>-2.8078635633017889E-2</v>
      </c>
      <c r="AB19">
        <v>-0.36105429762281449</v>
      </c>
      <c r="AC19">
        <v>-0.24320733419896781</v>
      </c>
      <c r="AD19">
        <v>1.403035855810475</v>
      </c>
      <c r="AE19">
        <v>1.4097976301837749</v>
      </c>
      <c r="AF19">
        <v>1.5218122522311579</v>
      </c>
      <c r="AG19">
        <v>1.2124751425737339</v>
      </c>
      <c r="AH19">
        <v>1.628884583823847</v>
      </c>
      <c r="AI19">
        <v>1.721870239888003</v>
      </c>
      <c r="AJ19">
        <v>-0.1102434025482695</v>
      </c>
      <c r="AK19">
        <v>1.172521932229295</v>
      </c>
      <c r="AL19">
        <v>0.32023613581121502</v>
      </c>
      <c r="AM19">
        <v>-0.29525894756546839</v>
      </c>
      <c r="AN19">
        <v>6.2198234769151213E-2</v>
      </c>
      <c r="AO19">
        <v>0.36020981024495841</v>
      </c>
      <c r="AP19">
        <v>0.38316915116490818</v>
      </c>
      <c r="AQ19">
        <v>-0.52486557418804092</v>
      </c>
    </row>
    <row r="20" spans="1:43" x14ac:dyDescent="0.3">
      <c r="A20">
        <v>178</v>
      </c>
      <c r="B20">
        <v>2025</v>
      </c>
      <c r="C20" t="s">
        <v>53</v>
      </c>
      <c r="D20">
        <v>19.666666666666671</v>
      </c>
      <c r="E20">
        <v>21.545088419686781</v>
      </c>
      <c r="F20">
        <v>-1.8784217530201059</v>
      </c>
      <c r="G20">
        <v>1.994864155295591</v>
      </c>
      <c r="H20">
        <v>0.91016885017290339</v>
      </c>
      <c r="I20">
        <v>0.71815628990050873</v>
      </c>
      <c r="J20">
        <v>0.38922531328951809</v>
      </c>
      <c r="K20">
        <v>0.30213081591089108</v>
      </c>
      <c r="L20">
        <v>1.4550861557790129</v>
      </c>
      <c r="M20">
        <v>0.28777078602816603</v>
      </c>
      <c r="N20">
        <v>0.69604779769931446</v>
      </c>
      <c r="O20">
        <v>1.3871457063364341</v>
      </c>
      <c r="P20">
        <v>-1.5834818628898071</v>
      </c>
      <c r="Q20">
        <v>1.9052497423687671</v>
      </c>
      <c r="R20">
        <v>1.994864155295591</v>
      </c>
      <c r="S20">
        <v>9.2569804564363469</v>
      </c>
      <c r="T20">
        <v>0.15551986573479051</v>
      </c>
      <c r="U20">
        <v>9.1014605907015564</v>
      </c>
      <c r="V20">
        <v>0.91016885017290339</v>
      </c>
      <c r="W20">
        <v>4.6758098629890217</v>
      </c>
      <c r="X20">
        <v>8.4774446653113067E-2</v>
      </c>
      <c r="Y20">
        <v>4.5910354163359086</v>
      </c>
      <c r="Z20">
        <v>0.71815628990050873</v>
      </c>
      <c r="AA20">
        <v>-0.38922531328951809</v>
      </c>
      <c r="AB20">
        <v>-0.36105429762281449</v>
      </c>
      <c r="AC20">
        <v>-0.24320733419896781</v>
      </c>
      <c r="AD20">
        <v>1.635327873693198</v>
      </c>
      <c r="AE20">
        <v>0.81338160492645384</v>
      </c>
      <c r="AF20">
        <v>1.482645913680595</v>
      </c>
      <c r="AG20">
        <v>1.7491472006285671</v>
      </c>
      <c r="AH20">
        <v>1.5894662384476581</v>
      </c>
      <c r="AI20">
        <v>1.4605481032976051</v>
      </c>
      <c r="AJ20">
        <v>0.76816206345433324</v>
      </c>
      <c r="AK20">
        <v>-0.53112181607065068</v>
      </c>
      <c r="AL20">
        <v>0.62627211070081557</v>
      </c>
      <c r="AM20">
        <v>-0.69604779769931446</v>
      </c>
      <c r="AN20">
        <v>1.3871457063364341</v>
      </c>
      <c r="AO20">
        <v>-1.622482186321933</v>
      </c>
      <c r="AP20">
        <v>-1.5444815394576821</v>
      </c>
      <c r="AQ20">
        <v>1.9052497423687671</v>
      </c>
    </row>
    <row r="21" spans="1:43" x14ac:dyDescent="0.3">
      <c r="A21">
        <v>181</v>
      </c>
      <c r="B21">
        <v>2025</v>
      </c>
      <c r="C21" t="s">
        <v>54</v>
      </c>
      <c r="D21">
        <v>17</v>
      </c>
      <c r="E21">
        <v>15.69306348343634</v>
      </c>
      <c r="F21">
        <v>1.3069365165636631</v>
      </c>
      <c r="G21">
        <v>1.261398134856947</v>
      </c>
      <c r="H21">
        <v>-0.78116764590028309</v>
      </c>
      <c r="I21">
        <v>0.76539630195506925</v>
      </c>
      <c r="J21">
        <v>0.39363256578772993</v>
      </c>
      <c r="K21">
        <v>0.30213081591089108</v>
      </c>
      <c r="L21">
        <v>0.52806562710443328</v>
      </c>
      <c r="M21">
        <v>6.55263564495248E-2</v>
      </c>
      <c r="N21">
        <v>0.31015031202351218</v>
      </c>
      <c r="O21">
        <v>0.93694494148159191</v>
      </c>
      <c r="P21">
        <v>-0.2205873853949043</v>
      </c>
      <c r="Q21">
        <v>1.9052497423687671</v>
      </c>
      <c r="R21">
        <v>1.261398134856947</v>
      </c>
      <c r="S21">
        <v>9.2569804564363469</v>
      </c>
      <c r="T21">
        <v>0.15551986573479051</v>
      </c>
      <c r="U21">
        <v>9.1014605907015564</v>
      </c>
      <c r="V21">
        <v>-0.78116764590028309</v>
      </c>
      <c r="W21">
        <v>4.6758098629890217</v>
      </c>
      <c r="X21">
        <v>8.4774446653113067E-2</v>
      </c>
      <c r="Y21">
        <v>4.5910354163359086</v>
      </c>
      <c r="Z21">
        <v>0.76539630195506925</v>
      </c>
      <c r="AA21">
        <v>-0.39363256578772993</v>
      </c>
      <c r="AB21">
        <v>-0.36105429762281449</v>
      </c>
      <c r="AC21">
        <v>-0.24320733419896781</v>
      </c>
      <c r="AD21">
        <v>0.85402316192596828</v>
      </c>
      <c r="AE21">
        <v>0.92763532158798934</v>
      </c>
      <c r="AF21">
        <v>0.35720310985129661</v>
      </c>
      <c r="AG21">
        <v>0.2427927508406677</v>
      </c>
      <c r="AH21">
        <v>0.65794197312454017</v>
      </c>
      <c r="AI21">
        <v>0.12879744529613771</v>
      </c>
      <c r="AJ21">
        <v>-0.44469505578548102</v>
      </c>
      <c r="AK21">
        <v>0.25313181450268052</v>
      </c>
      <c r="AL21">
        <v>0.38814231063137489</v>
      </c>
      <c r="AM21">
        <v>-0.31015031202351218</v>
      </c>
      <c r="AN21">
        <v>0.93694494148159191</v>
      </c>
      <c r="AO21">
        <v>-0.11158381587289901</v>
      </c>
      <c r="AP21">
        <v>-0.32959095491690971</v>
      </c>
      <c r="AQ21">
        <v>1.9052497423687671</v>
      </c>
    </row>
    <row r="22" spans="1:43" x14ac:dyDescent="0.3">
      <c r="A22">
        <v>182</v>
      </c>
      <c r="B22">
        <v>2025</v>
      </c>
      <c r="C22" t="s">
        <v>56</v>
      </c>
      <c r="D22">
        <v>17</v>
      </c>
      <c r="E22">
        <v>16.771424951812602</v>
      </c>
      <c r="F22">
        <v>0.22857504818740179</v>
      </c>
      <c r="G22">
        <v>0.9186378074288204</v>
      </c>
      <c r="H22">
        <v>0.52357998147506268</v>
      </c>
      <c r="I22">
        <v>-0.63281200307940288</v>
      </c>
      <c r="J22">
        <v>0.35459690080356809</v>
      </c>
      <c r="K22">
        <v>0.30213081591089108</v>
      </c>
      <c r="L22">
        <v>0.80303542549617868</v>
      </c>
      <c r="M22">
        <v>0.65294925204795784</v>
      </c>
      <c r="N22">
        <v>-0.91391428994842216</v>
      </c>
      <c r="O22">
        <v>0.29381576981280721</v>
      </c>
      <c r="P22">
        <v>-1.1662995327320871</v>
      </c>
      <c r="Q22">
        <v>1.9052497423687671</v>
      </c>
      <c r="R22">
        <v>0.9186378074288204</v>
      </c>
      <c r="S22">
        <v>9.2569804564363469</v>
      </c>
      <c r="T22">
        <v>0.15551986573479051</v>
      </c>
      <c r="U22">
        <v>9.1014605907015564</v>
      </c>
      <c r="V22">
        <v>0.52357998147506268</v>
      </c>
      <c r="W22">
        <v>4.6758098629890217</v>
      </c>
      <c r="X22">
        <v>8.4774446653113067E-2</v>
      </c>
      <c r="Y22">
        <v>4.5910354163359086</v>
      </c>
      <c r="Z22">
        <v>-0.63281200307940288</v>
      </c>
      <c r="AA22">
        <v>-0.35459690080356809</v>
      </c>
      <c r="AB22">
        <v>-0.36105429762281449</v>
      </c>
      <c r="AC22">
        <v>-0.24320733419896781</v>
      </c>
      <c r="AD22">
        <v>1.228840575171473</v>
      </c>
      <c r="AE22">
        <v>0.60515168831758692</v>
      </c>
      <c r="AF22">
        <v>0.7270063986139057</v>
      </c>
      <c r="AG22">
        <v>0.5301466490378518</v>
      </c>
      <c r="AH22">
        <v>1.0298167152732181</v>
      </c>
      <c r="AI22">
        <v>0.69725052656303643</v>
      </c>
      <c r="AJ22">
        <v>0.42265892070134092</v>
      </c>
      <c r="AK22">
        <v>1.1917446437718571</v>
      </c>
      <c r="AL22">
        <v>0.3444441916706758</v>
      </c>
      <c r="AM22">
        <v>0.91391428994842216</v>
      </c>
      <c r="AN22">
        <v>0.29381576981280721</v>
      </c>
      <c r="AO22">
        <v>-0.98993586240023623</v>
      </c>
      <c r="AP22">
        <v>-1.342663203063938</v>
      </c>
      <c r="AQ22">
        <v>1.9052497423687671</v>
      </c>
    </row>
    <row r="23" spans="1:43" x14ac:dyDescent="0.3">
      <c r="A23">
        <v>184</v>
      </c>
      <c r="B23">
        <v>2025</v>
      </c>
      <c r="C23" t="s">
        <v>57</v>
      </c>
      <c r="D23">
        <v>17</v>
      </c>
      <c r="E23">
        <v>17.65874044691807</v>
      </c>
      <c r="F23">
        <v>-0.65874044691807043</v>
      </c>
      <c r="G23">
        <v>1.0643345984985471</v>
      </c>
      <c r="H23">
        <v>1.4224664922135459</v>
      </c>
      <c r="I23">
        <v>-0.62447296213446657</v>
      </c>
      <c r="J23">
        <v>0.35230741898631518</v>
      </c>
      <c r="K23">
        <v>0.30213081591089108</v>
      </c>
      <c r="L23">
        <v>0.63766260414745901</v>
      </c>
      <c r="M23">
        <v>0.31739590182847788</v>
      </c>
      <c r="N23">
        <v>-1.176680194881593</v>
      </c>
      <c r="O23">
        <v>0.45816697963889402</v>
      </c>
      <c r="P23">
        <v>-0.57500021975325333</v>
      </c>
      <c r="Q23">
        <v>1.9052497423687671</v>
      </c>
      <c r="R23">
        <v>1.0643345984985471</v>
      </c>
      <c r="S23">
        <v>9.2569804564363469</v>
      </c>
      <c r="T23">
        <v>0.15551986573479051</v>
      </c>
      <c r="U23">
        <v>9.1014605907015564</v>
      </c>
      <c r="V23">
        <v>1.4224664922135459</v>
      </c>
      <c r="W23">
        <v>4.6758098629890217</v>
      </c>
      <c r="X23">
        <v>8.4774446653113067E-2</v>
      </c>
      <c r="Y23">
        <v>4.5910354163359086</v>
      </c>
      <c r="Z23">
        <v>-0.62447296213446657</v>
      </c>
      <c r="AA23">
        <v>-0.35230741898631518</v>
      </c>
      <c r="AB23">
        <v>-0.36105429762281449</v>
      </c>
      <c r="AC23">
        <v>-0.24320733419896781</v>
      </c>
      <c r="AD23">
        <v>1.1015052457172601</v>
      </c>
      <c r="AE23">
        <v>-4.4555542518349138E-2</v>
      </c>
      <c r="AF23">
        <v>0.91285420251016647</v>
      </c>
      <c r="AG23">
        <v>0.39218384812973828</v>
      </c>
      <c r="AH23">
        <v>0.87848937799494098</v>
      </c>
      <c r="AI23">
        <v>0.58549849305099755</v>
      </c>
      <c r="AJ23">
        <v>-0.37161990061991018</v>
      </c>
      <c r="AK23">
        <v>1.0572681638818371</v>
      </c>
      <c r="AL23">
        <v>0.26653944222350728</v>
      </c>
      <c r="AM23">
        <v>1.176680194881593</v>
      </c>
      <c r="AN23">
        <v>0.45816697963889402</v>
      </c>
      <c r="AO23">
        <v>-0.61497144960771377</v>
      </c>
      <c r="AP23">
        <v>-0.53502898989879299</v>
      </c>
      <c r="AQ23">
        <v>1.9052497423687671</v>
      </c>
    </row>
    <row r="24" spans="1:43" x14ac:dyDescent="0.3">
      <c r="A24">
        <v>186</v>
      </c>
      <c r="B24">
        <v>2025</v>
      </c>
      <c r="C24" t="s">
        <v>59</v>
      </c>
      <c r="D24">
        <v>10</v>
      </c>
      <c r="E24">
        <v>11.604822128627569</v>
      </c>
      <c r="F24">
        <v>-1.604822128627571</v>
      </c>
      <c r="G24">
        <v>0.50295053260314726</v>
      </c>
      <c r="H24">
        <v>1.32375957375294</v>
      </c>
      <c r="I24">
        <v>0.60359271168316453</v>
      </c>
      <c r="J24">
        <v>-5.2960922513734454</v>
      </c>
      <c r="K24">
        <v>0.30213081591089108</v>
      </c>
      <c r="L24">
        <v>-0.8849121258135928</v>
      </c>
      <c r="M24">
        <v>-0.1858948887900842</v>
      </c>
      <c r="N24">
        <v>0.93786577576426644</v>
      </c>
      <c r="O24">
        <v>-7.0433579486251854E-2</v>
      </c>
      <c r="P24">
        <v>-0.33635942925146872</v>
      </c>
      <c r="Q24">
        <v>-0.52486557418804092</v>
      </c>
      <c r="R24">
        <v>0.50295053260314726</v>
      </c>
      <c r="S24">
        <v>9.2569804564363469</v>
      </c>
      <c r="T24">
        <v>0.15551986573479051</v>
      </c>
      <c r="U24">
        <v>9.1014605907015564</v>
      </c>
      <c r="V24">
        <v>1.32375957375294</v>
      </c>
      <c r="W24">
        <v>4.6758098629890217</v>
      </c>
      <c r="X24">
        <v>8.4774446653113067E-2</v>
      </c>
      <c r="Y24">
        <v>4.5910354163359086</v>
      </c>
      <c r="Z24">
        <v>0.60359271168316453</v>
      </c>
      <c r="AA24">
        <v>5.2960922513734454</v>
      </c>
      <c r="AB24">
        <v>-0.36105429762281449</v>
      </c>
      <c r="AC24">
        <v>-0.24320733419896781</v>
      </c>
      <c r="AD24">
        <v>-1.346093283145519</v>
      </c>
      <c r="AE24">
        <v>-1.209052498019676</v>
      </c>
      <c r="AF24">
        <v>-0.43159807297771341</v>
      </c>
      <c r="AG24">
        <v>-0.56989740839405911</v>
      </c>
      <c r="AH24">
        <v>-1.035121613062872</v>
      </c>
      <c r="AI24">
        <v>-0.71770987928171726</v>
      </c>
      <c r="AJ24">
        <v>-0.30899479336381919</v>
      </c>
      <c r="AK24">
        <v>-4.5026466676786878E-2</v>
      </c>
      <c r="AL24">
        <v>-0.20366340632964669</v>
      </c>
      <c r="AM24">
        <v>-0.93786577576426644</v>
      </c>
      <c r="AN24">
        <v>-7.0433579486251854E-2</v>
      </c>
      <c r="AO24">
        <v>-0.4379397781923019</v>
      </c>
      <c r="AP24">
        <v>-0.23477908031063541</v>
      </c>
      <c r="AQ24">
        <v>-0.52486557418804092</v>
      </c>
    </row>
    <row r="25" spans="1:43" x14ac:dyDescent="0.3">
      <c r="A25">
        <v>193</v>
      </c>
      <c r="B25">
        <v>2025</v>
      </c>
      <c r="C25" t="s">
        <v>63</v>
      </c>
      <c r="D25">
        <v>22</v>
      </c>
      <c r="E25">
        <v>21.263648472711569</v>
      </c>
      <c r="F25">
        <v>0.73635152728842712</v>
      </c>
      <c r="G25">
        <v>1.4832344498459009</v>
      </c>
      <c r="H25">
        <v>1.405109417037312</v>
      </c>
      <c r="I25">
        <v>-0.47402094592373162</v>
      </c>
      <c r="J25">
        <v>0.26666172000591309</v>
      </c>
      <c r="K25">
        <v>0.30213081591089108</v>
      </c>
      <c r="L25">
        <v>1.498328395151761</v>
      </c>
      <c r="M25">
        <v>0.31290194194288379</v>
      </c>
      <c r="N25">
        <v>0.19482558466280281</v>
      </c>
      <c r="O25">
        <v>0.1091372506360824</v>
      </c>
      <c r="P25">
        <v>-0.68449634350648036</v>
      </c>
      <c r="Q25">
        <v>1.9052497423687671</v>
      </c>
      <c r="R25">
        <v>1.4832344498459009</v>
      </c>
      <c r="S25">
        <v>9.2569804564363469</v>
      </c>
      <c r="T25">
        <v>0.15551986573479051</v>
      </c>
      <c r="U25">
        <v>9.1014605907015564</v>
      </c>
      <c r="V25">
        <v>1.405109417037312</v>
      </c>
      <c r="W25">
        <v>4.6758098629890217</v>
      </c>
      <c r="X25">
        <v>8.4774446653113067E-2</v>
      </c>
      <c r="Y25">
        <v>4.5910354163359086</v>
      </c>
      <c r="Z25">
        <v>-0.47402094592373162</v>
      </c>
      <c r="AA25">
        <v>-0.26666172000591309</v>
      </c>
      <c r="AB25">
        <v>-0.36105429762281449</v>
      </c>
      <c r="AC25">
        <v>-0.24320733419896781</v>
      </c>
      <c r="AD25">
        <v>1.498565995903081</v>
      </c>
      <c r="AE25">
        <v>0.91361879350733843</v>
      </c>
      <c r="AF25">
        <v>1.7073710308516541</v>
      </c>
      <c r="AG25">
        <v>1.6657648054937311</v>
      </c>
      <c r="AH25">
        <v>1.459116312524446</v>
      </c>
      <c r="AI25">
        <v>1.7455334326303169</v>
      </c>
      <c r="AJ25">
        <v>-0.15221901465469309</v>
      </c>
      <c r="AK25">
        <v>0.59303555508359018</v>
      </c>
      <c r="AL25">
        <v>0.49788928539975458</v>
      </c>
      <c r="AM25">
        <v>-0.19482558466280281</v>
      </c>
      <c r="AN25">
        <v>0.1091372506360824</v>
      </c>
      <c r="AO25">
        <v>-0.85723030353880625</v>
      </c>
      <c r="AP25">
        <v>-0.51176238347415448</v>
      </c>
      <c r="AQ25">
        <v>1.9052497423687671</v>
      </c>
    </row>
    <row r="26" spans="1:43" x14ac:dyDescent="0.3">
      <c r="A26">
        <v>196</v>
      </c>
      <c r="B26">
        <v>2025</v>
      </c>
      <c r="C26" t="s">
        <v>65</v>
      </c>
      <c r="D26">
        <v>21.333333333333329</v>
      </c>
      <c r="E26">
        <v>20.017220738999409</v>
      </c>
      <c r="F26">
        <v>1.3161125943339229</v>
      </c>
      <c r="G26">
        <v>1.2630328862534981</v>
      </c>
      <c r="H26">
        <v>0.39254753808758058</v>
      </c>
      <c r="I26">
        <v>-0.59827702199330557</v>
      </c>
      <c r="J26">
        <v>0.27236634553390138</v>
      </c>
      <c r="K26">
        <v>0.30213081591089108</v>
      </c>
      <c r="L26">
        <v>1.681742860926025</v>
      </c>
      <c r="M26">
        <v>0.2867069436514818</v>
      </c>
      <c r="N26">
        <v>0.13375987742627199</v>
      </c>
      <c r="O26">
        <v>-0.44986375650646182</v>
      </c>
      <c r="P26">
        <v>0.1722869174534607</v>
      </c>
      <c r="Q26">
        <v>1.9052497423687671</v>
      </c>
      <c r="R26">
        <v>1.2630328862534981</v>
      </c>
      <c r="S26">
        <v>9.2569804564363469</v>
      </c>
      <c r="T26">
        <v>0.15551986573479051</v>
      </c>
      <c r="U26">
        <v>9.1014605907015564</v>
      </c>
      <c r="V26">
        <v>0.39254753808758058</v>
      </c>
      <c r="W26">
        <v>4.6758098629890217</v>
      </c>
      <c r="X26">
        <v>8.4774446653113067E-2</v>
      </c>
      <c r="Y26">
        <v>4.5910354163359086</v>
      </c>
      <c r="Z26">
        <v>-0.59827702199330557</v>
      </c>
      <c r="AA26">
        <v>-0.27236634553390138</v>
      </c>
      <c r="AB26">
        <v>-0.36105429762281449</v>
      </c>
      <c r="AC26">
        <v>-0.24320733419896781</v>
      </c>
      <c r="AD26">
        <v>1.6915969146222269</v>
      </c>
      <c r="AE26">
        <v>1.343677595117881</v>
      </c>
      <c r="AF26">
        <v>1.75304612758087</v>
      </c>
      <c r="AG26">
        <v>1.80702636495859</v>
      </c>
      <c r="AH26">
        <v>1.6715347010007799</v>
      </c>
      <c r="AI26">
        <v>1.8235754622758049</v>
      </c>
      <c r="AJ26">
        <v>-0.15374767873737519</v>
      </c>
      <c r="AK26">
        <v>0.65895378050207232</v>
      </c>
      <c r="AL26">
        <v>0.35491472918974842</v>
      </c>
      <c r="AM26">
        <v>-0.13375987742627199</v>
      </c>
      <c r="AN26">
        <v>-0.44986375650646182</v>
      </c>
      <c r="AO26">
        <v>-3.0370949648628631E-2</v>
      </c>
      <c r="AP26">
        <v>0.37494478455555003</v>
      </c>
      <c r="AQ26">
        <v>1.9052497423687671</v>
      </c>
    </row>
    <row r="27" spans="1:43" x14ac:dyDescent="0.3">
      <c r="A27">
        <v>199</v>
      </c>
      <c r="B27">
        <v>2025</v>
      </c>
      <c r="C27" t="s">
        <v>67</v>
      </c>
      <c r="D27">
        <v>10.33333333333333</v>
      </c>
      <c r="E27">
        <v>11.937094137676279</v>
      </c>
      <c r="F27">
        <v>-1.603760804342945</v>
      </c>
      <c r="G27">
        <v>-0.26157557293617428</v>
      </c>
      <c r="H27">
        <v>0.64492150699692474</v>
      </c>
      <c r="I27">
        <v>-0.99060488550742787</v>
      </c>
      <c r="J27">
        <v>0.10721839044939301</v>
      </c>
      <c r="K27">
        <v>0.30213081591089108</v>
      </c>
      <c r="L27">
        <v>-0.28694899259449608</v>
      </c>
      <c r="M27">
        <v>-0.69937559258524462</v>
      </c>
      <c r="N27">
        <v>-0.53596256963642686</v>
      </c>
      <c r="O27">
        <v>0.15042548139727011</v>
      </c>
      <c r="P27">
        <v>0.18132473804345059</v>
      </c>
      <c r="Q27">
        <v>-0.52486557418804092</v>
      </c>
      <c r="R27">
        <v>-0.26157557293617428</v>
      </c>
      <c r="S27">
        <v>9.2569804564363469</v>
      </c>
      <c r="T27">
        <v>0.15551986573479051</v>
      </c>
      <c r="U27">
        <v>9.1014605907015564</v>
      </c>
      <c r="V27">
        <v>0.64492150699692474</v>
      </c>
      <c r="W27">
        <v>4.6758098629890217</v>
      </c>
      <c r="X27">
        <v>8.4774446653113067E-2</v>
      </c>
      <c r="Y27">
        <v>4.5910354163359086</v>
      </c>
      <c r="Z27">
        <v>-0.99060488550742787</v>
      </c>
      <c r="AA27">
        <v>-0.10721839044939301</v>
      </c>
      <c r="AB27">
        <v>-0.36105429762281449</v>
      </c>
      <c r="AC27">
        <v>-0.24320733419896781</v>
      </c>
      <c r="AD27">
        <v>0.5110098468800911</v>
      </c>
      <c r="AE27">
        <v>-0.78357963292315824</v>
      </c>
      <c r="AF27">
        <v>-0.60819820594426965</v>
      </c>
      <c r="AG27">
        <v>-0.3951637979445457</v>
      </c>
      <c r="AH27">
        <v>-0.1068571469143539</v>
      </c>
      <c r="AI27">
        <v>-0.33890501872074008</v>
      </c>
      <c r="AJ27">
        <v>-0.81127371482593702</v>
      </c>
      <c r="AK27">
        <v>-0.14518256887708411</v>
      </c>
      <c r="AL27">
        <v>-1.141670494052712</v>
      </c>
      <c r="AM27">
        <v>0.53596256963642686</v>
      </c>
      <c r="AN27">
        <v>0.15042548139727011</v>
      </c>
      <c r="AO27">
        <v>0.1039572312452115</v>
      </c>
      <c r="AP27">
        <v>0.25869224484168968</v>
      </c>
      <c r="AQ27">
        <v>-0.52486557418804092</v>
      </c>
    </row>
    <row r="28" spans="1:43" x14ac:dyDescent="0.3">
      <c r="A28">
        <v>213</v>
      </c>
      <c r="B28">
        <v>2025</v>
      </c>
      <c r="C28" t="s">
        <v>69</v>
      </c>
      <c r="D28">
        <v>5.6666666666666679</v>
      </c>
      <c r="E28">
        <v>8.5219662893995807</v>
      </c>
      <c r="F28">
        <v>-2.8552996227329128</v>
      </c>
      <c r="G28">
        <v>0.3225681460978565</v>
      </c>
      <c r="H28">
        <v>0.89112084623071464</v>
      </c>
      <c r="I28">
        <v>-0.38731238405648832</v>
      </c>
      <c r="J28">
        <v>-6.8123118875173612</v>
      </c>
      <c r="K28">
        <v>-2.6576951119746899</v>
      </c>
      <c r="L28">
        <v>-0.26466683824310711</v>
      </c>
      <c r="M28">
        <v>0.24807727863301771</v>
      </c>
      <c r="N28">
        <v>-0.57763616420184827</v>
      </c>
      <c r="O28">
        <v>0.16349857920483679</v>
      </c>
      <c r="P28">
        <v>1.137768280372037E-2</v>
      </c>
      <c r="Q28">
        <v>-0.52486557418804092</v>
      </c>
      <c r="R28">
        <v>0.3225681460978565</v>
      </c>
      <c r="S28">
        <v>9.2569804564363469</v>
      </c>
      <c r="T28">
        <v>0.15551986573479051</v>
      </c>
      <c r="U28">
        <v>9.1014605907015564</v>
      </c>
      <c r="V28">
        <v>0.89112084623071464</v>
      </c>
      <c r="W28">
        <v>4.6758098629890217</v>
      </c>
      <c r="X28">
        <v>8.4774446653113067E-2</v>
      </c>
      <c r="Y28">
        <v>4.5910354163359086</v>
      </c>
      <c r="Z28">
        <v>-0.38731238405648832</v>
      </c>
      <c r="AA28">
        <v>6.8123118875173612</v>
      </c>
      <c r="AB28">
        <v>2.7696665199223802</v>
      </c>
      <c r="AC28">
        <v>2.545723704027</v>
      </c>
      <c r="AD28">
        <v>0.26906868361776348</v>
      </c>
      <c r="AE28">
        <v>-0.24521764103834129</v>
      </c>
      <c r="AF28">
        <v>-0.14204595192623221</v>
      </c>
      <c r="AG28">
        <v>-0.59740209418019885</v>
      </c>
      <c r="AH28">
        <v>-0.39692214073011628</v>
      </c>
      <c r="AI28">
        <v>-0.47548188520151741</v>
      </c>
      <c r="AJ28">
        <v>0.16962742491712671</v>
      </c>
      <c r="AK28">
        <v>0.2290415493935479</v>
      </c>
      <c r="AL28">
        <v>0.34556286158837851</v>
      </c>
      <c r="AM28">
        <v>0.57763616420184827</v>
      </c>
      <c r="AN28">
        <v>0.16349857920483679</v>
      </c>
      <c r="AO28">
        <v>-0.28304034208444978</v>
      </c>
      <c r="AP28">
        <v>0.30579570769189052</v>
      </c>
      <c r="AQ28">
        <v>-0.52486557418804092</v>
      </c>
    </row>
    <row r="29" spans="1:43" x14ac:dyDescent="0.3">
      <c r="A29">
        <v>218</v>
      </c>
      <c r="B29">
        <v>2025</v>
      </c>
      <c r="C29" t="s">
        <v>73</v>
      </c>
      <c r="D29">
        <v>3.6666666666666679</v>
      </c>
      <c r="E29">
        <v>6.3757781224976213</v>
      </c>
      <c r="F29">
        <v>-2.709111455830953</v>
      </c>
      <c r="G29">
        <v>-0.54654873029816964</v>
      </c>
      <c r="H29">
        <v>-0.40458578651595573</v>
      </c>
      <c r="I29">
        <v>-1.0103516346709791</v>
      </c>
      <c r="J29">
        <v>-0.74028236453142138</v>
      </c>
      <c r="K29">
        <v>0.30213081591089108</v>
      </c>
      <c r="L29">
        <v>-1.134089379193356</v>
      </c>
      <c r="M29">
        <v>-0.99802879296545155</v>
      </c>
      <c r="N29">
        <v>-0.99062148634517477</v>
      </c>
      <c r="O29">
        <v>9.8618920988451278E-2</v>
      </c>
      <c r="P29">
        <v>-1.3162626343675241</v>
      </c>
      <c r="Q29">
        <v>-0.52486557418804092</v>
      </c>
      <c r="R29">
        <v>-0.54654873029816964</v>
      </c>
      <c r="S29">
        <v>9.2569804564363469</v>
      </c>
      <c r="T29">
        <v>0.15551986573479051</v>
      </c>
      <c r="U29">
        <v>9.1014605907015564</v>
      </c>
      <c r="V29">
        <v>-0.40458578651595573</v>
      </c>
      <c r="W29">
        <v>4.6758098629890217</v>
      </c>
      <c r="X29">
        <v>8.4774446653113067E-2</v>
      </c>
      <c r="Y29">
        <v>4.5910354163359086</v>
      </c>
      <c r="Z29">
        <v>-1.0103516346709791</v>
      </c>
      <c r="AA29">
        <v>0.74028236453142138</v>
      </c>
      <c r="AB29">
        <v>-0.36105429762281449</v>
      </c>
      <c r="AC29">
        <v>-0.24320733419896781</v>
      </c>
      <c r="AD29">
        <v>-0.63148475617789213</v>
      </c>
      <c r="AE29">
        <v>-0.69802321722894445</v>
      </c>
      <c r="AF29">
        <v>-1.045722165029314</v>
      </c>
      <c r="AG29">
        <v>-1.776079860664733</v>
      </c>
      <c r="AH29">
        <v>-1.4925143407007559</v>
      </c>
      <c r="AI29">
        <v>-1.1607119353584989</v>
      </c>
      <c r="AJ29">
        <v>-2.137778237589711</v>
      </c>
      <c r="AK29">
        <v>-0.35737490401642852</v>
      </c>
      <c r="AL29">
        <v>-0.49893323729021538</v>
      </c>
      <c r="AM29">
        <v>0.99062148634517477</v>
      </c>
      <c r="AN29">
        <v>9.8618920988451278E-2</v>
      </c>
      <c r="AO29">
        <v>-1.6031106713958201</v>
      </c>
      <c r="AP29">
        <v>-1.029414597339229</v>
      </c>
      <c r="AQ29">
        <v>-0.52486557418804092</v>
      </c>
    </row>
    <row r="30" spans="1:43" x14ac:dyDescent="0.3">
      <c r="A30">
        <v>223</v>
      </c>
      <c r="B30">
        <v>2025</v>
      </c>
      <c r="C30" t="s">
        <v>75</v>
      </c>
      <c r="D30">
        <v>11.33333333333333</v>
      </c>
      <c r="E30">
        <v>12.78366323103543</v>
      </c>
      <c r="F30">
        <v>-1.450329897702098</v>
      </c>
      <c r="G30">
        <v>8.9894832613527778E-2</v>
      </c>
      <c r="H30">
        <v>1.5146906119176631</v>
      </c>
      <c r="I30">
        <v>-0.4221529844442326</v>
      </c>
      <c r="J30">
        <v>-1.4162303895298021E-2</v>
      </c>
      <c r="K30">
        <v>0.30213081591089108</v>
      </c>
      <c r="L30">
        <v>-0.48553159749378522</v>
      </c>
      <c r="M30">
        <v>-0.44567818315047319</v>
      </c>
      <c r="N30">
        <v>-0.92722205781298039</v>
      </c>
      <c r="O30">
        <v>-7.42352518457223E-2</v>
      </c>
      <c r="P30">
        <v>0.50961471408684267</v>
      </c>
      <c r="Q30">
        <v>-0.52486557418804092</v>
      </c>
      <c r="R30">
        <v>8.9894832613527778E-2</v>
      </c>
      <c r="S30">
        <v>9.2569804564363469</v>
      </c>
      <c r="T30">
        <v>0.15551986573479051</v>
      </c>
      <c r="U30">
        <v>9.1014605907015564</v>
      </c>
      <c r="V30">
        <v>1.5146906119176631</v>
      </c>
      <c r="W30">
        <v>4.6758098629890217</v>
      </c>
      <c r="X30">
        <v>8.4774446653113067E-2</v>
      </c>
      <c r="Y30">
        <v>4.5910354163359086</v>
      </c>
      <c r="Z30">
        <v>-0.4221529844442326</v>
      </c>
      <c r="AA30">
        <v>1.4162303895298021E-2</v>
      </c>
      <c r="AB30">
        <v>-0.36105429762281449</v>
      </c>
      <c r="AC30">
        <v>-0.24320733419896781</v>
      </c>
      <c r="AD30">
        <v>0.19369666992375431</v>
      </c>
      <c r="AE30">
        <v>-0.66737890884107898</v>
      </c>
      <c r="AF30">
        <v>-0.60602368900731074</v>
      </c>
      <c r="AG30">
        <v>-0.66621352705351911</v>
      </c>
      <c r="AH30">
        <v>-0.60695281254912947</v>
      </c>
      <c r="AI30">
        <v>-0.56031731743542701</v>
      </c>
      <c r="AJ30">
        <v>-0.97484077167287875</v>
      </c>
      <c r="AK30">
        <v>0.83987827154428918</v>
      </c>
      <c r="AL30">
        <v>-1.2020720493228301</v>
      </c>
      <c r="AM30">
        <v>0.92722205781298039</v>
      </c>
      <c r="AN30">
        <v>-7.42352518457223E-2</v>
      </c>
      <c r="AO30">
        <v>0.23518375340945449</v>
      </c>
      <c r="AP30">
        <v>0.78404567476423082</v>
      </c>
      <c r="AQ30">
        <v>-0.52486557418804092</v>
      </c>
    </row>
    <row r="31" spans="1:43" x14ac:dyDescent="0.3">
      <c r="A31">
        <v>228</v>
      </c>
      <c r="B31">
        <v>2025</v>
      </c>
      <c r="C31" t="s">
        <v>76</v>
      </c>
      <c r="D31">
        <v>16.666666666666671</v>
      </c>
      <c r="E31">
        <v>15.965810659826669</v>
      </c>
      <c r="F31">
        <v>0.70085600684000582</v>
      </c>
      <c r="G31">
        <v>0.45918163672418322</v>
      </c>
      <c r="H31">
        <v>0.53765649390506476</v>
      </c>
      <c r="I31">
        <v>-0.4453363914691606</v>
      </c>
      <c r="J31">
        <v>-1.10715034420067E-2</v>
      </c>
      <c r="K31">
        <v>0.30213081591089108</v>
      </c>
      <c r="L31">
        <v>0.66084981231862294</v>
      </c>
      <c r="M31">
        <v>2.9304562326699372E-2</v>
      </c>
      <c r="N31">
        <v>0.42541947459146778</v>
      </c>
      <c r="O31">
        <v>-0.25146559660389262</v>
      </c>
      <c r="P31">
        <v>0.30457569723241501</v>
      </c>
      <c r="Q31">
        <v>-0.52486557418804092</v>
      </c>
      <c r="R31">
        <v>0.45918163672418322</v>
      </c>
      <c r="S31">
        <v>9.2569804564363469</v>
      </c>
      <c r="T31">
        <v>0.15551986573479051</v>
      </c>
      <c r="U31">
        <v>9.1014605907015564</v>
      </c>
      <c r="V31">
        <v>0.53765649390506476</v>
      </c>
      <c r="W31">
        <v>4.6758098629890217</v>
      </c>
      <c r="X31">
        <v>8.4774446653113067E-2</v>
      </c>
      <c r="Y31">
        <v>4.5910354163359086</v>
      </c>
      <c r="Z31">
        <v>-0.4453363914691606</v>
      </c>
      <c r="AA31">
        <v>1.10715034420067E-2</v>
      </c>
      <c r="AB31">
        <v>-0.36105429762281449</v>
      </c>
      <c r="AC31">
        <v>-0.24320733419896781</v>
      </c>
      <c r="AD31">
        <v>0.93318914582068779</v>
      </c>
      <c r="AE31">
        <v>0.10507883680006309</v>
      </c>
      <c r="AF31">
        <v>0.74632330050915152</v>
      </c>
      <c r="AG31">
        <v>0.57702995151205727</v>
      </c>
      <c r="AH31">
        <v>0.61900009310389803</v>
      </c>
      <c r="AI31">
        <v>0.98447754616588012</v>
      </c>
      <c r="AJ31">
        <v>9.167816369407061E-3</v>
      </c>
      <c r="AK31">
        <v>-0.38625022178422419</v>
      </c>
      <c r="AL31">
        <v>0.46499609239491529</v>
      </c>
      <c r="AM31">
        <v>-0.42541947459146778</v>
      </c>
      <c r="AN31">
        <v>-0.25146559660389262</v>
      </c>
      <c r="AO31">
        <v>0.22587072831800531</v>
      </c>
      <c r="AP31">
        <v>0.38328066614682449</v>
      </c>
      <c r="AQ31">
        <v>-0.52486557418804092</v>
      </c>
    </row>
    <row r="32" spans="1:43" x14ac:dyDescent="0.3">
      <c r="A32">
        <v>233</v>
      </c>
      <c r="B32">
        <v>2025</v>
      </c>
      <c r="C32" t="s">
        <v>78</v>
      </c>
      <c r="D32">
        <v>12</v>
      </c>
      <c r="E32">
        <v>11.80176376181157</v>
      </c>
      <c r="F32">
        <v>0.1982362381884322</v>
      </c>
      <c r="G32">
        <v>-9.9412446647162714E-2</v>
      </c>
      <c r="H32">
        <v>0.65909591345949203</v>
      </c>
      <c r="I32">
        <v>-0.26279434858550282</v>
      </c>
      <c r="J32">
        <v>-9.8586945906498455E-2</v>
      </c>
      <c r="K32">
        <v>0.30213081591089108</v>
      </c>
      <c r="L32">
        <v>-0.54717886156225093</v>
      </c>
      <c r="M32">
        <v>-0.54125314152986992</v>
      </c>
      <c r="N32">
        <v>-2.271057896869691E-2</v>
      </c>
      <c r="O32">
        <v>-0.23000037171708679</v>
      </c>
      <c r="P32">
        <v>0.44020558274357069</v>
      </c>
      <c r="Q32">
        <v>-0.52486557418804092</v>
      </c>
      <c r="R32">
        <v>-9.9412446647162714E-2</v>
      </c>
      <c r="S32">
        <v>9.2569804564363469</v>
      </c>
      <c r="T32">
        <v>0.15551986573479051</v>
      </c>
      <c r="U32">
        <v>9.1014605907015564</v>
      </c>
      <c r="V32">
        <v>0.65909591345949203</v>
      </c>
      <c r="W32">
        <v>4.6758098629890217</v>
      </c>
      <c r="X32">
        <v>8.4774446653113067E-2</v>
      </c>
      <c r="Y32">
        <v>4.5910354163359086</v>
      </c>
      <c r="Z32">
        <v>-0.26279434858550282</v>
      </c>
      <c r="AA32">
        <v>9.8586945906498455E-2</v>
      </c>
      <c r="AB32">
        <v>-0.36105429762281449</v>
      </c>
      <c r="AC32">
        <v>-0.24320733419896781</v>
      </c>
      <c r="AD32">
        <v>-0.1139160770399695</v>
      </c>
      <c r="AE32">
        <v>-1.2092474394301389</v>
      </c>
      <c r="AF32">
        <v>-0.47755081603482979</v>
      </c>
      <c r="AG32">
        <v>-0.31017075763987251</v>
      </c>
      <c r="AH32">
        <v>-0.72933002858631668</v>
      </c>
      <c r="AI32">
        <v>-0.44285805064237838</v>
      </c>
      <c r="AJ32">
        <v>-0.66444678268770674</v>
      </c>
      <c r="AK32">
        <v>-0.15318515694415899</v>
      </c>
      <c r="AL32">
        <v>-0.80612748495774422</v>
      </c>
      <c r="AM32">
        <v>2.271057896869691E-2</v>
      </c>
      <c r="AN32">
        <v>-0.23000037171708679</v>
      </c>
      <c r="AO32">
        <v>0.14887197138027061</v>
      </c>
      <c r="AP32">
        <v>0.73153919410687085</v>
      </c>
      <c r="AQ32">
        <v>-0.52486557418804092</v>
      </c>
    </row>
    <row r="33" spans="1:43" x14ac:dyDescent="0.3">
      <c r="A33">
        <v>238</v>
      </c>
      <c r="B33">
        <v>2025</v>
      </c>
      <c r="C33" t="s">
        <v>80</v>
      </c>
      <c r="D33">
        <v>10.66666666666667</v>
      </c>
      <c r="E33">
        <v>14.06224571741871</v>
      </c>
      <c r="F33">
        <v>-3.3955790507520391</v>
      </c>
      <c r="G33">
        <v>0.53996142971352779</v>
      </c>
      <c r="H33">
        <v>-9.8394754940618598E-2</v>
      </c>
      <c r="I33">
        <v>0.13359388565049951</v>
      </c>
      <c r="J33">
        <v>0.44671038591770951</v>
      </c>
      <c r="K33">
        <v>0.30213081591089108</v>
      </c>
      <c r="L33">
        <v>0.62275775585523652</v>
      </c>
      <c r="M33">
        <v>-1.2637345727424221</v>
      </c>
      <c r="N33">
        <v>-4.4603107313731731E-2</v>
      </c>
      <c r="O33">
        <v>-5.602860326703387E-2</v>
      </c>
      <c r="P33">
        <v>0.35759563609205652</v>
      </c>
      <c r="Q33">
        <v>-0.52486557418804092</v>
      </c>
      <c r="R33">
        <v>0.53996142971352779</v>
      </c>
      <c r="S33">
        <v>9.2569804564363469</v>
      </c>
      <c r="T33">
        <v>0.15551986573479051</v>
      </c>
      <c r="U33">
        <v>9.1014605907015564</v>
      </c>
      <c r="V33">
        <v>-9.8394754940618598E-2</v>
      </c>
      <c r="W33">
        <v>4.6758098629890217</v>
      </c>
      <c r="X33">
        <v>8.4774446653113067E-2</v>
      </c>
      <c r="Y33">
        <v>4.5910354163359086</v>
      </c>
      <c r="Z33">
        <v>0.13359388565049951</v>
      </c>
      <c r="AA33">
        <v>-0.44671038591770951</v>
      </c>
      <c r="AB33">
        <v>-0.36105429762281449</v>
      </c>
      <c r="AC33">
        <v>-0.24320733419896781</v>
      </c>
      <c r="AD33">
        <v>0.95205097178832654</v>
      </c>
      <c r="AE33">
        <v>1.373758739431078</v>
      </c>
      <c r="AF33">
        <v>-2.4672104701054909E-2</v>
      </c>
      <c r="AG33">
        <v>0.34707884592201532</v>
      </c>
      <c r="AH33">
        <v>0.53889139076883941</v>
      </c>
      <c r="AI33">
        <v>0.54943869192221539</v>
      </c>
      <c r="AJ33">
        <v>-0.29929654746221568</v>
      </c>
      <c r="AK33">
        <v>-1.210186789061297</v>
      </c>
      <c r="AL33">
        <v>-2.2817203817037521</v>
      </c>
      <c r="AM33">
        <v>4.4603107313731731E-2</v>
      </c>
      <c r="AN33">
        <v>-5.602860326703387E-2</v>
      </c>
      <c r="AO33">
        <v>0.27228770556116422</v>
      </c>
      <c r="AP33">
        <v>0.44290356662294889</v>
      </c>
      <c r="AQ33">
        <v>-0.52486557418804092</v>
      </c>
    </row>
    <row r="34" spans="1:43" x14ac:dyDescent="0.3">
      <c r="A34">
        <v>243</v>
      </c>
      <c r="B34">
        <v>2025</v>
      </c>
      <c r="C34" t="s">
        <v>81</v>
      </c>
      <c r="D34">
        <v>10.66666666666667</v>
      </c>
      <c r="E34">
        <v>12.09164770312662</v>
      </c>
      <c r="F34">
        <v>-1.4249810364599489</v>
      </c>
      <c r="G34">
        <v>0.18080535200561601</v>
      </c>
      <c r="H34">
        <v>2.3945838635411072E-2</v>
      </c>
      <c r="I34">
        <v>0.38175675858776598</v>
      </c>
      <c r="J34">
        <v>-3.6866331916389342E-2</v>
      </c>
      <c r="K34">
        <v>0.30213081591089108</v>
      </c>
      <c r="L34">
        <v>-5.8754813725127621E-2</v>
      </c>
      <c r="M34">
        <v>-0.95440483108200114</v>
      </c>
      <c r="N34">
        <v>-5.2965608623193008E-2</v>
      </c>
      <c r="O34">
        <v>-0.18889317297301669</v>
      </c>
      <c r="P34">
        <v>0.19883955005751269</v>
      </c>
      <c r="Q34">
        <v>-0.52486557418804092</v>
      </c>
      <c r="R34">
        <v>0.18080535200561601</v>
      </c>
      <c r="S34">
        <v>9.2569804564363469</v>
      </c>
      <c r="T34">
        <v>0.15551986573479051</v>
      </c>
      <c r="U34">
        <v>9.1014605907015564</v>
      </c>
      <c r="V34">
        <v>2.3945838635411072E-2</v>
      </c>
      <c r="W34">
        <v>4.6758098629890217</v>
      </c>
      <c r="X34">
        <v>8.4774446653113067E-2</v>
      </c>
      <c r="Y34">
        <v>4.5910354163359086</v>
      </c>
      <c r="Z34">
        <v>0.38175675858776598</v>
      </c>
      <c r="AA34">
        <v>3.6866331916389342E-2</v>
      </c>
      <c r="AB34">
        <v>-0.36105429762281449</v>
      </c>
      <c r="AC34">
        <v>-0.24320733419896781</v>
      </c>
      <c r="AD34">
        <v>6.7856232380663406E-2</v>
      </c>
      <c r="AE34">
        <v>0.66822245465439645</v>
      </c>
      <c r="AF34">
        <v>-0.26618913523616539</v>
      </c>
      <c r="AG34">
        <v>-8.5933800240308972E-2</v>
      </c>
      <c r="AH34">
        <v>-0.32241567923844261</v>
      </c>
      <c r="AI34">
        <v>-0.41406895467090848</v>
      </c>
      <c r="AJ34">
        <v>-0.24812389079277289</v>
      </c>
      <c r="AK34">
        <v>-1.1061531441893251</v>
      </c>
      <c r="AL34">
        <v>-1.508937458263905</v>
      </c>
      <c r="AM34">
        <v>5.2965608623193008E-2</v>
      </c>
      <c r="AN34">
        <v>-0.18889317297301669</v>
      </c>
      <c r="AO34">
        <v>9.8068218870745488E-2</v>
      </c>
      <c r="AP34">
        <v>0.29961088124427998</v>
      </c>
      <c r="AQ34">
        <v>-0.52486557418804092</v>
      </c>
    </row>
    <row r="35" spans="1:43" x14ac:dyDescent="0.3">
      <c r="A35">
        <v>248</v>
      </c>
      <c r="B35">
        <v>2025</v>
      </c>
      <c r="C35" t="s">
        <v>83</v>
      </c>
      <c r="D35">
        <v>5.6666666666666679</v>
      </c>
      <c r="E35">
        <v>8.399959367475768</v>
      </c>
      <c r="F35">
        <v>-2.7332927008091001</v>
      </c>
      <c r="G35">
        <v>-0.20191735366927069</v>
      </c>
      <c r="H35">
        <v>2.7078169566202102E-2</v>
      </c>
      <c r="I35">
        <v>-0.56998540664085162</v>
      </c>
      <c r="J35">
        <v>0.57305162419978173</v>
      </c>
      <c r="K35">
        <v>-2.6576951119746899</v>
      </c>
      <c r="L35">
        <v>-0.82496176829785572</v>
      </c>
      <c r="M35">
        <v>0.56654349123889391</v>
      </c>
      <c r="N35">
        <v>0.1193408137066362</v>
      </c>
      <c r="O35">
        <v>0.60815200582085949</v>
      </c>
      <c r="P35">
        <v>-0.42211170213452071</v>
      </c>
      <c r="Q35">
        <v>-0.52486557418804092</v>
      </c>
      <c r="R35">
        <v>-0.20191735366927069</v>
      </c>
      <c r="S35">
        <v>9.2569804564363469</v>
      </c>
      <c r="T35">
        <v>0.15551986573479051</v>
      </c>
      <c r="U35">
        <v>9.1014605907015564</v>
      </c>
      <c r="V35">
        <v>2.7078169566202102E-2</v>
      </c>
      <c r="W35">
        <v>4.6758098629890217</v>
      </c>
      <c r="X35">
        <v>8.4774446653113067E-2</v>
      </c>
      <c r="Y35">
        <v>4.5910354163359086</v>
      </c>
      <c r="Z35">
        <v>-0.56998540664085162</v>
      </c>
      <c r="AA35">
        <v>-0.57305162419978173</v>
      </c>
      <c r="AB35">
        <v>2.7696665199223802</v>
      </c>
      <c r="AC35">
        <v>2.545723704027</v>
      </c>
      <c r="AD35">
        <v>-0.26635686130521108</v>
      </c>
      <c r="AE35">
        <v>-0.90867425802207236</v>
      </c>
      <c r="AF35">
        <v>-0.60102833089467367</v>
      </c>
      <c r="AG35">
        <v>-1.0730858530437799</v>
      </c>
      <c r="AH35">
        <v>-1.1662272001042711</v>
      </c>
      <c r="AI35">
        <v>-0.93439810641712662</v>
      </c>
      <c r="AJ35">
        <v>0.61336603003261481</v>
      </c>
      <c r="AK35">
        <v>0.60978323938891132</v>
      </c>
      <c r="AL35">
        <v>0.47648120429515528</v>
      </c>
      <c r="AM35">
        <v>-0.1193408137066362</v>
      </c>
      <c r="AN35">
        <v>0.60815200582085949</v>
      </c>
      <c r="AO35">
        <v>-0.50280978477819882</v>
      </c>
      <c r="AP35">
        <v>-0.34141361949084259</v>
      </c>
      <c r="AQ35">
        <v>-0.52486557418804092</v>
      </c>
    </row>
    <row r="36" spans="1:43" x14ac:dyDescent="0.3">
      <c r="A36">
        <v>253</v>
      </c>
      <c r="B36">
        <v>2025</v>
      </c>
      <c r="C36" t="s">
        <v>84</v>
      </c>
      <c r="D36">
        <v>7</v>
      </c>
      <c r="E36">
        <v>5.7739379311958778</v>
      </c>
      <c r="F36">
        <v>1.2260620688041219</v>
      </c>
      <c r="G36">
        <v>-0.37503707881415349</v>
      </c>
      <c r="H36">
        <v>-0.6367793795411345</v>
      </c>
      <c r="I36">
        <v>-0.22341311857329049</v>
      </c>
      <c r="J36">
        <v>0.46462558113771352</v>
      </c>
      <c r="K36">
        <v>-3.1881896902688212</v>
      </c>
      <c r="L36">
        <v>-0.62679651864956953</v>
      </c>
      <c r="M36">
        <v>-0.45879373180212307</v>
      </c>
      <c r="N36">
        <v>-0.82159338678782545</v>
      </c>
      <c r="O36">
        <v>-5.4709655713748202E-2</v>
      </c>
      <c r="P36">
        <v>-2.4483999837948689E-4</v>
      </c>
      <c r="Q36">
        <v>-0.52486557418804092</v>
      </c>
      <c r="R36">
        <v>-0.37503707881415349</v>
      </c>
      <c r="S36">
        <v>9.2569804564363469</v>
      </c>
      <c r="T36">
        <v>0.15551986573479051</v>
      </c>
      <c r="U36">
        <v>9.1014605907015564</v>
      </c>
      <c r="V36">
        <v>-0.6367793795411345</v>
      </c>
      <c r="W36">
        <v>4.6758098629890217</v>
      </c>
      <c r="X36">
        <v>8.4774446653113067E-2</v>
      </c>
      <c r="Y36">
        <v>4.5910354163359086</v>
      </c>
      <c r="Z36">
        <v>-0.22341311857329049</v>
      </c>
      <c r="AA36">
        <v>-0.46462558113771352</v>
      </c>
      <c r="AB36">
        <v>2.7696665199223802</v>
      </c>
      <c r="AC36">
        <v>3.6067128606152621</v>
      </c>
      <c r="AD36">
        <v>-1.011926018262759</v>
      </c>
      <c r="AE36">
        <v>-3.3575046404343313E-2</v>
      </c>
      <c r="AF36">
        <v>-0.55957141013893064</v>
      </c>
      <c r="AG36">
        <v>-0.52943356175828693</v>
      </c>
      <c r="AH36">
        <v>-0.89492437713305562</v>
      </c>
      <c r="AI36">
        <v>-0.73134869820004189</v>
      </c>
      <c r="AJ36">
        <v>-0.27506346274167143</v>
      </c>
      <c r="AK36">
        <v>-0.13709747990210139</v>
      </c>
      <c r="AL36">
        <v>-0.96422025276259637</v>
      </c>
      <c r="AM36">
        <v>0.82159338678782545</v>
      </c>
      <c r="AN36">
        <v>-5.4709655713748202E-2</v>
      </c>
      <c r="AO36">
        <v>0.1235382512197976</v>
      </c>
      <c r="AP36">
        <v>-0.1240279312165565</v>
      </c>
      <c r="AQ36">
        <v>-0.52486557418804092</v>
      </c>
    </row>
    <row r="37" spans="1:43" x14ac:dyDescent="0.3">
      <c r="A37">
        <v>258</v>
      </c>
      <c r="B37">
        <v>2025</v>
      </c>
      <c r="C37" t="s">
        <v>86</v>
      </c>
      <c r="D37">
        <v>12</v>
      </c>
      <c r="E37">
        <v>10.96966575560427</v>
      </c>
      <c r="F37">
        <v>1.03033424439573</v>
      </c>
      <c r="G37">
        <v>-0.28341594753762361</v>
      </c>
      <c r="H37">
        <v>-1.313491114980795E-2</v>
      </c>
      <c r="I37">
        <v>0.17197093795730009</v>
      </c>
      <c r="J37">
        <v>9.8403885452969242E-2</v>
      </c>
      <c r="K37">
        <v>0.30213081591089108</v>
      </c>
      <c r="L37">
        <v>-0.88361184137446858</v>
      </c>
      <c r="M37">
        <v>-0.65126822543154617</v>
      </c>
      <c r="N37">
        <v>0.86332560628491606</v>
      </c>
      <c r="O37">
        <v>0.49818798628025829</v>
      </c>
      <c r="P37">
        <v>0.69685820477770788</v>
      </c>
      <c r="Q37">
        <v>-0.52486557418804092</v>
      </c>
      <c r="R37">
        <v>-0.28341594753762361</v>
      </c>
      <c r="S37">
        <v>9.2569804564363469</v>
      </c>
      <c r="T37">
        <v>0.15551986573479051</v>
      </c>
      <c r="U37">
        <v>9.1014605907015564</v>
      </c>
      <c r="V37">
        <v>-1.313491114980795E-2</v>
      </c>
      <c r="W37">
        <v>4.6758098629890217</v>
      </c>
      <c r="X37">
        <v>8.4774446653113067E-2</v>
      </c>
      <c r="Y37">
        <v>4.5910354163359086</v>
      </c>
      <c r="Z37">
        <v>0.17197093795730009</v>
      </c>
      <c r="AA37">
        <v>-9.8403885452969242E-2</v>
      </c>
      <c r="AB37">
        <v>-0.36105429762281449</v>
      </c>
      <c r="AC37">
        <v>-0.24320733419896781</v>
      </c>
      <c r="AD37">
        <v>-0.6653075040385249</v>
      </c>
      <c r="AE37">
        <v>-0.29337659281682099</v>
      </c>
      <c r="AF37">
        <v>-1.385899225131189</v>
      </c>
      <c r="AG37">
        <v>-0.68342534614770434</v>
      </c>
      <c r="AH37">
        <v>-1.1632487526441451</v>
      </c>
      <c r="AI37">
        <v>-1.1104136274684271</v>
      </c>
      <c r="AJ37">
        <v>3.4453423900978102E-2</v>
      </c>
      <c r="AK37">
        <v>-1.4028264090264491</v>
      </c>
      <c r="AL37">
        <v>-0.58543169116916771</v>
      </c>
      <c r="AM37">
        <v>-0.86332560628491606</v>
      </c>
      <c r="AN37">
        <v>0.49818798628025829</v>
      </c>
      <c r="AO37">
        <v>0.63531494293570656</v>
      </c>
      <c r="AP37">
        <v>0.75840146661970909</v>
      </c>
      <c r="AQ37">
        <v>-0.52486557418804092</v>
      </c>
    </row>
    <row r="38" spans="1:43" x14ac:dyDescent="0.3">
      <c r="A38">
        <v>268</v>
      </c>
      <c r="B38">
        <v>2025</v>
      </c>
      <c r="C38" t="s">
        <v>87</v>
      </c>
      <c r="D38">
        <v>9.5</v>
      </c>
      <c r="E38">
        <v>8.8087696307000964</v>
      </c>
      <c r="F38">
        <v>0.69123036929990356</v>
      </c>
      <c r="G38">
        <v>-0.72301251815494683</v>
      </c>
      <c r="H38">
        <v>-0.59752197557705977</v>
      </c>
      <c r="I38">
        <v>5.4438486523957927E-2</v>
      </c>
      <c r="J38">
        <v>-4.949663994156752E-2</v>
      </c>
      <c r="K38">
        <v>0.30213081591089108</v>
      </c>
      <c r="L38">
        <v>-1.083916887980775</v>
      </c>
      <c r="M38">
        <v>0.1028034677800241</v>
      </c>
      <c r="N38">
        <v>0.36001971352013318</v>
      </c>
      <c r="O38">
        <v>-0.20177230790510031</v>
      </c>
      <c r="P38">
        <v>0.56034771727757915</v>
      </c>
      <c r="Q38">
        <v>-0.52486557418804092</v>
      </c>
      <c r="R38">
        <v>-0.72301251815494683</v>
      </c>
      <c r="S38">
        <v>9.2569804564363469</v>
      </c>
      <c r="T38">
        <v>0.15551986573479051</v>
      </c>
      <c r="U38">
        <v>9.1014605907015564</v>
      </c>
      <c r="V38">
        <v>-0.59752197557705977</v>
      </c>
      <c r="W38">
        <v>4.6758098629890217</v>
      </c>
      <c r="X38">
        <v>8.4774446653113067E-2</v>
      </c>
      <c r="Y38">
        <v>4.5910354163359086</v>
      </c>
      <c r="Z38">
        <v>5.4438486523957927E-2</v>
      </c>
      <c r="AA38">
        <v>4.949663994156752E-2</v>
      </c>
      <c r="AB38">
        <v>-0.36105429762281449</v>
      </c>
      <c r="AC38">
        <v>-0.24320733419896781</v>
      </c>
      <c r="AD38">
        <v>-0.86475445519372995</v>
      </c>
      <c r="AE38">
        <v>-0.72344020779552332</v>
      </c>
      <c r="AF38">
        <v>-1.056254519172952</v>
      </c>
      <c r="AG38">
        <v>-1.051814468126695</v>
      </c>
      <c r="AH38">
        <v>-1.394506926231089</v>
      </c>
      <c r="AI38">
        <v>-1.412730751364663</v>
      </c>
      <c r="AJ38">
        <v>0.2120791782952052</v>
      </c>
      <c r="AK38">
        <v>-0.42444814214562238</v>
      </c>
      <c r="AL38">
        <v>0.52077936719048945</v>
      </c>
      <c r="AM38">
        <v>-0.36001971352013318</v>
      </c>
      <c r="AN38">
        <v>-0.20177230790510031</v>
      </c>
      <c r="AO38">
        <v>0.61505937772045449</v>
      </c>
      <c r="AP38">
        <v>0.50563605683470381</v>
      </c>
      <c r="AQ38">
        <v>-0.52486557418804092</v>
      </c>
    </row>
    <row r="39" spans="1:43" x14ac:dyDescent="0.3">
      <c r="A39">
        <v>273</v>
      </c>
      <c r="B39">
        <v>2025</v>
      </c>
      <c r="C39" t="s">
        <v>89</v>
      </c>
      <c r="D39">
        <v>13.66666666666667</v>
      </c>
      <c r="E39">
        <v>12.265758333823049</v>
      </c>
      <c r="F39">
        <v>1.4009083328436169</v>
      </c>
      <c r="G39">
        <v>0.30150100731644791</v>
      </c>
      <c r="H39">
        <v>1.4145051017935479</v>
      </c>
      <c r="I39">
        <v>-0.74837975900215847</v>
      </c>
      <c r="J39">
        <v>6.8984044101269654E-2</v>
      </c>
      <c r="K39">
        <v>0.30213081591089108</v>
      </c>
      <c r="L39">
        <v>-0.84145676617463294</v>
      </c>
      <c r="M39">
        <v>-0.81574022948939462</v>
      </c>
      <c r="N39">
        <v>-2.237719021217352E-2</v>
      </c>
      <c r="O39">
        <v>0.15902450221035799</v>
      </c>
      <c r="P39">
        <v>7.7916599574108639E-2</v>
      </c>
      <c r="Q39">
        <v>-0.52486557418804092</v>
      </c>
      <c r="R39">
        <v>0.30150100731644791</v>
      </c>
      <c r="S39">
        <v>9.2569804564363469</v>
      </c>
      <c r="T39">
        <v>0.15551986573479051</v>
      </c>
      <c r="U39">
        <v>9.1014605907015564</v>
      </c>
      <c r="V39">
        <v>1.4145051017935479</v>
      </c>
      <c r="W39">
        <v>4.6758098629890217</v>
      </c>
      <c r="X39">
        <v>8.4774446653113067E-2</v>
      </c>
      <c r="Y39">
        <v>4.5910354163359086</v>
      </c>
      <c r="Z39">
        <v>-0.74837975900215847</v>
      </c>
      <c r="AA39">
        <v>-6.8984044101269654E-2</v>
      </c>
      <c r="AB39">
        <v>-0.36105429762281449</v>
      </c>
      <c r="AC39">
        <v>-0.24320733419896781</v>
      </c>
      <c r="AD39">
        <v>-0.52076564133869685</v>
      </c>
      <c r="AE39">
        <v>-0.90189101894320656</v>
      </c>
      <c r="AF39">
        <v>-0.60139245722634638</v>
      </c>
      <c r="AG39">
        <v>-0.55203346878602721</v>
      </c>
      <c r="AH39">
        <v>-1.3697792366589501</v>
      </c>
      <c r="AI39">
        <v>-1.1028787740945709</v>
      </c>
      <c r="AJ39">
        <v>-0.38159380725773501</v>
      </c>
      <c r="AK39">
        <v>-0.42882069026474579</v>
      </c>
      <c r="AL39">
        <v>-1.636806190945703</v>
      </c>
      <c r="AM39">
        <v>2.237719021217352E-2</v>
      </c>
      <c r="AN39">
        <v>0.15902450221035799</v>
      </c>
      <c r="AO39">
        <v>0.108724862117505</v>
      </c>
      <c r="AP39">
        <v>4.7108337030712273E-2</v>
      </c>
      <c r="AQ39">
        <v>-0.52486557418804092</v>
      </c>
    </row>
    <row r="40" spans="1:43" x14ac:dyDescent="0.3">
      <c r="A40">
        <v>278</v>
      </c>
      <c r="B40">
        <v>2025</v>
      </c>
      <c r="C40" t="s">
        <v>90</v>
      </c>
      <c r="D40">
        <v>8.3333333333333339</v>
      </c>
      <c r="E40">
        <v>6.2452880007992606</v>
      </c>
      <c r="F40">
        <v>2.0880453325340729</v>
      </c>
      <c r="G40">
        <v>-0.88163654217803966</v>
      </c>
      <c r="H40">
        <v>-0.93433294061726158</v>
      </c>
      <c r="I40">
        <v>0.1568646124758977</v>
      </c>
      <c r="J40">
        <v>6.7915619253217915E-2</v>
      </c>
      <c r="K40">
        <v>-1.4647523382991741</v>
      </c>
      <c r="L40">
        <v>-1.440928388212793</v>
      </c>
      <c r="M40">
        <v>0.34532726524657648</v>
      </c>
      <c r="N40">
        <v>0.52151878365932969</v>
      </c>
      <c r="O40">
        <v>0.41871493076561389</v>
      </c>
      <c r="P40">
        <v>0.50178863603044788</v>
      </c>
      <c r="Q40">
        <v>-0.52486557418804092</v>
      </c>
      <c r="R40">
        <v>-0.88163654217803966</v>
      </c>
      <c r="S40">
        <v>9.2569804564363469</v>
      </c>
      <c r="T40">
        <v>0.15551986573479051</v>
      </c>
      <c r="U40">
        <v>9.1014605907015564</v>
      </c>
      <c r="V40">
        <v>-0.93433294061726158</v>
      </c>
      <c r="W40">
        <v>4.6758098629890217</v>
      </c>
      <c r="X40">
        <v>8.4774446653113067E-2</v>
      </c>
      <c r="Y40">
        <v>4.5910354163359086</v>
      </c>
      <c r="Z40">
        <v>0.1568646124758977</v>
      </c>
      <c r="AA40">
        <v>-6.7915619253217915E-2</v>
      </c>
      <c r="AB40">
        <v>2.7696665199223802</v>
      </c>
      <c r="AC40">
        <v>0.15983815667596721</v>
      </c>
      <c r="AD40">
        <v>-2.023821626387575</v>
      </c>
      <c r="AE40">
        <v>-0.1244983675964712</v>
      </c>
      <c r="AF40">
        <v>-1.5493088817328959</v>
      </c>
      <c r="AG40">
        <v>-1.471531487004051</v>
      </c>
      <c r="AH40">
        <v>-1.871939226175789</v>
      </c>
      <c r="AI40">
        <v>-1.6044707403799749</v>
      </c>
      <c r="AJ40">
        <v>0.92152967306108691</v>
      </c>
      <c r="AK40">
        <v>1.6354208806755949E-2</v>
      </c>
      <c r="AL40">
        <v>9.8097913871886697E-2</v>
      </c>
      <c r="AM40">
        <v>-0.52151878365932969</v>
      </c>
      <c r="AN40">
        <v>0.41871493076561389</v>
      </c>
      <c r="AO40">
        <v>0.6793788379778517</v>
      </c>
      <c r="AP40">
        <v>0.32419843408304411</v>
      </c>
      <c r="AQ40">
        <v>-0.52486557418804092</v>
      </c>
    </row>
    <row r="41" spans="1:43" x14ac:dyDescent="0.3">
      <c r="A41">
        <v>283</v>
      </c>
      <c r="B41">
        <v>2025</v>
      </c>
      <c r="C41" t="s">
        <v>92</v>
      </c>
      <c r="D41">
        <v>12.66666666666667</v>
      </c>
      <c r="E41">
        <v>11.875908798304989</v>
      </c>
      <c r="F41">
        <v>0.79075786836167694</v>
      </c>
      <c r="G41">
        <v>0.56728666514181592</v>
      </c>
      <c r="H41">
        <v>-0.16461113418372519</v>
      </c>
      <c r="I41">
        <v>0.32622136548850411</v>
      </c>
      <c r="J41">
        <v>0.62895313857103985</v>
      </c>
      <c r="K41">
        <v>0.30213081591089108</v>
      </c>
      <c r="L41">
        <v>-0.165712710474023</v>
      </c>
      <c r="M41">
        <v>-0.90796736416917501</v>
      </c>
      <c r="N41">
        <v>-4.3019510720245652E-2</v>
      </c>
      <c r="O41">
        <v>4.0008881813874651E-2</v>
      </c>
      <c r="P41">
        <v>-0.2708274034789786</v>
      </c>
      <c r="Q41">
        <v>-0.52486557418804092</v>
      </c>
      <c r="R41">
        <v>0.56728666514181592</v>
      </c>
      <c r="S41">
        <v>9.2569804564363469</v>
      </c>
      <c r="T41">
        <v>0.15551986573479051</v>
      </c>
      <c r="U41">
        <v>9.1014605907015564</v>
      </c>
      <c r="V41">
        <v>-0.16461113418372519</v>
      </c>
      <c r="W41">
        <v>4.6758098629890217</v>
      </c>
      <c r="X41">
        <v>8.4774446653113067E-2</v>
      </c>
      <c r="Y41">
        <v>4.5910354163359086</v>
      </c>
      <c r="Z41">
        <v>0.32622136548850411</v>
      </c>
      <c r="AA41">
        <v>-0.62895313857103985</v>
      </c>
      <c r="AB41">
        <v>-0.36105429762281449</v>
      </c>
      <c r="AC41">
        <v>-0.24320733419896781</v>
      </c>
      <c r="AD41">
        <v>0.32968709619477382</v>
      </c>
      <c r="AE41">
        <v>0.27754663132540791</v>
      </c>
      <c r="AF41">
        <v>-7.2180349931286358E-2</v>
      </c>
      <c r="AG41">
        <v>-0.41098697034169229</v>
      </c>
      <c r="AH41">
        <v>-0.40990959458447468</v>
      </c>
      <c r="AI41">
        <v>-0.70843307550686641</v>
      </c>
      <c r="AJ41">
        <v>-0.5467647083881455</v>
      </c>
      <c r="AK41">
        <v>-0.96771662071972153</v>
      </c>
      <c r="AL41">
        <v>-1.2094207633996581</v>
      </c>
      <c r="AM41">
        <v>4.3019510720245652E-2</v>
      </c>
      <c r="AN41">
        <v>4.0008881813874651E-2</v>
      </c>
      <c r="AO41">
        <v>-0.2825900831735727</v>
      </c>
      <c r="AP41">
        <v>-0.25906472378438439</v>
      </c>
      <c r="AQ41">
        <v>-0.52486557418804092</v>
      </c>
    </row>
    <row r="42" spans="1:43" x14ac:dyDescent="0.3">
      <c r="A42">
        <v>288</v>
      </c>
      <c r="B42">
        <v>2025</v>
      </c>
      <c r="C42" t="s">
        <v>93</v>
      </c>
      <c r="D42">
        <v>12.33333333333333</v>
      </c>
      <c r="E42">
        <v>10.379036461976449</v>
      </c>
      <c r="F42">
        <v>1.954296871356878</v>
      </c>
      <c r="G42">
        <v>-0.24664294450435481</v>
      </c>
      <c r="H42">
        <v>-0.50165571298488609</v>
      </c>
      <c r="I42">
        <v>-3.9517618782339912E-2</v>
      </c>
      <c r="J42">
        <v>7.6443939022485238E-2</v>
      </c>
      <c r="K42">
        <v>0.30213081591089108</v>
      </c>
      <c r="L42">
        <v>-0.60531441946583897</v>
      </c>
      <c r="M42">
        <v>-0.39415287972931179</v>
      </c>
      <c r="N42">
        <v>0.45406312525610082</v>
      </c>
      <c r="O42">
        <v>-0.1135321304186159</v>
      </c>
      <c r="P42">
        <v>0.4502979322193934</v>
      </c>
      <c r="Q42">
        <v>-0.52486557418804092</v>
      </c>
      <c r="R42">
        <v>-0.24664294450435481</v>
      </c>
      <c r="S42">
        <v>9.2569804564363469</v>
      </c>
      <c r="T42">
        <v>0.15551986573479051</v>
      </c>
      <c r="U42">
        <v>9.1014605907015564</v>
      </c>
      <c r="V42">
        <v>-0.50165571298488609</v>
      </c>
      <c r="W42">
        <v>4.6758098629890217</v>
      </c>
      <c r="X42">
        <v>8.4774446653113067E-2</v>
      </c>
      <c r="Y42">
        <v>4.5910354163359086</v>
      </c>
      <c r="Z42">
        <v>-3.9517618782339912E-2</v>
      </c>
      <c r="AA42">
        <v>-7.6443939022485238E-2</v>
      </c>
      <c r="AB42">
        <v>-0.36105429762281449</v>
      </c>
      <c r="AC42">
        <v>-0.24320733419896781</v>
      </c>
      <c r="AD42">
        <v>-0.31506305855833427</v>
      </c>
      <c r="AE42">
        <v>-0.1298051059923907</v>
      </c>
      <c r="AF42">
        <v>-0.75452692390615916</v>
      </c>
      <c r="AG42">
        <v>-0.48890265308385661</v>
      </c>
      <c r="AH42">
        <v>-0.75503113041198167</v>
      </c>
      <c r="AI42">
        <v>-1.188557644842311</v>
      </c>
      <c r="AJ42">
        <v>1.5658373704071971E-2</v>
      </c>
      <c r="AK42">
        <v>-0.88843324822014547</v>
      </c>
      <c r="AL42">
        <v>-0.30968376467186209</v>
      </c>
      <c r="AM42">
        <v>-0.45406312525610082</v>
      </c>
      <c r="AN42">
        <v>-0.1135321304186159</v>
      </c>
      <c r="AO42">
        <v>0.49453568348216032</v>
      </c>
      <c r="AP42">
        <v>0.4060601809566266</v>
      </c>
      <c r="AQ42">
        <v>-0.52486557418804092</v>
      </c>
    </row>
    <row r="43" spans="1:43" x14ac:dyDescent="0.3">
      <c r="A43">
        <v>293</v>
      </c>
      <c r="B43">
        <v>2025</v>
      </c>
      <c r="C43" t="s">
        <v>94</v>
      </c>
      <c r="D43">
        <v>14</v>
      </c>
      <c r="E43">
        <v>12.78646263971932</v>
      </c>
      <c r="F43">
        <v>1.2135373602806749</v>
      </c>
      <c r="G43">
        <v>-1.1762485866759089E-2</v>
      </c>
      <c r="H43">
        <v>0.49263054686351893</v>
      </c>
      <c r="I43">
        <v>-0.47471950432749582</v>
      </c>
      <c r="J43">
        <v>0.27360648151824679</v>
      </c>
      <c r="K43">
        <v>0.30213081591089108</v>
      </c>
      <c r="L43">
        <v>-0.54809909546631219</v>
      </c>
      <c r="M43">
        <v>-0.3031811068429886</v>
      </c>
      <c r="N43">
        <v>0.72021848254725906</v>
      </c>
      <c r="O43">
        <v>0.18810600267447039</v>
      </c>
      <c r="P43">
        <v>0.80286791583685058</v>
      </c>
      <c r="Q43">
        <v>-0.52486557418804092</v>
      </c>
      <c r="R43">
        <v>-1.1762485866759089E-2</v>
      </c>
      <c r="S43">
        <v>9.2569804564363469</v>
      </c>
      <c r="T43">
        <v>0.15551986573479051</v>
      </c>
      <c r="U43">
        <v>9.1014605907015564</v>
      </c>
      <c r="V43">
        <v>0.49263054686351893</v>
      </c>
      <c r="W43">
        <v>4.6758098629890217</v>
      </c>
      <c r="X43">
        <v>8.4774446653113067E-2</v>
      </c>
      <c r="Y43">
        <v>4.5910354163359086</v>
      </c>
      <c r="Z43">
        <v>-0.47471950432749582</v>
      </c>
      <c r="AA43">
        <v>-0.27360648151824679</v>
      </c>
      <c r="AB43">
        <v>-0.36105429762281449</v>
      </c>
      <c r="AC43">
        <v>-0.24320733419896781</v>
      </c>
      <c r="AD43">
        <v>-0.1019012924900638</v>
      </c>
      <c r="AE43">
        <v>-0.82844864756457581</v>
      </c>
      <c r="AF43">
        <v>-0.57918075099430122</v>
      </c>
      <c r="AG43">
        <v>-0.22990096609240371</v>
      </c>
      <c r="AH43">
        <v>-0.67115382426925063</v>
      </c>
      <c r="AI43">
        <v>-0.87800909138727801</v>
      </c>
      <c r="AJ43">
        <v>-6.1727112973322618E-2</v>
      </c>
      <c r="AK43">
        <v>-0.82548505548635065</v>
      </c>
      <c r="AL43">
        <v>-2.2331152069292481E-2</v>
      </c>
      <c r="AM43">
        <v>-0.72021848254725906</v>
      </c>
      <c r="AN43">
        <v>0.18810600267447039</v>
      </c>
      <c r="AO43">
        <v>0.64164518726088571</v>
      </c>
      <c r="AP43">
        <v>0.96409064441281533</v>
      </c>
      <c r="AQ43">
        <v>-0.52486557418804092</v>
      </c>
    </row>
    <row r="44" spans="1:43" x14ac:dyDescent="0.3">
      <c r="A44">
        <v>298</v>
      </c>
      <c r="B44">
        <v>2025</v>
      </c>
      <c r="C44" t="s">
        <v>96</v>
      </c>
      <c r="D44">
        <v>14.66666666666667</v>
      </c>
      <c r="E44">
        <v>13.867453872610159</v>
      </c>
      <c r="F44">
        <v>0.79921279405651191</v>
      </c>
      <c r="G44">
        <v>0.72561593442546468</v>
      </c>
      <c r="H44">
        <v>-0.19689118974005271</v>
      </c>
      <c r="I44">
        <v>-0.59526448887707206</v>
      </c>
      <c r="J44">
        <v>-0.22315383578019959</v>
      </c>
      <c r="K44">
        <v>-1.3532392676251841</v>
      </c>
      <c r="L44">
        <v>0.97591836625735551</v>
      </c>
      <c r="M44">
        <v>-7.3355015700937734E-2</v>
      </c>
      <c r="N44">
        <v>-0.23785745651177939</v>
      </c>
      <c r="O44">
        <v>-4.969248266791642E-2</v>
      </c>
      <c r="P44">
        <v>0.65290322024167891</v>
      </c>
      <c r="Q44">
        <v>-0.52486557418804092</v>
      </c>
      <c r="R44">
        <v>0.72561593442546468</v>
      </c>
      <c r="S44">
        <v>9.2569804564363469</v>
      </c>
      <c r="T44">
        <v>0.15551986573479051</v>
      </c>
      <c r="U44">
        <v>9.1014605907015564</v>
      </c>
      <c r="V44">
        <v>-0.19689118974005271</v>
      </c>
      <c r="W44">
        <v>4.6758098629890217</v>
      </c>
      <c r="X44">
        <v>8.4774446653113067E-2</v>
      </c>
      <c r="Y44">
        <v>4.5910354163359086</v>
      </c>
      <c r="Z44">
        <v>-0.59526448887707206</v>
      </c>
      <c r="AA44">
        <v>0.22315383578019959</v>
      </c>
      <c r="AB44">
        <v>2.7696665199223802</v>
      </c>
      <c r="AC44">
        <v>-6.3187984672011782E-2</v>
      </c>
      <c r="AD44">
        <v>1.18810749849833</v>
      </c>
      <c r="AE44">
        <v>1.4968413766392941</v>
      </c>
      <c r="AF44">
        <v>0.43456174901519812</v>
      </c>
      <c r="AG44">
        <v>0.42225770374170629</v>
      </c>
      <c r="AH44">
        <v>0.8987445454852625</v>
      </c>
      <c r="AI44">
        <v>1.4149973241643421</v>
      </c>
      <c r="AJ44">
        <v>-0.157005487438172</v>
      </c>
      <c r="AK44">
        <v>-3.9581406754859792E-2</v>
      </c>
      <c r="AL44">
        <v>-2.3478152909781429E-2</v>
      </c>
      <c r="AM44">
        <v>0.23785745651177939</v>
      </c>
      <c r="AN44">
        <v>-4.969248266791642E-2</v>
      </c>
      <c r="AO44">
        <v>0.49751627086804417</v>
      </c>
      <c r="AP44">
        <v>0.80829016961531364</v>
      </c>
      <c r="AQ44">
        <v>-0.52486557418804092</v>
      </c>
    </row>
    <row r="45" spans="1:43" x14ac:dyDescent="0.3">
      <c r="A45">
        <v>299</v>
      </c>
      <c r="B45">
        <v>2025</v>
      </c>
      <c r="C45" t="s">
        <v>97</v>
      </c>
      <c r="D45">
        <v>1</v>
      </c>
      <c r="E45">
        <v>-1.1667272363614409</v>
      </c>
      <c r="F45">
        <v>2.1667272363614409</v>
      </c>
      <c r="G45">
        <v>-0.843843645578784</v>
      </c>
      <c r="H45">
        <v>-0.21070022799404489</v>
      </c>
      <c r="I45">
        <v>-2.2908965085714028</v>
      </c>
      <c r="J45">
        <v>-6.8123118875173612</v>
      </c>
      <c r="K45">
        <v>-2.1230086313229082</v>
      </c>
      <c r="L45">
        <v>-2.179960594994482</v>
      </c>
      <c r="M45">
        <v>-0.41499108059959039</v>
      </c>
      <c r="N45">
        <v>-2.9525587536924611</v>
      </c>
      <c r="O45">
        <v>0.51883487255907335</v>
      </c>
      <c r="P45">
        <v>0.36649601215878957</v>
      </c>
      <c r="Q45">
        <v>-0.52486557418804092</v>
      </c>
      <c r="R45">
        <v>-0.843843645578784</v>
      </c>
      <c r="S45">
        <v>9.2569804564363469</v>
      </c>
      <c r="T45">
        <v>0.15551986573479051</v>
      </c>
      <c r="U45">
        <v>9.1014605907015564</v>
      </c>
      <c r="V45">
        <v>-0.21070022799404489</v>
      </c>
      <c r="W45">
        <v>4.6758098629890217</v>
      </c>
      <c r="X45">
        <v>8.4774446653113067E-2</v>
      </c>
      <c r="Y45">
        <v>4.5910354163359086</v>
      </c>
      <c r="Z45">
        <v>-2.2908965085714028</v>
      </c>
      <c r="AA45">
        <v>6.8123118875173612</v>
      </c>
      <c r="AB45">
        <v>2.7696665199223802</v>
      </c>
      <c r="AC45">
        <v>1.4763507427234359</v>
      </c>
      <c r="AD45">
        <v>-2.1347622471084908</v>
      </c>
      <c r="AE45">
        <v>-2.135280509570336</v>
      </c>
      <c r="AF45">
        <v>-2.0195700738249052</v>
      </c>
      <c r="AG45">
        <v>-2.5260681699962908</v>
      </c>
      <c r="AH45">
        <v>-2.502094842211962</v>
      </c>
      <c r="AI45">
        <v>-1.761987727254908</v>
      </c>
      <c r="AJ45">
        <v>-0.26969344839969828</v>
      </c>
      <c r="AK45">
        <v>-1.2723099727160121</v>
      </c>
      <c r="AL45">
        <v>0.29703017931693948</v>
      </c>
      <c r="AM45">
        <v>2.9525587536924611</v>
      </c>
      <c r="AN45">
        <v>0.51883487255907335</v>
      </c>
      <c r="AO45">
        <v>-0.31707951916993787</v>
      </c>
      <c r="AP45">
        <v>1.050071543487517</v>
      </c>
      <c r="AQ45">
        <v>-0.52486557418804092</v>
      </c>
    </row>
    <row r="46" spans="1:43" x14ac:dyDescent="0.3">
      <c r="A46">
        <v>316</v>
      </c>
      <c r="B46">
        <v>2025</v>
      </c>
      <c r="C46" t="s">
        <v>99</v>
      </c>
      <c r="D46">
        <v>8.3333333333333339</v>
      </c>
      <c r="E46">
        <v>9.5286984807141053</v>
      </c>
      <c r="F46">
        <v>-1.1953651473807709</v>
      </c>
      <c r="G46">
        <v>0.77245582693132664</v>
      </c>
      <c r="H46">
        <v>-1.45985577200505</v>
      </c>
      <c r="I46">
        <v>-0.46755928068891178</v>
      </c>
      <c r="J46">
        <v>0.44713012425087262</v>
      </c>
      <c r="K46">
        <v>-2.2733981083619978</v>
      </c>
      <c r="L46">
        <v>0.78480037887282295</v>
      </c>
      <c r="M46">
        <v>-0.2731274826989844</v>
      </c>
      <c r="N46">
        <v>-1.1593161971460011</v>
      </c>
      <c r="O46">
        <v>-0.66053330099793339</v>
      </c>
      <c r="P46">
        <v>0.55523515310354432</v>
      </c>
      <c r="Q46">
        <v>-0.52486557418804092</v>
      </c>
      <c r="R46">
        <v>0.77245582693132664</v>
      </c>
      <c r="S46">
        <v>9.2569804564363469</v>
      </c>
      <c r="T46">
        <v>0.15551986573479051</v>
      </c>
      <c r="U46">
        <v>9.1014605907015564</v>
      </c>
      <c r="V46">
        <v>-1.45985577200505</v>
      </c>
      <c r="W46">
        <v>4.6758098629890217</v>
      </c>
      <c r="X46">
        <v>8.4774446653113067E-2</v>
      </c>
      <c r="Y46">
        <v>4.5910354163359086</v>
      </c>
      <c r="Z46">
        <v>-0.46755928068891178</v>
      </c>
      <c r="AA46">
        <v>-0.44713012425087262</v>
      </c>
      <c r="AB46">
        <v>2.7696665199223802</v>
      </c>
      <c r="AC46">
        <v>1.7771296968016159</v>
      </c>
      <c r="AD46">
        <v>0.93294036088949372</v>
      </c>
      <c r="AE46">
        <v>1.489963073539277</v>
      </c>
      <c r="AF46">
        <v>0.33680520790889679</v>
      </c>
      <c r="AG46">
        <v>0.18367293879547189</v>
      </c>
      <c r="AH46">
        <v>0.65858336879546819</v>
      </c>
      <c r="AI46">
        <v>1.1068373233083311</v>
      </c>
      <c r="AJ46">
        <v>0.31560231477976392</v>
      </c>
      <c r="AK46">
        <v>-0.16440528041964531</v>
      </c>
      <c r="AL46">
        <v>-0.97057948245707171</v>
      </c>
      <c r="AM46">
        <v>1.1593161971460011</v>
      </c>
      <c r="AN46">
        <v>-0.66053330099793339</v>
      </c>
      <c r="AO46">
        <v>0.6050984093997851</v>
      </c>
      <c r="AP46">
        <v>0.50537189680730354</v>
      </c>
      <c r="AQ46">
        <v>-0.52486557418804092</v>
      </c>
    </row>
    <row r="47" spans="1:43" x14ac:dyDescent="0.3">
      <c r="A47">
        <v>339</v>
      </c>
      <c r="B47">
        <v>2025</v>
      </c>
      <c r="C47" t="s">
        <v>100</v>
      </c>
      <c r="D47">
        <v>6.5</v>
      </c>
      <c r="E47">
        <v>6.0312687946614458</v>
      </c>
      <c r="F47">
        <v>0.46873120533855422</v>
      </c>
      <c r="G47">
        <v>-0.13265023600556039</v>
      </c>
      <c r="H47">
        <v>-1.892923445964787</v>
      </c>
      <c r="I47">
        <v>-0.18442482766319629</v>
      </c>
      <c r="J47">
        <v>0.41400895396128051</v>
      </c>
      <c r="K47">
        <v>-2.9016100375394962</v>
      </c>
      <c r="L47">
        <v>-0.22331691151771349</v>
      </c>
      <c r="M47">
        <v>-0.13309594277336231</v>
      </c>
      <c r="N47">
        <v>-0.18520981537746339</v>
      </c>
      <c r="O47">
        <v>-0.20336280348406249</v>
      </c>
      <c r="P47">
        <v>0.15704823056607389</v>
      </c>
      <c r="Q47">
        <v>-0.52486557418804092</v>
      </c>
      <c r="R47">
        <v>-0.13265023600556039</v>
      </c>
      <c r="S47">
        <v>9.2569804564363469</v>
      </c>
      <c r="T47">
        <v>0.15551986573479051</v>
      </c>
      <c r="U47">
        <v>9.1014605907015564</v>
      </c>
      <c r="V47">
        <v>-1.892923445964787</v>
      </c>
      <c r="W47">
        <v>4.6758098629890217</v>
      </c>
      <c r="X47">
        <v>8.4774446653113067E-2</v>
      </c>
      <c r="Y47">
        <v>4.5910354163359086</v>
      </c>
      <c r="Z47">
        <v>-0.18442482766319629</v>
      </c>
      <c r="AA47">
        <v>-0.41400895396128051</v>
      </c>
      <c r="AB47">
        <v>2.7696665199223802</v>
      </c>
      <c r="AC47">
        <v>3.0335535551566122</v>
      </c>
      <c r="AD47">
        <v>-3.8192709188747558E-2</v>
      </c>
      <c r="AE47">
        <v>0.90333382909238968</v>
      </c>
      <c r="AF47">
        <v>-0.49802837061228289</v>
      </c>
      <c r="AG47">
        <v>-0.84605425861945172</v>
      </c>
      <c r="AH47">
        <v>-0.55405869022794296</v>
      </c>
      <c r="AI47">
        <v>-0.30690126955024549</v>
      </c>
      <c r="AJ47">
        <v>1.9943645148966588E-2</v>
      </c>
      <c r="AK47">
        <v>-0.26018883450081892</v>
      </c>
      <c r="AL47">
        <v>-0.15904263896823451</v>
      </c>
      <c r="AM47">
        <v>0.18520981537746339</v>
      </c>
      <c r="AN47">
        <v>-0.20336280348406249</v>
      </c>
      <c r="AO47">
        <v>0.25105981846525549</v>
      </c>
      <c r="AP47">
        <v>6.3036642666892351E-2</v>
      </c>
      <c r="AQ47">
        <v>-0.52486557418804092</v>
      </c>
    </row>
    <row r="48" spans="1:43" x14ac:dyDescent="0.3">
      <c r="A48">
        <v>343</v>
      </c>
      <c r="B48">
        <v>2025</v>
      </c>
      <c r="C48" t="s">
        <v>101</v>
      </c>
      <c r="D48">
        <v>10</v>
      </c>
      <c r="E48">
        <v>9.6633731509280008</v>
      </c>
      <c r="F48">
        <v>0.33662684907199919</v>
      </c>
      <c r="G48">
        <v>-8.5176858260152005E-2</v>
      </c>
      <c r="H48">
        <v>-0.87596384612401446</v>
      </c>
      <c r="I48">
        <v>-0.77627843525249496</v>
      </c>
      <c r="J48">
        <v>-0.22347817903764389</v>
      </c>
      <c r="K48">
        <v>-1.714419057053979</v>
      </c>
      <c r="L48">
        <v>1.377560501022768E-2</v>
      </c>
      <c r="M48">
        <v>-9.0343936684732243E-2</v>
      </c>
      <c r="N48">
        <v>-3.2740024060775107E-2</v>
      </c>
      <c r="O48">
        <v>0.2872339629047444</v>
      </c>
      <c r="P48">
        <v>0.665669522983241</v>
      </c>
      <c r="Q48">
        <v>-0.52486557418804092</v>
      </c>
      <c r="R48">
        <v>-8.5176858260152005E-2</v>
      </c>
      <c r="S48">
        <v>9.2569804564363469</v>
      </c>
      <c r="T48">
        <v>0.15551986573479051</v>
      </c>
      <c r="U48">
        <v>9.1014605907015564</v>
      </c>
      <c r="V48">
        <v>-0.87596384612401446</v>
      </c>
      <c r="W48">
        <v>4.6758098629890217</v>
      </c>
      <c r="X48">
        <v>8.4774446653113067E-2</v>
      </c>
      <c r="Y48">
        <v>4.5910354163359086</v>
      </c>
      <c r="Z48">
        <v>-0.77627843525249496</v>
      </c>
      <c r="AA48">
        <v>0.22347817903764389</v>
      </c>
      <c r="AB48">
        <v>2.7696665199223802</v>
      </c>
      <c r="AC48">
        <v>0.65917159418557703</v>
      </c>
      <c r="AD48">
        <v>0.37781061295115298</v>
      </c>
      <c r="AE48">
        <v>0.53282601835197507</v>
      </c>
      <c r="AF48">
        <v>-0.15625370623019311</v>
      </c>
      <c r="AG48">
        <v>-0.22057703023485239</v>
      </c>
      <c r="AH48">
        <v>-0.20966694409660139</v>
      </c>
      <c r="AI48">
        <v>-0.24148532068011491</v>
      </c>
      <c r="AJ48">
        <v>0.521997026008722</v>
      </c>
      <c r="AK48">
        <v>3.392690219115712E-2</v>
      </c>
      <c r="AL48">
        <v>-0.82695573825407587</v>
      </c>
      <c r="AM48">
        <v>3.2740024060775107E-2</v>
      </c>
      <c r="AN48">
        <v>0.2872339629047444</v>
      </c>
      <c r="AO48">
        <v>0.66792437915257452</v>
      </c>
      <c r="AP48">
        <v>0.66341466681390737</v>
      </c>
      <c r="AQ48">
        <v>-0.52486557418804092</v>
      </c>
    </row>
    <row r="49" spans="1:43" x14ac:dyDescent="0.3">
      <c r="A49">
        <v>366</v>
      </c>
      <c r="B49">
        <v>2025</v>
      </c>
      <c r="C49" t="s">
        <v>102</v>
      </c>
      <c r="D49">
        <v>4.3333333333333321</v>
      </c>
      <c r="E49">
        <v>3.8711840564951681</v>
      </c>
      <c r="F49">
        <v>0.46214927683816409</v>
      </c>
      <c r="G49">
        <v>-0.24165193963576451</v>
      </c>
      <c r="H49">
        <v>-1.731030436180961</v>
      </c>
      <c r="I49">
        <v>1.8816489712701769</v>
      </c>
      <c r="J49">
        <v>-3.9337170170019631</v>
      </c>
      <c r="K49">
        <v>-2.6576951119746899</v>
      </c>
      <c r="L49">
        <v>-0.44851907202948199</v>
      </c>
      <c r="M49">
        <v>-0.28088370085746578</v>
      </c>
      <c r="N49">
        <v>-0.86207233830903784</v>
      </c>
      <c r="O49">
        <v>-1.161254929486963</v>
      </c>
      <c r="P49">
        <v>0.88414302969275615</v>
      </c>
      <c r="Q49">
        <v>-0.52486557418804092</v>
      </c>
      <c r="R49">
        <v>-0.24165193963576451</v>
      </c>
      <c r="S49">
        <v>9.2569804564363469</v>
      </c>
      <c r="T49">
        <v>0.15551986573479051</v>
      </c>
      <c r="U49">
        <v>9.1014605907015564</v>
      </c>
      <c r="V49">
        <v>-1.731030436180961</v>
      </c>
      <c r="W49">
        <v>4.6758098629890217</v>
      </c>
      <c r="X49">
        <v>8.4774446653113067E-2</v>
      </c>
      <c r="Y49">
        <v>4.5910354163359086</v>
      </c>
      <c r="Z49">
        <v>1.8816489712701769</v>
      </c>
      <c r="AA49">
        <v>3.9337170170019631</v>
      </c>
      <c r="AB49">
        <v>2.7696665199223802</v>
      </c>
      <c r="AC49">
        <v>2.545723704027</v>
      </c>
      <c r="AD49">
        <v>-9.1170805589348869E-2</v>
      </c>
      <c r="AE49">
        <v>0.53451671391802202</v>
      </c>
      <c r="AF49">
        <v>-0.8680683414904794</v>
      </c>
      <c r="AG49">
        <v>-1.38794559326915</v>
      </c>
      <c r="AH49">
        <v>-0.35078045955631532</v>
      </c>
      <c r="AI49">
        <v>-0.52766594618962126</v>
      </c>
      <c r="AJ49">
        <v>-8.5684536957645621E-2</v>
      </c>
      <c r="AK49">
        <v>-0.1363549717309295</v>
      </c>
      <c r="AL49">
        <v>-0.62061159388382237</v>
      </c>
      <c r="AM49">
        <v>0.86207233830903784</v>
      </c>
      <c r="AN49">
        <v>-1.161254929486963</v>
      </c>
      <c r="AO49">
        <v>0.75988190333969519</v>
      </c>
      <c r="AP49">
        <v>1.008404156045817</v>
      </c>
      <c r="AQ49">
        <v>-0.52486557418804092</v>
      </c>
    </row>
    <row r="50" spans="1:43" x14ac:dyDescent="0.3">
      <c r="A50">
        <v>369</v>
      </c>
      <c r="B50">
        <v>2025</v>
      </c>
      <c r="C50" t="s">
        <v>104</v>
      </c>
      <c r="D50">
        <v>12</v>
      </c>
      <c r="E50">
        <v>11.43096517193727</v>
      </c>
      <c r="F50">
        <v>0.56903482806273331</v>
      </c>
      <c r="G50">
        <v>0.49972844485443513</v>
      </c>
      <c r="H50">
        <v>-0.81503229419659806</v>
      </c>
      <c r="I50">
        <v>-1.1362979725925191</v>
      </c>
      <c r="J50">
        <v>0.412463553734635</v>
      </c>
      <c r="K50">
        <v>0.30213081591089108</v>
      </c>
      <c r="L50">
        <v>-0.1868898726970229</v>
      </c>
      <c r="M50">
        <v>-0.36324311791851899</v>
      </c>
      <c r="N50">
        <v>-0.2025460307166789</v>
      </c>
      <c r="O50">
        <v>1.034275512399055</v>
      </c>
      <c r="P50">
        <v>0.54857798864074669</v>
      </c>
      <c r="Q50">
        <v>-0.52486557418804092</v>
      </c>
      <c r="R50">
        <v>0.49972844485443513</v>
      </c>
      <c r="S50">
        <v>9.2569804564363469</v>
      </c>
      <c r="T50">
        <v>0.15551986573479051</v>
      </c>
      <c r="U50">
        <v>9.1014605907015564</v>
      </c>
      <c r="V50">
        <v>-0.81503229419659806</v>
      </c>
      <c r="W50">
        <v>4.6758098629890217</v>
      </c>
      <c r="X50">
        <v>8.4774446653113067E-2</v>
      </c>
      <c r="Y50">
        <v>4.5910354163359086</v>
      </c>
      <c r="Z50">
        <v>-1.1362979725925191</v>
      </c>
      <c r="AA50">
        <v>-0.412463553734635</v>
      </c>
      <c r="AB50">
        <v>-0.36105429762281449</v>
      </c>
      <c r="AC50">
        <v>-0.24320733419896781</v>
      </c>
      <c r="AD50">
        <v>0.29171029468038667</v>
      </c>
      <c r="AE50">
        <v>0.39226483801434142</v>
      </c>
      <c r="AF50">
        <v>-0.22449211868047569</v>
      </c>
      <c r="AG50">
        <v>-0.56450469549232063</v>
      </c>
      <c r="AH50">
        <v>-0.52644418114866864</v>
      </c>
      <c r="AI50">
        <v>-0.48987337355540039</v>
      </c>
      <c r="AJ50">
        <v>-0.51872249349436206</v>
      </c>
      <c r="AK50">
        <v>3.9206960297268327E-2</v>
      </c>
      <c r="AL50">
        <v>-0.61021382055846329</v>
      </c>
      <c r="AM50">
        <v>0.2025460307166789</v>
      </c>
      <c r="AN50">
        <v>1.034275512399055</v>
      </c>
      <c r="AO50">
        <v>0.52456098341799706</v>
      </c>
      <c r="AP50">
        <v>0.57259499386349622</v>
      </c>
      <c r="AQ50">
        <v>-0.52486557418804092</v>
      </c>
    </row>
    <row r="51" spans="1:43" x14ac:dyDescent="0.3">
      <c r="A51">
        <v>419</v>
      </c>
      <c r="B51">
        <v>2025</v>
      </c>
      <c r="C51" t="s">
        <v>105</v>
      </c>
      <c r="D51">
        <v>8.6666666666666661</v>
      </c>
      <c r="E51">
        <v>9.4645042283588978</v>
      </c>
      <c r="F51">
        <v>-0.79783756169223174</v>
      </c>
      <c r="G51">
        <v>0.86435770995567207</v>
      </c>
      <c r="H51">
        <v>-0.50173280176854596</v>
      </c>
      <c r="I51">
        <v>-0.23026772291022779</v>
      </c>
      <c r="J51">
        <v>0.73156008201425704</v>
      </c>
      <c r="K51">
        <v>0.30213081591089108</v>
      </c>
      <c r="L51">
        <v>-0.11510513385401799</v>
      </c>
      <c r="M51">
        <v>-1.933472485248696</v>
      </c>
      <c r="N51">
        <v>-2.345846781612678</v>
      </c>
      <c r="O51">
        <v>0.72109012278553641</v>
      </c>
      <c r="P51">
        <v>0.19718427783150089</v>
      </c>
      <c r="Q51">
        <v>-0.52486557418804092</v>
      </c>
      <c r="R51">
        <v>0.86435770995567207</v>
      </c>
      <c r="S51">
        <v>9.2569804564363469</v>
      </c>
      <c r="T51">
        <v>0.15551986573479051</v>
      </c>
      <c r="U51">
        <v>9.1014605907015564</v>
      </c>
      <c r="V51">
        <v>-0.50173280176854596</v>
      </c>
      <c r="W51">
        <v>4.6758098629890217</v>
      </c>
      <c r="X51">
        <v>8.4774446653113067E-2</v>
      </c>
      <c r="Y51">
        <v>4.5910354163359086</v>
      </c>
      <c r="Z51">
        <v>-0.23026772291022779</v>
      </c>
      <c r="AA51">
        <v>-0.73156008201425704</v>
      </c>
      <c r="AB51">
        <v>-0.36105429762281449</v>
      </c>
      <c r="AC51">
        <v>-0.24320733419896781</v>
      </c>
      <c r="AD51">
        <v>-1.5935699111269159</v>
      </c>
      <c r="AE51">
        <v>-0.37291750165361942</v>
      </c>
      <c r="AF51">
        <v>0.33189291611567251</v>
      </c>
      <c r="AG51">
        <v>0.77305575923548031</v>
      </c>
      <c r="AH51">
        <v>5.5091487079310719E-2</v>
      </c>
      <c r="AI51">
        <v>0.11581644722596381</v>
      </c>
      <c r="AJ51">
        <v>-1.9581226177742179</v>
      </c>
      <c r="AK51">
        <v>-0.94230634108406131</v>
      </c>
      <c r="AL51">
        <v>-2.8999884968878091</v>
      </c>
      <c r="AM51">
        <v>2.345846781612678</v>
      </c>
      <c r="AN51">
        <v>0.72109012278553641</v>
      </c>
      <c r="AO51">
        <v>0.30257693659259371</v>
      </c>
      <c r="AP51">
        <v>9.1791619070408004E-2</v>
      </c>
      <c r="AQ51">
        <v>-0.52486557418804092</v>
      </c>
    </row>
    <row r="52" spans="1:43" x14ac:dyDescent="0.3">
      <c r="A52">
        <v>423</v>
      </c>
      <c r="B52">
        <v>2025</v>
      </c>
      <c r="C52" t="s">
        <v>107</v>
      </c>
      <c r="D52">
        <v>16</v>
      </c>
      <c r="E52">
        <v>13.1954244267507</v>
      </c>
      <c r="F52">
        <v>2.8045755732492998</v>
      </c>
      <c r="G52">
        <v>1.1471821367168979</v>
      </c>
      <c r="H52">
        <v>-0.59097363479531617</v>
      </c>
      <c r="I52">
        <v>0.1808775576052952</v>
      </c>
      <c r="J52">
        <v>0.4242543850934874</v>
      </c>
      <c r="K52">
        <v>-1.714419057053979</v>
      </c>
      <c r="L52">
        <v>0.57076968979633735</v>
      </c>
      <c r="M52">
        <v>0.91996793224781959</v>
      </c>
      <c r="N52">
        <v>9.4892184321853385E-3</v>
      </c>
      <c r="O52">
        <v>-0.94896902769979763</v>
      </c>
      <c r="P52">
        <v>-1.2409772226218121</v>
      </c>
      <c r="Q52">
        <v>1.9052497423687671</v>
      </c>
      <c r="R52">
        <v>1.1471821367168979</v>
      </c>
      <c r="S52">
        <v>9.2569804564363469</v>
      </c>
      <c r="T52">
        <v>0.15551986573479051</v>
      </c>
      <c r="U52">
        <v>9.1014605907015564</v>
      </c>
      <c r="V52">
        <v>-0.59097363479531617</v>
      </c>
      <c r="W52">
        <v>4.6758098629890217</v>
      </c>
      <c r="X52">
        <v>8.4774446653113067E-2</v>
      </c>
      <c r="Y52">
        <v>4.5910354163359086</v>
      </c>
      <c r="Z52">
        <v>0.1808775576052952</v>
      </c>
      <c r="AA52">
        <v>-0.4242543850934874</v>
      </c>
      <c r="AB52">
        <v>2.7696665199223802</v>
      </c>
      <c r="AC52">
        <v>0.65917159418557703</v>
      </c>
      <c r="AD52">
        <v>0.81659303256302074</v>
      </c>
      <c r="AE52">
        <v>0.4233676197194054</v>
      </c>
      <c r="AF52">
        <v>0.63842356527618782</v>
      </c>
      <c r="AG52">
        <v>0.52948065361945529</v>
      </c>
      <c r="AH52">
        <v>0.6169907459936288</v>
      </c>
      <c r="AI52">
        <v>0.39976252160632569</v>
      </c>
      <c r="AJ52">
        <v>1.019965615959016</v>
      </c>
      <c r="AK52">
        <v>1.2515578020051481</v>
      </c>
      <c r="AL52">
        <v>0.48838037877929408</v>
      </c>
      <c r="AM52">
        <v>-9.4892184321853385E-3</v>
      </c>
      <c r="AN52">
        <v>-0.94896902769979763</v>
      </c>
      <c r="AO52">
        <v>-1.26215019356984</v>
      </c>
      <c r="AP52">
        <v>-1.219804251673783</v>
      </c>
      <c r="AQ52">
        <v>1.9052497423687671</v>
      </c>
    </row>
    <row r="53" spans="1:43" x14ac:dyDescent="0.3">
      <c r="A53">
        <v>433</v>
      </c>
      <c r="B53">
        <v>2025</v>
      </c>
      <c r="C53" t="s">
        <v>109</v>
      </c>
      <c r="D53">
        <v>6.6666666666666679</v>
      </c>
      <c r="E53">
        <v>9.1987044688786845</v>
      </c>
      <c r="F53">
        <v>-2.5320378022120171</v>
      </c>
      <c r="G53">
        <v>-0.36347814589637861</v>
      </c>
      <c r="H53">
        <v>0.39757767302331459</v>
      </c>
      <c r="I53">
        <v>-0.82888861503599354</v>
      </c>
      <c r="J53">
        <v>0.2392833332745973</v>
      </c>
      <c r="K53">
        <v>0.30213081591089108</v>
      </c>
      <c r="L53">
        <v>-1.6459670048334041</v>
      </c>
      <c r="M53">
        <v>0.21001678767391829</v>
      </c>
      <c r="N53">
        <v>0.13734380655889811</v>
      </c>
      <c r="O53">
        <v>0.49293805778384658</v>
      </c>
      <c r="P53">
        <v>0.67669261499082878</v>
      </c>
      <c r="Q53">
        <v>-0.52486557418804092</v>
      </c>
      <c r="R53">
        <v>-0.36347814589637861</v>
      </c>
      <c r="S53">
        <v>9.2569804564363469</v>
      </c>
      <c r="T53">
        <v>0.15551986573479051</v>
      </c>
      <c r="U53">
        <v>9.1014605907015564</v>
      </c>
      <c r="V53">
        <v>0.39757767302331459</v>
      </c>
      <c r="W53">
        <v>4.6758098629890217</v>
      </c>
      <c r="X53">
        <v>8.4774446653113067E-2</v>
      </c>
      <c r="Y53">
        <v>4.5910354163359086</v>
      </c>
      <c r="Z53">
        <v>-0.82888861503599354</v>
      </c>
      <c r="AA53">
        <v>-0.2392833332745973</v>
      </c>
      <c r="AB53">
        <v>-0.36105429762281449</v>
      </c>
      <c r="AC53">
        <v>-0.24320733419896781</v>
      </c>
      <c r="AD53">
        <v>-1.266366441993634</v>
      </c>
      <c r="AE53">
        <v>-2.5249852358731331</v>
      </c>
      <c r="AF53">
        <v>-1.604961039949949</v>
      </c>
      <c r="AG53">
        <v>-1.517215766476733</v>
      </c>
      <c r="AH53">
        <v>-1.590005404705928</v>
      </c>
      <c r="AI53">
        <v>-1.372268140001049</v>
      </c>
      <c r="AJ53">
        <v>-0.45008297017526039</v>
      </c>
      <c r="AK53">
        <v>0.70614429982544091</v>
      </c>
      <c r="AL53">
        <v>0.37398903337157441</v>
      </c>
      <c r="AM53">
        <v>-0.13734380655889811</v>
      </c>
      <c r="AN53">
        <v>0.49293805778384658</v>
      </c>
      <c r="AO53">
        <v>0.50457990242549278</v>
      </c>
      <c r="AP53">
        <v>0.84880532755616478</v>
      </c>
      <c r="AQ53">
        <v>-0.52486557418804092</v>
      </c>
    </row>
    <row r="54" spans="1:43" x14ac:dyDescent="0.3">
      <c r="A54">
        <v>436</v>
      </c>
      <c r="B54">
        <v>2025</v>
      </c>
      <c r="C54" t="s">
        <v>110</v>
      </c>
      <c r="D54">
        <v>16.333333333333329</v>
      </c>
      <c r="E54">
        <v>16.199873674021759</v>
      </c>
      <c r="F54">
        <v>0.13345965931157269</v>
      </c>
      <c r="G54">
        <v>1.411406121979861</v>
      </c>
      <c r="H54">
        <v>0.83248242545086459</v>
      </c>
      <c r="I54">
        <v>5.0290796001607387E-2</v>
      </c>
      <c r="J54">
        <v>0.41000236078108809</v>
      </c>
      <c r="K54">
        <v>0.30213081591089108</v>
      </c>
      <c r="L54">
        <v>0.34566270471110172</v>
      </c>
      <c r="M54">
        <v>-1.8884729731515079E-3</v>
      </c>
      <c r="N54">
        <v>-0.3109529413795285</v>
      </c>
      <c r="O54">
        <v>0.58984191037524669</v>
      </c>
      <c r="P54">
        <v>0.9498672325083386</v>
      </c>
      <c r="Q54">
        <v>-0.52486557418804092</v>
      </c>
      <c r="R54">
        <v>1.411406121979861</v>
      </c>
      <c r="S54">
        <v>9.2569804564363469</v>
      </c>
      <c r="T54">
        <v>0.15551986573479051</v>
      </c>
      <c r="U54">
        <v>9.1014605907015564</v>
      </c>
      <c r="V54">
        <v>0.83248242545086459</v>
      </c>
      <c r="W54">
        <v>4.6758098629890217</v>
      </c>
      <c r="X54">
        <v>8.4774446653113067E-2</v>
      </c>
      <c r="Y54">
        <v>4.5910354163359086</v>
      </c>
      <c r="Z54">
        <v>5.0290796001607387E-2</v>
      </c>
      <c r="AA54">
        <v>-0.41000236078108809</v>
      </c>
      <c r="AB54">
        <v>-0.36105429762281449</v>
      </c>
      <c r="AC54">
        <v>-0.24320733419896781</v>
      </c>
      <c r="AD54">
        <v>0.1704320053711669</v>
      </c>
      <c r="AE54">
        <v>-1.2894249162060389</v>
      </c>
      <c r="AF54">
        <v>0.98319089294671425</v>
      </c>
      <c r="AG54">
        <v>0.96225627016238502</v>
      </c>
      <c r="AH54">
        <v>0.52054100672478709</v>
      </c>
      <c r="AI54">
        <v>0.72698096926759626</v>
      </c>
      <c r="AJ54">
        <v>-0.65497407738846636</v>
      </c>
      <c r="AK54">
        <v>0.66109880410767974</v>
      </c>
      <c r="AL54">
        <v>-1.17901456386679E-2</v>
      </c>
      <c r="AM54">
        <v>0.3109529413795285</v>
      </c>
      <c r="AN54">
        <v>0.58984191037524669</v>
      </c>
      <c r="AO54">
        <v>0.80395745614467629</v>
      </c>
      <c r="AP54">
        <v>1.0957770088720009</v>
      </c>
      <c r="AQ54">
        <v>-0.52486557418804092</v>
      </c>
    </row>
    <row r="55" spans="1:43" x14ac:dyDescent="0.3">
      <c r="A55">
        <v>439</v>
      </c>
      <c r="B55">
        <v>2025</v>
      </c>
      <c r="C55" t="s">
        <v>112</v>
      </c>
      <c r="D55">
        <v>10</v>
      </c>
      <c r="E55">
        <v>9.9644322752401262</v>
      </c>
      <c r="F55">
        <v>3.5567724759873798E-2</v>
      </c>
      <c r="G55">
        <v>-0.49476742314386141</v>
      </c>
      <c r="H55">
        <v>-0.41314956026257837</v>
      </c>
      <c r="I55">
        <v>-0.3036163553054787</v>
      </c>
      <c r="J55">
        <v>0.4798506352224452</v>
      </c>
      <c r="K55">
        <v>0.30213081591089108</v>
      </c>
      <c r="L55">
        <v>-0.2190589380806402</v>
      </c>
      <c r="M55">
        <v>-0.86346298565152113</v>
      </c>
      <c r="N55">
        <v>-0.87940855364825343</v>
      </c>
      <c r="O55">
        <v>-0.55005204712271039</v>
      </c>
      <c r="P55">
        <v>0.62070864628360334</v>
      </c>
      <c r="Q55">
        <v>-0.52486557418804092</v>
      </c>
      <c r="R55">
        <v>-0.49476742314386141</v>
      </c>
      <c r="S55">
        <v>9.2569804564363469</v>
      </c>
      <c r="T55">
        <v>0.15551986573479051</v>
      </c>
      <c r="U55">
        <v>9.1014605907015564</v>
      </c>
      <c r="V55">
        <v>-0.41314956026257837</v>
      </c>
      <c r="W55">
        <v>4.6758098629890217</v>
      </c>
      <c r="X55">
        <v>8.4774446653113067E-2</v>
      </c>
      <c r="Y55">
        <v>4.5910354163359086</v>
      </c>
      <c r="Z55">
        <v>-0.3036163553054787</v>
      </c>
      <c r="AA55">
        <v>-0.4798506352224452</v>
      </c>
      <c r="AB55">
        <v>-0.36105429762281449</v>
      </c>
      <c r="AC55">
        <v>-0.24320733419896781</v>
      </c>
      <c r="AD55">
        <v>-0.93043695051491537</v>
      </c>
      <c r="AE55">
        <v>-0.46232822190160427</v>
      </c>
      <c r="AF55">
        <v>-0.1051064734728058</v>
      </c>
      <c r="AG55">
        <v>-6.5207840487983204E-3</v>
      </c>
      <c r="AH55">
        <v>5.5735038702073983E-2</v>
      </c>
      <c r="AI55">
        <v>0.13430376275220851</v>
      </c>
      <c r="AJ55">
        <v>-0.96672130998781525</v>
      </c>
      <c r="AK55">
        <v>-0.2646438835278504</v>
      </c>
      <c r="AL55">
        <v>-1.359023763438898</v>
      </c>
      <c r="AM55">
        <v>0.87940855364825343</v>
      </c>
      <c r="AN55">
        <v>-0.55005204712271039</v>
      </c>
      <c r="AO55">
        <v>0.74168894737849167</v>
      </c>
      <c r="AP55">
        <v>0.49972834518871512</v>
      </c>
      <c r="AQ55">
        <v>-0.52486557418804092</v>
      </c>
    </row>
    <row r="56" spans="1:43" x14ac:dyDescent="0.3">
      <c r="A56">
        <v>443</v>
      </c>
      <c r="B56">
        <v>2025</v>
      </c>
      <c r="C56" t="s">
        <v>113</v>
      </c>
      <c r="D56">
        <v>18.333333333333329</v>
      </c>
      <c r="E56">
        <v>19.20378403482599</v>
      </c>
      <c r="F56">
        <v>-0.87045070149266124</v>
      </c>
      <c r="G56">
        <v>0.9037241010715733</v>
      </c>
      <c r="H56">
        <v>0.12501155295129091</v>
      </c>
      <c r="I56">
        <v>-0.84827361074045271</v>
      </c>
      <c r="J56">
        <v>0.3802772551870881</v>
      </c>
      <c r="K56">
        <v>0.30213081591089108</v>
      </c>
      <c r="L56">
        <v>-4.292536624108656E-2</v>
      </c>
      <c r="M56">
        <v>4.9775120219505089</v>
      </c>
      <c r="N56">
        <v>1.410333208550637</v>
      </c>
      <c r="O56">
        <v>3.3070549021608429</v>
      </c>
      <c r="P56">
        <v>0.70465106505631336</v>
      </c>
      <c r="Q56">
        <v>-0.52486557418804092</v>
      </c>
      <c r="R56">
        <v>0.9037241010715733</v>
      </c>
      <c r="S56">
        <v>9.2569804564363469</v>
      </c>
      <c r="T56">
        <v>0.15551986573479051</v>
      </c>
      <c r="U56">
        <v>9.1014605907015564</v>
      </c>
      <c r="V56">
        <v>0.12501155295129091</v>
      </c>
      <c r="W56">
        <v>4.6758098629890217</v>
      </c>
      <c r="X56">
        <v>8.4774446653113067E-2</v>
      </c>
      <c r="Y56">
        <v>4.5910354163359086</v>
      </c>
      <c r="Z56">
        <v>-0.84827361074045271</v>
      </c>
      <c r="AA56">
        <v>-0.3802772551870881</v>
      </c>
      <c r="AB56">
        <v>-0.36105429762281449</v>
      </c>
      <c r="AC56">
        <v>-0.24320733419896781</v>
      </c>
      <c r="AD56">
        <v>-0.93545847794191261</v>
      </c>
      <c r="AE56">
        <v>0.31275160604446051</v>
      </c>
      <c r="AF56">
        <v>2.1979305754958881E-2</v>
      </c>
      <c r="AG56">
        <v>0.14090354552032011</v>
      </c>
      <c r="AH56">
        <v>0.12288539253254741</v>
      </c>
      <c r="AI56">
        <v>7.938643064310634E-2</v>
      </c>
      <c r="AJ56">
        <v>6.2031392589271306</v>
      </c>
      <c r="AK56">
        <v>3.9819253492200009</v>
      </c>
      <c r="AL56">
        <v>4.7474714577043926</v>
      </c>
      <c r="AM56">
        <v>-1.410333208550637</v>
      </c>
      <c r="AN56">
        <v>3.3070549021608429</v>
      </c>
      <c r="AO56">
        <v>0.60475783181400211</v>
      </c>
      <c r="AP56">
        <v>0.80454429829862462</v>
      </c>
      <c r="AQ56">
        <v>-0.52486557418804092</v>
      </c>
    </row>
    <row r="57" spans="1:43" x14ac:dyDescent="0.3">
      <c r="A57">
        <v>446</v>
      </c>
      <c r="B57">
        <v>2025</v>
      </c>
      <c r="C57" t="s">
        <v>114</v>
      </c>
      <c r="D57">
        <v>1.3333333333333319</v>
      </c>
      <c r="E57">
        <v>-1.7799974343076761</v>
      </c>
      <c r="F57">
        <v>3.113330767641008</v>
      </c>
      <c r="G57">
        <v>-0.43881383913569949</v>
      </c>
      <c r="H57">
        <v>-0.77119899901714395</v>
      </c>
      <c r="I57">
        <v>-4</v>
      </c>
      <c r="J57">
        <v>-6.8123118875173612</v>
      </c>
      <c r="K57">
        <v>-2.6576951119746899</v>
      </c>
      <c r="L57">
        <v>-1.424885871875883</v>
      </c>
      <c r="M57">
        <v>-0.34194590604555591</v>
      </c>
      <c r="N57">
        <v>-2.9368894821358622</v>
      </c>
      <c r="O57">
        <v>-2.613713595396892</v>
      </c>
      <c r="P57">
        <v>0.52437577213885767</v>
      </c>
      <c r="Q57">
        <v>-0.52486557418804092</v>
      </c>
      <c r="R57">
        <v>-0.43881383913569949</v>
      </c>
      <c r="S57">
        <v>9.2569804564363469</v>
      </c>
      <c r="T57">
        <v>0.15551986573479051</v>
      </c>
      <c r="U57">
        <v>9.1014605907015564</v>
      </c>
      <c r="V57">
        <v>-0.77119899901714395</v>
      </c>
      <c r="W57">
        <v>4.6758098629890217</v>
      </c>
      <c r="X57">
        <v>8.4774446653113067E-2</v>
      </c>
      <c r="Y57">
        <v>4.5910354163359086</v>
      </c>
      <c r="Z57">
        <v>-4</v>
      </c>
      <c r="AA57">
        <v>6.8123118875173612</v>
      </c>
      <c r="AB57">
        <v>2.7696665199223802</v>
      </c>
      <c r="AC57">
        <v>2.545723704027</v>
      </c>
      <c r="AD57">
        <v>-0.99537636452845524</v>
      </c>
      <c r="AE57">
        <v>-1.713216712472829</v>
      </c>
      <c r="AF57">
        <v>-1.6370894992461471</v>
      </c>
      <c r="AG57">
        <v>-1.4343513677784281</v>
      </c>
      <c r="AH57">
        <v>-1.29592495059738</v>
      </c>
      <c r="AI57">
        <v>-1.473356336632059</v>
      </c>
      <c r="AJ57">
        <v>-0.35756120307262451</v>
      </c>
      <c r="AK57">
        <v>-1.081567873632745</v>
      </c>
      <c r="AL57">
        <v>0.41329135856870158</v>
      </c>
      <c r="AM57">
        <v>2.9368894821358622</v>
      </c>
      <c r="AN57">
        <v>-2.613713595396892</v>
      </c>
      <c r="AO57">
        <v>0.63567009580530565</v>
      </c>
      <c r="AP57">
        <v>0.41308144847240957</v>
      </c>
      <c r="AQ57">
        <v>-0.52486557418804092</v>
      </c>
    </row>
    <row r="58" spans="1:43" x14ac:dyDescent="0.3">
      <c r="A58">
        <v>449</v>
      </c>
      <c r="B58">
        <v>2025</v>
      </c>
      <c r="C58" t="s">
        <v>115</v>
      </c>
      <c r="D58">
        <v>12.66666666666667</v>
      </c>
      <c r="E58">
        <v>14.53341609483542</v>
      </c>
      <c r="F58">
        <v>-1.8667494281687509</v>
      </c>
      <c r="G58">
        <v>0.54055222316471729</v>
      </c>
      <c r="H58">
        <v>-8.5570805794975252E-2</v>
      </c>
      <c r="I58">
        <v>-0.1549107351041544</v>
      </c>
      <c r="J58">
        <v>0.62883866448017722</v>
      </c>
      <c r="K58">
        <v>0.30213081591089108</v>
      </c>
      <c r="L58">
        <v>0.18166453252933709</v>
      </c>
      <c r="M58">
        <v>0.53392133640870532</v>
      </c>
      <c r="N58">
        <v>0.63898275554106421</v>
      </c>
      <c r="O58">
        <v>5.4426788891458182E-2</v>
      </c>
      <c r="P58">
        <v>0.27993162586195391</v>
      </c>
      <c r="Q58">
        <v>-0.52486557418804092</v>
      </c>
      <c r="R58">
        <v>0.54055222316471729</v>
      </c>
      <c r="S58">
        <v>9.2569804564363469</v>
      </c>
      <c r="T58">
        <v>0.15551986573479051</v>
      </c>
      <c r="U58">
        <v>9.1014605907015564</v>
      </c>
      <c r="V58">
        <v>-8.5570805794975252E-2</v>
      </c>
      <c r="W58">
        <v>4.6758098629890217</v>
      </c>
      <c r="X58">
        <v>8.4774446653113067E-2</v>
      </c>
      <c r="Y58">
        <v>4.5910354163359086</v>
      </c>
      <c r="Z58">
        <v>-0.1549107351041544</v>
      </c>
      <c r="AA58">
        <v>-0.62883866448017722</v>
      </c>
      <c r="AB58">
        <v>-0.36105429762281449</v>
      </c>
      <c r="AC58">
        <v>-0.24320733419896781</v>
      </c>
      <c r="AD58">
        <v>-1.1202391209384319</v>
      </c>
      <c r="AE58">
        <v>0.71382430459810775</v>
      </c>
      <c r="AF58">
        <v>0.29463482712203232</v>
      </c>
      <c r="AG58">
        <v>0.46927859901936531</v>
      </c>
      <c r="AH58">
        <v>0.35845654776551411</v>
      </c>
      <c r="AI58">
        <v>0.3740320376094356</v>
      </c>
      <c r="AJ58">
        <v>0.95084995136826034</v>
      </c>
      <c r="AK58">
        <v>-4.4861464860971E-2</v>
      </c>
      <c r="AL58">
        <v>0.69577552271882681</v>
      </c>
      <c r="AM58">
        <v>-0.63898275554106421</v>
      </c>
      <c r="AN58">
        <v>5.4426788891458182E-2</v>
      </c>
      <c r="AO58">
        <v>0.32539292599912101</v>
      </c>
      <c r="AP58">
        <v>0.23447032572478679</v>
      </c>
      <c r="AQ58">
        <v>-0.52486557418804092</v>
      </c>
    </row>
    <row r="59" spans="1:43" x14ac:dyDescent="0.3">
      <c r="A59">
        <v>453</v>
      </c>
      <c r="B59">
        <v>2025</v>
      </c>
      <c r="C59" t="s">
        <v>116</v>
      </c>
      <c r="D59">
        <v>20</v>
      </c>
      <c r="E59">
        <v>17.23035764020851</v>
      </c>
      <c r="F59">
        <v>2.7696423597914901</v>
      </c>
      <c r="G59">
        <v>1.5441744609889909</v>
      </c>
      <c r="H59">
        <v>0.30455112059473038</v>
      </c>
      <c r="I59">
        <v>-0.17861806093190519</v>
      </c>
      <c r="J59">
        <v>0.54277322716661225</v>
      </c>
      <c r="K59">
        <v>0.30213081591089108</v>
      </c>
      <c r="L59">
        <v>0.46299916286326959</v>
      </c>
      <c r="M59">
        <v>0.42814523534257493</v>
      </c>
      <c r="N59">
        <v>0.48434593730697378</v>
      </c>
      <c r="O59">
        <v>1.8822553422948161</v>
      </c>
      <c r="P59">
        <v>0.6347660812997431</v>
      </c>
      <c r="Q59">
        <v>-0.52486557418804092</v>
      </c>
      <c r="R59">
        <v>1.5441744609889909</v>
      </c>
      <c r="S59">
        <v>9.2569804564363469</v>
      </c>
      <c r="T59">
        <v>0.15551986573479051</v>
      </c>
      <c r="U59">
        <v>9.1014605907015564</v>
      </c>
      <c r="V59">
        <v>0.30455112059473038</v>
      </c>
      <c r="W59">
        <v>4.6758098629890217</v>
      </c>
      <c r="X59">
        <v>8.4774446653113067E-2</v>
      </c>
      <c r="Y59">
        <v>4.5910354163359086</v>
      </c>
      <c r="Z59">
        <v>-0.17861806093190519</v>
      </c>
      <c r="AA59">
        <v>-0.54277322716661225</v>
      </c>
      <c r="AB59">
        <v>-0.36105429762281449</v>
      </c>
      <c r="AC59">
        <v>-0.24320733419896781</v>
      </c>
      <c r="AD59">
        <v>-1.193010895636671</v>
      </c>
      <c r="AE59">
        <v>1.103633721658374</v>
      </c>
      <c r="AF59">
        <v>0.93954807630614734</v>
      </c>
      <c r="AG59">
        <v>0.79166431872102505</v>
      </c>
      <c r="AH59">
        <v>0.50962650055983205</v>
      </c>
      <c r="AI59">
        <v>0.62653325557091</v>
      </c>
      <c r="AJ59">
        <v>1.225408044644664</v>
      </c>
      <c r="AK59">
        <v>-0.23766608664193831</v>
      </c>
      <c r="AL59">
        <v>0.29669374802499843</v>
      </c>
      <c r="AM59">
        <v>-0.48434593730697378</v>
      </c>
      <c r="AN59">
        <v>1.8822553422948161</v>
      </c>
      <c r="AO59">
        <v>0.40937029622736559</v>
      </c>
      <c r="AP59">
        <v>0.86016186637212066</v>
      </c>
      <c r="AQ59">
        <v>-0.52486557418804092</v>
      </c>
    </row>
    <row r="60" spans="1:43" x14ac:dyDescent="0.3">
      <c r="A60">
        <v>456</v>
      </c>
      <c r="B60">
        <v>2025</v>
      </c>
      <c r="C60" t="s">
        <v>117</v>
      </c>
      <c r="D60">
        <v>18.333333333333329</v>
      </c>
      <c r="E60">
        <v>16.361500721087161</v>
      </c>
      <c r="F60">
        <v>1.971832612246164</v>
      </c>
      <c r="G60">
        <v>1.0059303572611351</v>
      </c>
      <c r="H60">
        <v>1.213982910540037</v>
      </c>
      <c r="I60">
        <v>0.1314982104392067</v>
      </c>
      <c r="J60">
        <v>0.51814221861599985</v>
      </c>
      <c r="K60">
        <v>0.30213081591089108</v>
      </c>
      <c r="L60">
        <v>-2.9632787576382859E-2</v>
      </c>
      <c r="M60">
        <v>1.3749454425531851E-2</v>
      </c>
      <c r="N60">
        <v>0.80117638558968429</v>
      </c>
      <c r="O60">
        <v>0.2166573379455955</v>
      </c>
      <c r="P60">
        <v>0.86940863190183193</v>
      </c>
      <c r="Q60">
        <v>-0.52486557418804092</v>
      </c>
      <c r="R60">
        <v>1.0059303572611351</v>
      </c>
      <c r="S60">
        <v>9.2569804564363469</v>
      </c>
      <c r="T60">
        <v>0.15551986573479051</v>
      </c>
      <c r="U60">
        <v>9.1014605907015564</v>
      </c>
      <c r="V60">
        <v>1.213982910540037</v>
      </c>
      <c r="W60">
        <v>4.6758098629890217</v>
      </c>
      <c r="X60">
        <v>8.4774446653113067E-2</v>
      </c>
      <c r="Y60">
        <v>4.5910354163359086</v>
      </c>
      <c r="Z60">
        <v>0.1314982104392067</v>
      </c>
      <c r="AA60">
        <v>-0.51814221861599985</v>
      </c>
      <c r="AB60">
        <v>-0.36105429762281449</v>
      </c>
      <c r="AC60">
        <v>-0.24320733419896781</v>
      </c>
      <c r="AD60">
        <v>-1.839943374347623</v>
      </c>
      <c r="AE60">
        <v>-9.8921332538586898E-2</v>
      </c>
      <c r="AF60">
        <v>0.54018341888563348</v>
      </c>
      <c r="AG60">
        <v>0.49557501186761549</v>
      </c>
      <c r="AH60">
        <v>0.10081706954894649</v>
      </c>
      <c r="AI60">
        <v>0.62449248112571698</v>
      </c>
      <c r="AJ60">
        <v>-0.18424578019022109</v>
      </c>
      <c r="AK60">
        <v>-0.42807818209357379</v>
      </c>
      <c r="AL60">
        <v>0.65357232556039047</v>
      </c>
      <c r="AM60">
        <v>-0.80117638558968429</v>
      </c>
      <c r="AN60">
        <v>0.2166573379455955</v>
      </c>
      <c r="AO60">
        <v>0.74648349875229325</v>
      </c>
      <c r="AP60">
        <v>0.9923337650513705</v>
      </c>
      <c r="AQ60">
        <v>-0.52486557418804092</v>
      </c>
    </row>
    <row r="61" spans="1:43" x14ac:dyDescent="0.3">
      <c r="A61">
        <v>466</v>
      </c>
      <c r="B61">
        <v>2025</v>
      </c>
      <c r="C61" t="s">
        <v>118</v>
      </c>
      <c r="D61">
        <v>19.666666666666671</v>
      </c>
      <c r="E61">
        <v>18.471338433893632</v>
      </c>
      <c r="F61">
        <v>1.1953282327730399</v>
      </c>
      <c r="G61">
        <v>1.292733361107917</v>
      </c>
      <c r="H61">
        <v>0.79561249261784928</v>
      </c>
      <c r="I61">
        <v>0.11957905767497851</v>
      </c>
      <c r="J61">
        <v>0.59104313548036069</v>
      </c>
      <c r="K61">
        <v>0.30213081591089108</v>
      </c>
      <c r="L61">
        <v>0.55720414298250287</v>
      </c>
      <c r="M61">
        <v>0.74577172947385073</v>
      </c>
      <c r="N61">
        <v>0.66946004436657558</v>
      </c>
      <c r="O61">
        <v>1.7080249566774519</v>
      </c>
      <c r="P61">
        <v>0.6873782638820316</v>
      </c>
      <c r="Q61">
        <v>-0.52486557418804092</v>
      </c>
      <c r="R61">
        <v>1.292733361107917</v>
      </c>
      <c r="S61">
        <v>9.2569804564363469</v>
      </c>
      <c r="T61">
        <v>0.15551986573479051</v>
      </c>
      <c r="U61">
        <v>9.1014605907015564</v>
      </c>
      <c r="V61">
        <v>0.79561249261784928</v>
      </c>
      <c r="W61">
        <v>4.6758098629890217</v>
      </c>
      <c r="X61">
        <v>8.4774446653113067E-2</v>
      </c>
      <c r="Y61">
        <v>4.5910354163359086</v>
      </c>
      <c r="Z61">
        <v>0.11957905767497851</v>
      </c>
      <c r="AA61">
        <v>-0.59104313548036069</v>
      </c>
      <c r="AB61">
        <v>-0.36105429762281449</v>
      </c>
      <c r="AC61">
        <v>-0.24320733419896781</v>
      </c>
      <c r="AD61">
        <v>-1.0832094480217489</v>
      </c>
      <c r="AE61">
        <v>0.90808462346587948</v>
      </c>
      <c r="AF61">
        <v>1.0825768993872511</v>
      </c>
      <c r="AG61">
        <v>0.97594733222702612</v>
      </c>
      <c r="AH61">
        <v>0.40964639016109139</v>
      </c>
      <c r="AI61">
        <v>1.0501790606755179</v>
      </c>
      <c r="AJ61">
        <v>1.817727786583428</v>
      </c>
      <c r="AK61">
        <v>-8.5534412459609119E-2</v>
      </c>
      <c r="AL61">
        <v>0.50512181429773373</v>
      </c>
      <c r="AM61">
        <v>-0.66946004436657558</v>
      </c>
      <c r="AN61">
        <v>1.7080249566774519</v>
      </c>
      <c r="AO61">
        <v>0.96480482770945319</v>
      </c>
      <c r="AP61">
        <v>0.4099517000546099</v>
      </c>
      <c r="AQ61">
        <v>-0.52486557418804092</v>
      </c>
    </row>
    <row r="62" spans="1:43" x14ac:dyDescent="0.3">
      <c r="A62">
        <v>469</v>
      </c>
      <c r="B62">
        <v>2025</v>
      </c>
      <c r="C62" t="s">
        <v>119</v>
      </c>
      <c r="D62">
        <v>7.3333333333333339</v>
      </c>
      <c r="E62">
        <v>6.7979197616785694</v>
      </c>
      <c r="F62">
        <v>0.53541357165476455</v>
      </c>
      <c r="G62">
        <v>-0.82251851033987011</v>
      </c>
      <c r="H62">
        <v>0.54078917527419224</v>
      </c>
      <c r="I62">
        <v>0.4790746762121787</v>
      </c>
      <c r="J62">
        <v>-1.6360121442221041</v>
      </c>
      <c r="K62">
        <v>0.30213081591089108</v>
      </c>
      <c r="L62">
        <v>-1.067243432856964</v>
      </c>
      <c r="M62">
        <v>-3.4948900009953512</v>
      </c>
      <c r="N62">
        <v>-0.80347926435005557</v>
      </c>
      <c r="O62">
        <v>-0.30810275624498318</v>
      </c>
      <c r="P62">
        <v>-3.5514547996480413E-2</v>
      </c>
      <c r="Q62">
        <v>-0.52486557418804092</v>
      </c>
      <c r="R62">
        <v>-0.82251851033987011</v>
      </c>
      <c r="S62">
        <v>9.2569804564363469</v>
      </c>
      <c r="T62">
        <v>0.15551986573479051</v>
      </c>
      <c r="U62">
        <v>9.1014605907015564</v>
      </c>
      <c r="V62">
        <v>0.54078917527419224</v>
      </c>
      <c r="W62">
        <v>4.6758098629890217</v>
      </c>
      <c r="X62">
        <v>8.4774446653113067E-2</v>
      </c>
      <c r="Y62">
        <v>4.5910354163359086</v>
      </c>
      <c r="Z62">
        <v>0.4790746762121787</v>
      </c>
      <c r="AA62">
        <v>1.6360121442221041</v>
      </c>
      <c r="AB62">
        <v>-0.36105429762281449</v>
      </c>
      <c r="AC62">
        <v>-0.24320733419896781</v>
      </c>
      <c r="AD62">
        <v>-1.8981819626486049</v>
      </c>
      <c r="AE62">
        <v>-1.21773220415341</v>
      </c>
      <c r="AF62">
        <v>-0.46157363533789603</v>
      </c>
      <c r="AG62">
        <v>-0.90316220950490789</v>
      </c>
      <c r="AH62">
        <v>-0.93608257564013198</v>
      </c>
      <c r="AI62">
        <v>-0.98672800985683595</v>
      </c>
      <c r="AJ62">
        <v>-1.236091969409874</v>
      </c>
      <c r="AK62">
        <v>-1.0559925921812681</v>
      </c>
      <c r="AL62">
        <v>-8.1925854413949111</v>
      </c>
      <c r="AM62">
        <v>0.80347926435005557</v>
      </c>
      <c r="AN62">
        <v>-0.30810275624498318</v>
      </c>
      <c r="AO62">
        <v>-0.210011390983847</v>
      </c>
      <c r="AP62">
        <v>0.13898229499088621</v>
      </c>
      <c r="AQ62">
        <v>-0.52486557418804092</v>
      </c>
    </row>
    <row r="63" spans="1:43" x14ac:dyDescent="0.3">
      <c r="A63">
        <v>513</v>
      </c>
      <c r="B63">
        <v>2025</v>
      </c>
      <c r="C63" t="s">
        <v>120</v>
      </c>
      <c r="D63">
        <v>8.6666666666666661</v>
      </c>
      <c r="E63">
        <v>9.0610353158332657</v>
      </c>
      <c r="F63">
        <v>-0.39436864916659958</v>
      </c>
      <c r="G63">
        <v>-0.94019223621171144</v>
      </c>
      <c r="H63">
        <v>0.70129107233987054</v>
      </c>
      <c r="I63">
        <v>0.96872045735071444</v>
      </c>
      <c r="J63">
        <v>-0.47669486802581379</v>
      </c>
      <c r="K63">
        <v>0.30213081591089108</v>
      </c>
      <c r="L63">
        <v>-1.3545824746805879</v>
      </c>
      <c r="M63">
        <v>-1.443391364470376</v>
      </c>
      <c r="N63">
        <v>0.49387529926426671</v>
      </c>
      <c r="O63">
        <v>-9.8654389020354401E-3</v>
      </c>
      <c r="P63">
        <v>-7.1598601171857235E-2</v>
      </c>
      <c r="Q63">
        <v>-0.52486557418804092</v>
      </c>
      <c r="R63">
        <v>-0.94019223621171144</v>
      </c>
      <c r="S63">
        <v>9.2569804564363469</v>
      </c>
      <c r="T63">
        <v>0.15551986573479051</v>
      </c>
      <c r="U63">
        <v>9.1014605907015564</v>
      </c>
      <c r="V63">
        <v>0.70129107233987054</v>
      </c>
      <c r="W63">
        <v>4.6758098629890217</v>
      </c>
      <c r="X63">
        <v>8.4774446653113067E-2</v>
      </c>
      <c r="Y63">
        <v>4.5910354163359086</v>
      </c>
      <c r="Z63">
        <v>0.96872045735071444</v>
      </c>
      <c r="AA63">
        <v>0.47669486802581379</v>
      </c>
      <c r="AB63">
        <v>-0.36105429762281449</v>
      </c>
      <c r="AC63">
        <v>-0.24320733419896781</v>
      </c>
      <c r="AD63">
        <v>-1.41825618945952</v>
      </c>
      <c r="AE63">
        <v>-1.8013855837356469</v>
      </c>
      <c r="AF63">
        <v>-1.0554602686119909</v>
      </c>
      <c r="AG63">
        <v>-1.424167187838782</v>
      </c>
      <c r="AH63">
        <v>-1.1608610359868241</v>
      </c>
      <c r="AI63">
        <v>-1.2673645824507651</v>
      </c>
      <c r="AJ63">
        <v>-0.45201259532880989</v>
      </c>
      <c r="AK63">
        <v>-1.794045714326127</v>
      </c>
      <c r="AL63">
        <v>-2.0841157837561912</v>
      </c>
      <c r="AM63">
        <v>-0.49387529926426671</v>
      </c>
      <c r="AN63">
        <v>-9.8654389020354401E-3</v>
      </c>
      <c r="AO63">
        <v>-0.30834014094019652</v>
      </c>
      <c r="AP63">
        <v>0.16514293859648199</v>
      </c>
      <c r="AQ63">
        <v>-0.52486557418804092</v>
      </c>
    </row>
    <row r="64" spans="1:43" x14ac:dyDescent="0.3">
      <c r="A64">
        <v>522</v>
      </c>
      <c r="B64">
        <v>2025</v>
      </c>
      <c r="C64" t="s">
        <v>121</v>
      </c>
      <c r="D64">
        <v>8</v>
      </c>
      <c r="E64">
        <v>9.201030658348488</v>
      </c>
      <c r="F64">
        <v>-1.201030658348488</v>
      </c>
      <c r="G64">
        <v>-0.91874497061381766</v>
      </c>
      <c r="H64">
        <v>-0.48641960760224701</v>
      </c>
      <c r="I64">
        <v>0.31233751721368869</v>
      </c>
      <c r="J64">
        <v>0.35969099784695568</v>
      </c>
      <c r="K64">
        <v>0.30213081591089108</v>
      </c>
      <c r="L64">
        <v>-1.044502303076537</v>
      </c>
      <c r="M64">
        <v>-0.23457379956026181</v>
      </c>
      <c r="N64">
        <v>0.83929383341885644</v>
      </c>
      <c r="O64">
        <v>-0.63359832302250174</v>
      </c>
      <c r="P64">
        <v>0.64496970020789934</v>
      </c>
      <c r="Q64">
        <v>-0.52486557418804092</v>
      </c>
      <c r="R64">
        <v>-0.91874497061381766</v>
      </c>
      <c r="S64">
        <v>9.2569804564363469</v>
      </c>
      <c r="T64">
        <v>0.15551986573479051</v>
      </c>
      <c r="U64">
        <v>9.1014605907015564</v>
      </c>
      <c r="V64">
        <v>-0.48641960760224701</v>
      </c>
      <c r="W64">
        <v>4.6758098629890217</v>
      </c>
      <c r="X64">
        <v>8.4774446653113067E-2</v>
      </c>
      <c r="Y64">
        <v>4.5910354163359086</v>
      </c>
      <c r="Z64">
        <v>0.31233751721368869</v>
      </c>
      <c r="AA64">
        <v>-0.35969099784695568</v>
      </c>
      <c r="AB64">
        <v>-0.36105429762281449</v>
      </c>
      <c r="AC64">
        <v>-0.24320733419896781</v>
      </c>
      <c r="AD64">
        <v>-1.9745873067366531</v>
      </c>
      <c r="AE64">
        <v>0.1135816516539332</v>
      </c>
      <c r="AF64">
        <v>-0.68510510087793974</v>
      </c>
      <c r="AG64">
        <v>-1.055674004075666</v>
      </c>
      <c r="AH64">
        <v>-1.2645644752047009</v>
      </c>
      <c r="AI64">
        <v>-1.4006645832181961</v>
      </c>
      <c r="AJ64">
        <v>-0.15176793344996739</v>
      </c>
      <c r="AK64">
        <v>-1.23262703601227</v>
      </c>
      <c r="AL64">
        <v>0.68067357078145219</v>
      </c>
      <c r="AM64">
        <v>-0.83929383341885644</v>
      </c>
      <c r="AN64">
        <v>-0.63359832302250174</v>
      </c>
      <c r="AO64">
        <v>0.91241558613177975</v>
      </c>
      <c r="AP64">
        <v>0.37752381428401888</v>
      </c>
      <c r="AQ64">
        <v>-0.52486557418804092</v>
      </c>
    </row>
    <row r="65" spans="1:43" x14ac:dyDescent="0.3">
      <c r="A65">
        <v>524</v>
      </c>
      <c r="B65">
        <v>2025</v>
      </c>
      <c r="C65" t="s">
        <v>122</v>
      </c>
      <c r="D65">
        <v>6</v>
      </c>
      <c r="E65">
        <v>4.3422831312120067</v>
      </c>
      <c r="F65">
        <v>1.6577168687879931</v>
      </c>
      <c r="G65">
        <v>-0.59104830287009713</v>
      </c>
      <c r="H65">
        <v>-0.11741549454915411</v>
      </c>
      <c r="I65">
        <v>-1.8469501687219829</v>
      </c>
      <c r="J65">
        <v>-1.9404178308410209</v>
      </c>
      <c r="K65">
        <v>-3.1881896902688212</v>
      </c>
      <c r="L65">
        <v>-0.50437757210264256</v>
      </c>
      <c r="M65">
        <v>-2.6994447176804699</v>
      </c>
      <c r="N65">
        <v>-1.188821102098319</v>
      </c>
      <c r="O65">
        <v>0.16261928083597971</v>
      </c>
      <c r="P65">
        <v>-3.9428277524400701E-2</v>
      </c>
      <c r="Q65">
        <v>-0.52486557418804092</v>
      </c>
      <c r="R65">
        <v>-0.59104830287009713</v>
      </c>
      <c r="S65">
        <v>9.2569804564363469</v>
      </c>
      <c r="T65">
        <v>0.15551986573479051</v>
      </c>
      <c r="U65">
        <v>9.1014605907015564</v>
      </c>
      <c r="V65">
        <v>-0.11741549454915411</v>
      </c>
      <c r="W65">
        <v>4.6758098629890217</v>
      </c>
      <c r="X65">
        <v>8.4774446653113067E-2</v>
      </c>
      <c r="Y65">
        <v>4.5910354163359086</v>
      </c>
      <c r="Z65">
        <v>-1.8469501687219829</v>
      </c>
      <c r="AA65">
        <v>1.9404178308410209</v>
      </c>
      <c r="AB65">
        <v>2.7696665199223802</v>
      </c>
      <c r="AC65">
        <v>3.6067128606152621</v>
      </c>
      <c r="AD65">
        <v>-0.28914577923498858</v>
      </c>
      <c r="AE65">
        <v>-0.4624882663929098</v>
      </c>
      <c r="AF65">
        <v>-0.66350899572537891</v>
      </c>
      <c r="AG65">
        <v>-0.67161895861776177</v>
      </c>
      <c r="AH65">
        <v>-0.40378453542108961</v>
      </c>
      <c r="AI65">
        <v>-0.53571889722372656</v>
      </c>
      <c r="AJ65">
        <v>-1.837809236447089</v>
      </c>
      <c r="AK65">
        <v>-1.297142745996317</v>
      </c>
      <c r="AL65">
        <v>-4.9633821705980044</v>
      </c>
      <c r="AM65">
        <v>1.188821102098319</v>
      </c>
      <c r="AN65">
        <v>0.16261928083597971</v>
      </c>
      <c r="AO65">
        <v>-0.20365393348593311</v>
      </c>
      <c r="AP65">
        <v>0.12479737843713171</v>
      </c>
      <c r="AQ65">
        <v>-0.52486557418804092</v>
      </c>
    </row>
    <row r="66" spans="1:43" x14ac:dyDescent="0.3">
      <c r="A66">
        <v>528</v>
      </c>
      <c r="B66">
        <v>2025</v>
      </c>
      <c r="C66" t="s">
        <v>123</v>
      </c>
      <c r="D66">
        <v>20</v>
      </c>
      <c r="E66">
        <v>20.484869814075111</v>
      </c>
      <c r="F66">
        <v>-0.48486981407511109</v>
      </c>
      <c r="G66">
        <v>1.060054251530165</v>
      </c>
      <c r="H66">
        <v>1.025706808559101</v>
      </c>
      <c r="I66">
        <v>-1.061476482659208E-2</v>
      </c>
      <c r="J66">
        <v>0.53621004595715394</v>
      </c>
      <c r="K66">
        <v>0.30213081591089108</v>
      </c>
      <c r="L66">
        <v>1.145807940676989</v>
      </c>
      <c r="M66">
        <v>7.4177355722207558E-2</v>
      </c>
      <c r="N66">
        <v>0.96209202540496475</v>
      </c>
      <c r="O66">
        <v>1.9938745117062071</v>
      </c>
      <c r="P66">
        <v>1.128119203698273</v>
      </c>
      <c r="Q66">
        <v>-0.52486557418804092</v>
      </c>
      <c r="R66">
        <v>1.060054251530165</v>
      </c>
      <c r="S66">
        <v>9.2569804564363469</v>
      </c>
      <c r="T66">
        <v>0.15551986573479051</v>
      </c>
      <c r="U66">
        <v>9.1014605907015564</v>
      </c>
      <c r="V66">
        <v>1.025706808559101</v>
      </c>
      <c r="W66">
        <v>4.6758098629890217</v>
      </c>
      <c r="X66">
        <v>8.4774446653113067E-2</v>
      </c>
      <c r="Y66">
        <v>4.5910354163359086</v>
      </c>
      <c r="Z66">
        <v>-1.061476482659208E-2</v>
      </c>
      <c r="AA66">
        <v>-0.53621004595715394</v>
      </c>
      <c r="AB66">
        <v>-0.36105429762281449</v>
      </c>
      <c r="AC66">
        <v>-0.24320733419896781</v>
      </c>
      <c r="AD66">
        <v>0.96450222112980089</v>
      </c>
      <c r="AE66">
        <v>1.0621148112560139</v>
      </c>
      <c r="AF66">
        <v>1.350259820537417</v>
      </c>
      <c r="AG66">
        <v>1.172222888232348</v>
      </c>
      <c r="AH66">
        <v>1.2625786652651101</v>
      </c>
      <c r="AI66">
        <v>1.0631692376412469</v>
      </c>
      <c r="AJ66">
        <v>0.36193837853186972</v>
      </c>
      <c r="AK66">
        <v>-1.052115049509593</v>
      </c>
      <c r="AL66">
        <v>0.91270873814434572</v>
      </c>
      <c r="AM66">
        <v>-0.96209202540496475</v>
      </c>
      <c r="AN66">
        <v>1.9938745117062071</v>
      </c>
      <c r="AO66">
        <v>1.252486999072552</v>
      </c>
      <c r="AP66">
        <v>1.0037514083239949</v>
      </c>
      <c r="AQ66">
        <v>-0.52486557418804092</v>
      </c>
    </row>
    <row r="67" spans="1:43" x14ac:dyDescent="0.3">
      <c r="A67">
        <v>532</v>
      </c>
      <c r="B67">
        <v>2025</v>
      </c>
      <c r="C67" t="s">
        <v>124</v>
      </c>
      <c r="D67">
        <v>19.666666666666671</v>
      </c>
      <c r="E67">
        <v>19.647102630402099</v>
      </c>
      <c r="F67">
        <v>1.956403626456904E-2</v>
      </c>
      <c r="G67">
        <v>1.370152010187597</v>
      </c>
      <c r="H67">
        <v>0.64718121582061583</v>
      </c>
      <c r="I67">
        <v>-0.83294898575787346</v>
      </c>
      <c r="J67">
        <v>0.52220604884162369</v>
      </c>
      <c r="K67">
        <v>0.30213081591089108</v>
      </c>
      <c r="L67">
        <v>0.95702897320602676</v>
      </c>
      <c r="M67">
        <v>8.1116210910157013E-2</v>
      </c>
      <c r="N67">
        <v>1.288924136383377</v>
      </c>
      <c r="O67">
        <v>1.6247114362282411</v>
      </c>
      <c r="P67">
        <v>1.464359516993893</v>
      </c>
      <c r="Q67">
        <v>-0.52486557418804092</v>
      </c>
      <c r="R67">
        <v>1.370152010187597</v>
      </c>
      <c r="S67">
        <v>9.2569804564363469</v>
      </c>
      <c r="T67">
        <v>0.15551986573479051</v>
      </c>
      <c r="U67">
        <v>9.1014605907015564</v>
      </c>
      <c r="V67">
        <v>0.64718121582061583</v>
      </c>
      <c r="W67">
        <v>4.6758098629890217</v>
      </c>
      <c r="X67">
        <v>8.4774446653113067E-2</v>
      </c>
      <c r="Y67">
        <v>4.5910354163359086</v>
      </c>
      <c r="Z67">
        <v>-0.83294898575787346</v>
      </c>
      <c r="AA67">
        <v>-0.52220604884162369</v>
      </c>
      <c r="AB67">
        <v>-0.36105429762281449</v>
      </c>
      <c r="AC67">
        <v>-0.24320733419896781</v>
      </c>
      <c r="AD67">
        <v>-0.50149572079094151</v>
      </c>
      <c r="AE67">
        <v>0.7184728148982068</v>
      </c>
      <c r="AF67">
        <v>1.512117388650368</v>
      </c>
      <c r="AG67">
        <v>1.6861181342264291</v>
      </c>
      <c r="AH67">
        <v>0.86685370594116085</v>
      </c>
      <c r="AI67">
        <v>1.4601075163109369</v>
      </c>
      <c r="AJ67">
        <v>-0.29320695119841811</v>
      </c>
      <c r="AK67">
        <v>-0.9019633971170552</v>
      </c>
      <c r="AL67">
        <v>1.438518981045944</v>
      </c>
      <c r="AM67">
        <v>-1.288924136383377</v>
      </c>
      <c r="AN67">
        <v>1.6247114362282411</v>
      </c>
      <c r="AO67">
        <v>1.517228228704679</v>
      </c>
      <c r="AP67">
        <v>1.4114908052831081</v>
      </c>
      <c r="AQ67">
        <v>-0.52486557418804092</v>
      </c>
    </row>
    <row r="68" spans="1:43" x14ac:dyDescent="0.3">
      <c r="A68">
        <v>534</v>
      </c>
      <c r="B68">
        <v>2025</v>
      </c>
      <c r="C68" t="s">
        <v>125</v>
      </c>
      <c r="D68">
        <v>13.33333333333333</v>
      </c>
      <c r="E68">
        <v>13.070944746193341</v>
      </c>
      <c r="F68">
        <v>0.26238858713999141</v>
      </c>
      <c r="G68">
        <v>-0.91717228643578452</v>
      </c>
      <c r="H68">
        <v>1.8294839790981789</v>
      </c>
      <c r="I68">
        <v>1.1906000703463491</v>
      </c>
      <c r="J68">
        <v>1.350226806317437E-2</v>
      </c>
      <c r="K68">
        <v>0.30213081591089108</v>
      </c>
      <c r="L68">
        <v>-0.36074266827553059</v>
      </c>
      <c r="M68">
        <v>-1.351639233627344</v>
      </c>
      <c r="N68">
        <v>-0.64764780307175651</v>
      </c>
      <c r="O68">
        <v>5.4491443183285908E-2</v>
      </c>
      <c r="P68">
        <v>0.43817880982950019</v>
      </c>
      <c r="Q68">
        <v>-0.52486557418804092</v>
      </c>
      <c r="R68">
        <v>-0.91717228643578452</v>
      </c>
      <c r="S68">
        <v>9.2569804564363469</v>
      </c>
      <c r="T68">
        <v>0.15551986573479051</v>
      </c>
      <c r="U68">
        <v>9.1014605907015564</v>
      </c>
      <c r="V68">
        <v>1.8294839790981789</v>
      </c>
      <c r="W68">
        <v>4.6758098629890217</v>
      </c>
      <c r="X68">
        <v>8.4774446653113067E-2</v>
      </c>
      <c r="Y68">
        <v>4.5910354163359086</v>
      </c>
      <c r="Z68">
        <v>1.1906000703463491</v>
      </c>
      <c r="AA68">
        <v>-1.350226806317437E-2</v>
      </c>
      <c r="AB68">
        <v>-0.36105429762281449</v>
      </c>
      <c r="AC68">
        <v>-0.24320733419896781</v>
      </c>
      <c r="AD68">
        <v>-0.2377553235137182</v>
      </c>
      <c r="AE68">
        <v>-0.98649679442590632</v>
      </c>
      <c r="AF68">
        <v>0.1092660769308786</v>
      </c>
      <c r="AG68">
        <v>-0.43673532446022051</v>
      </c>
      <c r="AH68">
        <v>-0.1682284718509682</v>
      </c>
      <c r="AI68">
        <v>-0.44450617233324902</v>
      </c>
      <c r="AJ68">
        <v>-1.416749991902535</v>
      </c>
      <c r="AK68">
        <v>-0.75709180283062882</v>
      </c>
      <c r="AL68">
        <v>-1.8810759061488691</v>
      </c>
      <c r="AM68">
        <v>0.64764780307175651</v>
      </c>
      <c r="AN68">
        <v>5.4491443183285908E-2</v>
      </c>
      <c r="AO68">
        <v>0.26950547551120541</v>
      </c>
      <c r="AP68">
        <v>0.60685214414779498</v>
      </c>
      <c r="AQ68">
        <v>-0.52486557418804092</v>
      </c>
    </row>
    <row r="69" spans="1:43" x14ac:dyDescent="0.3">
      <c r="A69">
        <v>536</v>
      </c>
      <c r="B69">
        <v>2025</v>
      </c>
      <c r="C69" t="s">
        <v>126</v>
      </c>
      <c r="D69">
        <v>14</v>
      </c>
      <c r="E69">
        <v>13.583488226102521</v>
      </c>
      <c r="F69">
        <v>0.41651177389747568</v>
      </c>
      <c r="G69">
        <v>-0.46941647966126743</v>
      </c>
      <c r="H69">
        <v>1.281333596436379</v>
      </c>
      <c r="I69">
        <v>0.42467444051903419</v>
      </c>
      <c r="J69">
        <v>0.39050360730415101</v>
      </c>
      <c r="K69">
        <v>0.30213081591089108</v>
      </c>
      <c r="L69">
        <v>-0.41539517304884338</v>
      </c>
      <c r="M69">
        <v>-0.77523158320344032</v>
      </c>
      <c r="N69">
        <v>0.47845606927506079</v>
      </c>
      <c r="O69">
        <v>0.12598615908638849</v>
      </c>
      <c r="P69">
        <v>0.19668974774465581</v>
      </c>
      <c r="Q69">
        <v>-0.52486557418804092</v>
      </c>
      <c r="R69">
        <v>-0.46941647966126743</v>
      </c>
      <c r="S69">
        <v>9.2569804564363469</v>
      </c>
      <c r="T69">
        <v>0.15551986573479051</v>
      </c>
      <c r="U69">
        <v>9.1014605907015564</v>
      </c>
      <c r="V69">
        <v>1.281333596436379</v>
      </c>
      <c r="W69">
        <v>4.6758098629890217</v>
      </c>
      <c r="X69">
        <v>8.4774446653113067E-2</v>
      </c>
      <c r="Y69">
        <v>4.5910354163359086</v>
      </c>
      <c r="Z69">
        <v>0.42467444051903419</v>
      </c>
      <c r="AA69">
        <v>-0.39050360730415101</v>
      </c>
      <c r="AB69">
        <v>-0.36105429762281449</v>
      </c>
      <c r="AC69">
        <v>-0.24320733419896781</v>
      </c>
      <c r="AD69">
        <v>-0.34305572796558897</v>
      </c>
      <c r="AE69">
        <v>-0.77394447320975068</v>
      </c>
      <c r="AF69">
        <v>-0.14653380896410029</v>
      </c>
      <c r="AG69">
        <v>-0.1814486431620107</v>
      </c>
      <c r="AH69">
        <v>-0.34864822319144811</v>
      </c>
      <c r="AI69">
        <v>-0.69874016180016207</v>
      </c>
      <c r="AJ69">
        <v>-0.13267216244991081</v>
      </c>
      <c r="AK69">
        <v>-1.293347704232549</v>
      </c>
      <c r="AL69">
        <v>-0.89967488292786102</v>
      </c>
      <c r="AM69">
        <v>-0.47845606927506079</v>
      </c>
      <c r="AN69">
        <v>0.12598615908638849</v>
      </c>
      <c r="AO69">
        <v>-3.4638342293815981E-2</v>
      </c>
      <c r="AP69">
        <v>0.42801783778312757</v>
      </c>
      <c r="AQ69">
        <v>-0.52486557418804092</v>
      </c>
    </row>
    <row r="70" spans="1:43" x14ac:dyDescent="0.3">
      <c r="A70">
        <v>542</v>
      </c>
      <c r="B70">
        <v>2025</v>
      </c>
      <c r="C70" t="s">
        <v>127</v>
      </c>
      <c r="D70">
        <v>19.666666666666671</v>
      </c>
      <c r="E70">
        <v>18.804138870685549</v>
      </c>
      <c r="F70">
        <v>0.86252779598112284</v>
      </c>
      <c r="G70">
        <v>1.0215746418497429</v>
      </c>
      <c r="H70">
        <v>1.413335917688527</v>
      </c>
      <c r="I70">
        <v>-0.56164636569591531</v>
      </c>
      <c r="J70">
        <v>0.42461688638121908</v>
      </c>
      <c r="K70">
        <v>0.30213081591089108</v>
      </c>
      <c r="L70">
        <v>0.9078351265482576</v>
      </c>
      <c r="M70">
        <v>0.19071350283273311</v>
      </c>
      <c r="N70">
        <v>0.13000925391538409</v>
      </c>
      <c r="O70">
        <v>0.70162918094538995</v>
      </c>
      <c r="P70">
        <v>0.49510474545234789</v>
      </c>
      <c r="Q70">
        <v>-0.52486557418804092</v>
      </c>
      <c r="R70">
        <v>1.0215746418497429</v>
      </c>
      <c r="S70">
        <v>9.2569804564363469</v>
      </c>
      <c r="T70">
        <v>0.15551986573479051</v>
      </c>
      <c r="U70">
        <v>9.1014605907015564</v>
      </c>
      <c r="V70">
        <v>1.413335917688527</v>
      </c>
      <c r="W70">
        <v>4.6758098629890217</v>
      </c>
      <c r="X70">
        <v>8.4774446653113067E-2</v>
      </c>
      <c r="Y70">
        <v>4.5910354163359086</v>
      </c>
      <c r="Z70">
        <v>-0.56164636569591531</v>
      </c>
      <c r="AA70">
        <v>-0.42461688638121908</v>
      </c>
      <c r="AB70">
        <v>-0.36105429762281449</v>
      </c>
      <c r="AC70">
        <v>-0.24320733419896781</v>
      </c>
      <c r="AD70">
        <v>0.72981292037938628</v>
      </c>
      <c r="AE70">
        <v>0.72840159006934779</v>
      </c>
      <c r="AF70">
        <v>1.340603645379367</v>
      </c>
      <c r="AG70">
        <v>0.84639734844435188</v>
      </c>
      <c r="AH70">
        <v>1.0786490243371649</v>
      </c>
      <c r="AI70">
        <v>0.72314623067992712</v>
      </c>
      <c r="AJ70">
        <v>0.33171593781524472</v>
      </c>
      <c r="AK70">
        <v>-0.562224658351962</v>
      </c>
      <c r="AL70">
        <v>0.80264922903491664</v>
      </c>
      <c r="AM70">
        <v>-0.13000925391538409</v>
      </c>
      <c r="AN70">
        <v>0.70162918094538995</v>
      </c>
      <c r="AO70">
        <v>0.49911499286219269</v>
      </c>
      <c r="AP70">
        <v>0.49109449804250321</v>
      </c>
      <c r="AQ70">
        <v>-0.52486557418804092</v>
      </c>
    </row>
    <row r="71" spans="1:43" x14ac:dyDescent="0.3">
      <c r="A71">
        <v>544</v>
      </c>
      <c r="B71">
        <v>2025</v>
      </c>
      <c r="C71" t="s">
        <v>129</v>
      </c>
      <c r="D71">
        <v>4</v>
      </c>
      <c r="E71">
        <v>6.7175518720848357</v>
      </c>
      <c r="F71">
        <v>-2.7175518720848362</v>
      </c>
      <c r="G71">
        <v>-1.11458336245267</v>
      </c>
      <c r="H71">
        <v>-1.038866541691001</v>
      </c>
      <c r="I71">
        <v>-0.30003624348618668</v>
      </c>
      <c r="J71">
        <v>-1.4614391556565709</v>
      </c>
      <c r="K71">
        <v>0.30213081591089108</v>
      </c>
      <c r="L71">
        <v>-0.87834706100091076</v>
      </c>
      <c r="M71">
        <v>-0.57057569062262037</v>
      </c>
      <c r="N71">
        <v>-0.90641304292664637</v>
      </c>
      <c r="O71">
        <v>0.38620675283463168</v>
      </c>
      <c r="P71">
        <v>0.38941355539053812</v>
      </c>
      <c r="Q71">
        <v>-0.52486557418804092</v>
      </c>
      <c r="R71">
        <v>-1.11458336245267</v>
      </c>
      <c r="S71">
        <v>9.2569804564363469</v>
      </c>
      <c r="T71">
        <v>0.15551986573479051</v>
      </c>
      <c r="U71">
        <v>9.1014605907015564</v>
      </c>
      <c r="V71">
        <v>-1.038866541691001</v>
      </c>
      <c r="W71">
        <v>4.6758098629890217</v>
      </c>
      <c r="X71">
        <v>8.4774446653113067E-2</v>
      </c>
      <c r="Y71">
        <v>4.5910354163359086</v>
      </c>
      <c r="Z71">
        <v>-0.30003624348618668</v>
      </c>
      <c r="AA71">
        <v>1.4614391556565709</v>
      </c>
      <c r="AB71">
        <v>-0.36105429762281449</v>
      </c>
      <c r="AC71">
        <v>-0.24320733419896781</v>
      </c>
      <c r="AD71">
        <v>-1.7569299533152261</v>
      </c>
      <c r="AE71">
        <v>0.63010057883064807</v>
      </c>
      <c r="AF71">
        <v>-1.013273957298116</v>
      </c>
      <c r="AG71">
        <v>-1.061057467041038</v>
      </c>
      <c r="AH71">
        <v>-0.92624820134453845</v>
      </c>
      <c r="AI71">
        <v>-1.142673365837195</v>
      </c>
      <c r="AJ71">
        <v>0.6817048325485654</v>
      </c>
      <c r="AK71">
        <v>-1.030004806190252</v>
      </c>
      <c r="AL71">
        <v>-1.363427098226174</v>
      </c>
      <c r="AM71">
        <v>0.90641304292664637</v>
      </c>
      <c r="AN71">
        <v>0.38620675283463168</v>
      </c>
      <c r="AO71">
        <v>0.36211593270927273</v>
      </c>
      <c r="AP71">
        <v>0.41671117807180358</v>
      </c>
      <c r="AQ71">
        <v>-0.52486557418804092</v>
      </c>
    </row>
    <row r="72" spans="1:43" x14ac:dyDescent="0.3">
      <c r="A72">
        <v>546</v>
      </c>
      <c r="B72">
        <v>2025</v>
      </c>
      <c r="C72" t="s">
        <v>130</v>
      </c>
      <c r="D72">
        <v>19.5</v>
      </c>
      <c r="E72">
        <v>19.015943080954681</v>
      </c>
      <c r="F72">
        <v>0.48405691904531523</v>
      </c>
      <c r="G72">
        <v>1.580378525732796</v>
      </c>
      <c r="H72">
        <v>-0.44950042375572141</v>
      </c>
      <c r="I72">
        <v>0.7011725887089898</v>
      </c>
      <c r="J72">
        <v>0.69239086392408888</v>
      </c>
      <c r="K72">
        <v>0.30213081591089108</v>
      </c>
      <c r="L72">
        <v>0.75962690637098762</v>
      </c>
      <c r="M72">
        <v>0.2373583062614496</v>
      </c>
      <c r="N72">
        <v>1.6127557485530779</v>
      </c>
      <c r="O72">
        <v>3.78188895220205</v>
      </c>
      <c r="P72">
        <v>1.1497071483431069</v>
      </c>
      <c r="Q72">
        <v>-0.52486557418804092</v>
      </c>
      <c r="R72">
        <v>1.580378525732796</v>
      </c>
      <c r="S72">
        <v>9.2569804564363469</v>
      </c>
      <c r="T72">
        <v>0.15551986573479051</v>
      </c>
      <c r="U72">
        <v>9.1014605907015564</v>
      </c>
      <c r="V72">
        <v>-0.44950042375572141</v>
      </c>
      <c r="W72">
        <v>4.6758098629890217</v>
      </c>
      <c r="X72">
        <v>8.4774446653113067E-2</v>
      </c>
      <c r="Y72">
        <v>4.5910354163359086</v>
      </c>
      <c r="Z72">
        <v>0.7011725887089898</v>
      </c>
      <c r="AA72">
        <v>-0.69239086392408888</v>
      </c>
      <c r="AB72">
        <v>-0.36105429762281449</v>
      </c>
      <c r="AC72">
        <v>-0.24320733419896781</v>
      </c>
      <c r="AD72">
        <v>-8.2214548066360402E-2</v>
      </c>
      <c r="AE72">
        <v>1.227213339129066</v>
      </c>
      <c r="AF72">
        <v>0.91867567223778646</v>
      </c>
      <c r="AG72">
        <v>1.2600047843515569</v>
      </c>
      <c r="AH72">
        <v>0.79260056879010576</v>
      </c>
      <c r="AI72">
        <v>0.44148162178377159</v>
      </c>
      <c r="AJ72">
        <v>-0.15399827940666699</v>
      </c>
      <c r="AK72">
        <v>8.8790005949969164E-2</v>
      </c>
      <c r="AL72">
        <v>0.77728319224104658</v>
      </c>
      <c r="AM72">
        <v>-1.6127557485530779</v>
      </c>
      <c r="AN72">
        <v>3.78188895220205</v>
      </c>
      <c r="AO72">
        <v>1.159281284486501</v>
      </c>
      <c r="AP72">
        <v>1.1401330121997131</v>
      </c>
      <c r="AQ72">
        <v>-0.52486557418804092</v>
      </c>
    </row>
    <row r="73" spans="1:43" x14ac:dyDescent="0.3">
      <c r="A73">
        <v>548</v>
      </c>
      <c r="B73">
        <v>2025</v>
      </c>
      <c r="C73" t="s">
        <v>131</v>
      </c>
      <c r="D73">
        <v>15.66666666666667</v>
      </c>
      <c r="E73">
        <v>14.817134136386031</v>
      </c>
      <c r="F73">
        <v>0.84953253028064246</v>
      </c>
      <c r="G73">
        <v>0.29788707109287399</v>
      </c>
      <c r="H73">
        <v>0.69639057933410264</v>
      </c>
      <c r="I73">
        <v>0.17048650134930149</v>
      </c>
      <c r="J73">
        <v>0.52106130793299721</v>
      </c>
      <c r="K73">
        <v>0.30213081591089108</v>
      </c>
      <c r="L73">
        <v>0.31569983042071692</v>
      </c>
      <c r="M73">
        <v>-0.49983300154793442</v>
      </c>
      <c r="N73">
        <v>-0.34418068744635782</v>
      </c>
      <c r="O73">
        <v>0.50042502477749762</v>
      </c>
      <c r="P73">
        <v>0.4241018259358541</v>
      </c>
      <c r="Q73">
        <v>-0.52486557418804092</v>
      </c>
      <c r="R73">
        <v>0.29788707109287399</v>
      </c>
      <c r="S73">
        <v>9.2569804564363469</v>
      </c>
      <c r="T73">
        <v>0.15551986573479051</v>
      </c>
      <c r="U73">
        <v>9.1014605907015564</v>
      </c>
      <c r="V73">
        <v>0.69639057933410264</v>
      </c>
      <c r="W73">
        <v>4.6758098629890217</v>
      </c>
      <c r="X73">
        <v>8.4774446653113067E-2</v>
      </c>
      <c r="Y73">
        <v>4.5910354163359086</v>
      </c>
      <c r="Z73">
        <v>0.17048650134930149</v>
      </c>
      <c r="AA73">
        <v>-0.52106130793299721</v>
      </c>
      <c r="AB73">
        <v>-0.36105429762281449</v>
      </c>
      <c r="AC73">
        <v>-0.24320733419896781</v>
      </c>
      <c r="AD73">
        <v>-0.28990304564836022</v>
      </c>
      <c r="AE73">
        <v>0.42206680697428323</v>
      </c>
      <c r="AF73">
        <v>0.68978358435864628</v>
      </c>
      <c r="AG73">
        <v>0.46113981125878678</v>
      </c>
      <c r="AH73">
        <v>0.24610774168907529</v>
      </c>
      <c r="AI73">
        <v>0.36500408389186972</v>
      </c>
      <c r="AJ73">
        <v>-0.41066348489561649</v>
      </c>
      <c r="AK73">
        <v>-0.79570222773156707</v>
      </c>
      <c r="AL73">
        <v>-0.29313329201661958</v>
      </c>
      <c r="AM73">
        <v>0.34418068744635782</v>
      </c>
      <c r="AN73">
        <v>0.50042502477749762</v>
      </c>
      <c r="AO73">
        <v>0.59411649143599243</v>
      </c>
      <c r="AP73">
        <v>0.25408716043571578</v>
      </c>
      <c r="AQ73">
        <v>-0.52486557418804092</v>
      </c>
    </row>
    <row r="74" spans="1:43" x14ac:dyDescent="0.3">
      <c r="A74">
        <v>556</v>
      </c>
      <c r="B74">
        <v>2025</v>
      </c>
      <c r="C74" t="s">
        <v>132</v>
      </c>
      <c r="D74">
        <v>4</v>
      </c>
      <c r="E74">
        <v>6.5611610335821844</v>
      </c>
      <c r="F74">
        <v>-2.5611610335821839</v>
      </c>
      <c r="G74">
        <v>0.52303032414778405</v>
      </c>
      <c r="H74">
        <v>-1.4518389353411909</v>
      </c>
      <c r="I74">
        <v>0.69248426856217105</v>
      </c>
      <c r="J74">
        <v>0.53163108232264811</v>
      </c>
      <c r="K74">
        <v>0.30213081591089108</v>
      </c>
      <c r="L74">
        <v>-0.41205227751470691</v>
      </c>
      <c r="M74">
        <v>-0.9477942731297192</v>
      </c>
      <c r="N74">
        <v>-2.049491959459778</v>
      </c>
      <c r="O74">
        <v>-1.7772680911631979</v>
      </c>
      <c r="P74">
        <v>-9.8110466566720067E-2</v>
      </c>
      <c r="Q74">
        <v>-0.52486557418804092</v>
      </c>
      <c r="R74">
        <v>0.52303032414778405</v>
      </c>
      <c r="S74">
        <v>9.2569804564363469</v>
      </c>
      <c r="T74">
        <v>0.15551986573479051</v>
      </c>
      <c r="U74">
        <v>9.1014605907015564</v>
      </c>
      <c r="V74">
        <v>-1.4518389353411909</v>
      </c>
      <c r="W74">
        <v>4.6758098629890217</v>
      </c>
      <c r="X74">
        <v>8.4774446653113067E-2</v>
      </c>
      <c r="Y74">
        <v>4.5910354163359086</v>
      </c>
      <c r="Z74">
        <v>0.69248426856217105</v>
      </c>
      <c r="AA74">
        <v>-0.53163108232264811</v>
      </c>
      <c r="AB74">
        <v>-0.36105429762281449</v>
      </c>
      <c r="AC74">
        <v>-0.24320733419896781</v>
      </c>
      <c r="AD74">
        <v>-0.60105333974774788</v>
      </c>
      <c r="AE74">
        <v>-0.10648433725930211</v>
      </c>
      <c r="AF74">
        <v>-0.60293316676723729</v>
      </c>
      <c r="AG74">
        <v>-0.59777787284509276</v>
      </c>
      <c r="AH74">
        <v>-7.8133400615944842E-2</v>
      </c>
      <c r="AI74">
        <v>-0.48593154785291598</v>
      </c>
      <c r="AJ74">
        <v>-2.6964423096425469</v>
      </c>
      <c r="AK74">
        <v>0.1941436653484693</v>
      </c>
      <c r="AL74">
        <v>-0.34108417509507971</v>
      </c>
      <c r="AM74">
        <v>2.049491959459778</v>
      </c>
      <c r="AN74">
        <v>-1.7772680911631979</v>
      </c>
      <c r="AO74">
        <v>4.7535570344784443E-2</v>
      </c>
      <c r="AP74">
        <v>-0.24375650347822461</v>
      </c>
      <c r="AQ74">
        <v>-0.52486557418804092</v>
      </c>
    </row>
    <row r="75" spans="1:43" x14ac:dyDescent="0.3">
      <c r="A75">
        <v>564</v>
      </c>
      <c r="B75">
        <v>2025</v>
      </c>
      <c r="C75" t="s">
        <v>134</v>
      </c>
      <c r="D75">
        <v>6.6666666666666679</v>
      </c>
      <c r="E75">
        <v>5.6469731211504239</v>
      </c>
      <c r="F75">
        <v>1.0196935455162439</v>
      </c>
      <c r="G75">
        <v>-1.29887957733215</v>
      </c>
      <c r="H75">
        <v>0.62510120082534903</v>
      </c>
      <c r="I75">
        <v>2.317799795550567E-2</v>
      </c>
      <c r="J75">
        <v>-1.253649601725727</v>
      </c>
      <c r="K75">
        <v>-1.310464306796276</v>
      </c>
      <c r="L75">
        <v>-1.4462124321811181</v>
      </c>
      <c r="M75">
        <v>-2.0179299634058498</v>
      </c>
      <c r="N75">
        <v>-0.37518584180303127</v>
      </c>
      <c r="O75">
        <v>6.2805985112331847E-2</v>
      </c>
      <c r="P75">
        <v>-8.5700410688414649E-2</v>
      </c>
      <c r="Q75">
        <v>-0.52486557418804092</v>
      </c>
      <c r="R75">
        <v>-1.29887957733215</v>
      </c>
      <c r="S75">
        <v>9.2569804564363469</v>
      </c>
      <c r="T75">
        <v>0.15551986573479051</v>
      </c>
      <c r="U75">
        <v>9.1014605907015564</v>
      </c>
      <c r="V75">
        <v>0.62510120082534903</v>
      </c>
      <c r="W75">
        <v>4.6758098629890217</v>
      </c>
      <c r="X75">
        <v>8.4774446653113067E-2</v>
      </c>
      <c r="Y75">
        <v>4.5910354163359086</v>
      </c>
      <c r="Z75">
        <v>2.317799795550567E-2</v>
      </c>
      <c r="AA75">
        <v>1.253649601725727</v>
      </c>
      <c r="AB75">
        <v>2.7696665199223802</v>
      </c>
      <c r="AC75">
        <v>-0.1487379063298282</v>
      </c>
      <c r="AD75">
        <v>-1.42428595055504</v>
      </c>
      <c r="AE75">
        <v>-2.5239684118494252</v>
      </c>
      <c r="AF75">
        <v>-1.0342408066337541</v>
      </c>
      <c r="AG75">
        <v>-1.2423284700176589</v>
      </c>
      <c r="AH75">
        <v>-1.2223455483947789</v>
      </c>
      <c r="AI75">
        <v>-1.230105405636053</v>
      </c>
      <c r="AJ75">
        <v>-0.75253291794387367</v>
      </c>
      <c r="AK75">
        <v>-1.1277683820612181</v>
      </c>
      <c r="AL75">
        <v>-4.1734885902124592</v>
      </c>
      <c r="AM75">
        <v>0.37518584180303127</v>
      </c>
      <c r="AN75">
        <v>6.2805985112331847E-2</v>
      </c>
      <c r="AO75">
        <v>-0.32563968894292428</v>
      </c>
      <c r="AP75">
        <v>0.15423886756609501</v>
      </c>
      <c r="AQ75">
        <v>-0.52486557418804092</v>
      </c>
    </row>
    <row r="76" spans="1:43" x14ac:dyDescent="0.3">
      <c r="A76">
        <v>566</v>
      </c>
      <c r="B76">
        <v>2025</v>
      </c>
      <c r="C76" t="s">
        <v>135</v>
      </c>
      <c r="D76">
        <v>14.33333333333333</v>
      </c>
      <c r="E76">
        <v>11.85065684158365</v>
      </c>
      <c r="F76">
        <v>2.4826764917496789</v>
      </c>
      <c r="G76">
        <v>-0.59180830141793173</v>
      </c>
      <c r="H76">
        <v>0.72191677861632453</v>
      </c>
      <c r="I76">
        <v>0.52552881006250463</v>
      </c>
      <c r="J76">
        <v>0.22270366911465761</v>
      </c>
      <c r="K76">
        <v>0.30213081591089108</v>
      </c>
      <c r="L76">
        <v>-0.56811394477890564</v>
      </c>
      <c r="M76">
        <v>-0.53639038179768639</v>
      </c>
      <c r="N76">
        <v>-3.3462486939645482E-3</v>
      </c>
      <c r="O76">
        <v>-0.1380748995964218</v>
      </c>
      <c r="P76">
        <v>0.45683485459333528</v>
      </c>
      <c r="Q76">
        <v>-0.52486557418804092</v>
      </c>
      <c r="R76">
        <v>-0.59180830141793173</v>
      </c>
      <c r="S76">
        <v>9.2569804564363469</v>
      </c>
      <c r="T76">
        <v>0.15551986573479051</v>
      </c>
      <c r="U76">
        <v>9.1014605907015564</v>
      </c>
      <c r="V76">
        <v>0.72191677861632453</v>
      </c>
      <c r="W76">
        <v>4.6758098629890217</v>
      </c>
      <c r="X76">
        <v>8.4774446653113067E-2</v>
      </c>
      <c r="Y76">
        <v>4.5910354163359086</v>
      </c>
      <c r="Z76">
        <v>0.52552881006250463</v>
      </c>
      <c r="AA76">
        <v>-0.22270366911465761</v>
      </c>
      <c r="AB76">
        <v>-0.36105429762281449</v>
      </c>
      <c r="AC76">
        <v>-0.24320733419896781</v>
      </c>
      <c r="AD76">
        <v>-0.53946924881939184</v>
      </c>
      <c r="AE76">
        <v>-0.97251997663257173</v>
      </c>
      <c r="AF76">
        <v>-0.18668215071539379</v>
      </c>
      <c r="AG76">
        <v>-0.23396978185167</v>
      </c>
      <c r="AH76">
        <v>-0.74466423601313003</v>
      </c>
      <c r="AI76">
        <v>-0.73137827464127658</v>
      </c>
      <c r="AJ76">
        <v>-0.34102155889934688</v>
      </c>
      <c r="AK76">
        <v>-0.74100412578857144</v>
      </c>
      <c r="AL76">
        <v>-0.52714546070514068</v>
      </c>
      <c r="AM76">
        <v>3.3462486939645482E-3</v>
      </c>
      <c r="AN76">
        <v>-0.1380748995964218</v>
      </c>
      <c r="AO76">
        <v>0.40669581458387472</v>
      </c>
      <c r="AP76">
        <v>0.50697389460279585</v>
      </c>
      <c r="AQ76">
        <v>-0.52486557418804092</v>
      </c>
    </row>
    <row r="77" spans="1:43" x14ac:dyDescent="0.3">
      <c r="A77">
        <v>576</v>
      </c>
      <c r="B77">
        <v>2025</v>
      </c>
      <c r="C77" t="s">
        <v>136</v>
      </c>
      <c r="D77">
        <v>22</v>
      </c>
      <c r="E77">
        <v>17.810916152294482</v>
      </c>
      <c r="F77">
        <v>4.1890838477055219</v>
      </c>
      <c r="G77">
        <v>1.756988141588024</v>
      </c>
      <c r="H77">
        <v>0.80025815556808411</v>
      </c>
      <c r="I77">
        <v>-0.18861617808578171</v>
      </c>
      <c r="J77">
        <v>0.43089388236352077</v>
      </c>
      <c r="K77">
        <v>0.30213081591089108</v>
      </c>
      <c r="L77">
        <v>1.499131225583384</v>
      </c>
      <c r="M77">
        <v>-2.8123868679256831E-2</v>
      </c>
      <c r="N77">
        <v>-3.266222008788199</v>
      </c>
      <c r="O77">
        <v>2.486320390841287</v>
      </c>
      <c r="P77">
        <v>0.92474384439694335</v>
      </c>
      <c r="Q77">
        <v>-0.52486557418804092</v>
      </c>
      <c r="R77">
        <v>1.756988141588024</v>
      </c>
      <c r="S77">
        <v>9.2569804564363469</v>
      </c>
      <c r="T77">
        <v>0.15551986573479051</v>
      </c>
      <c r="U77">
        <v>9.1014605907015564</v>
      </c>
      <c r="V77">
        <v>0.80025815556808411</v>
      </c>
      <c r="W77">
        <v>4.6758098629890217</v>
      </c>
      <c r="X77">
        <v>8.4774446653113067E-2</v>
      </c>
      <c r="Y77">
        <v>4.5910354163359086</v>
      </c>
      <c r="Z77">
        <v>-0.18861617808578171</v>
      </c>
      <c r="AA77">
        <v>-0.43089388236352077</v>
      </c>
      <c r="AB77">
        <v>-0.36105429762281449</v>
      </c>
      <c r="AC77">
        <v>-0.24320733419896781</v>
      </c>
      <c r="AD77">
        <v>-0.1098394958867185</v>
      </c>
      <c r="AE77">
        <v>1.4414154422819121</v>
      </c>
      <c r="AF77">
        <v>2.242843835261914</v>
      </c>
      <c r="AG77">
        <v>2.1395916396317141</v>
      </c>
      <c r="AH77">
        <v>1.416832707159472</v>
      </c>
      <c r="AI77">
        <v>1.8639432250520109</v>
      </c>
      <c r="AJ77">
        <v>1.0232735447936721</v>
      </c>
      <c r="AK77">
        <v>-0.78142957066348528</v>
      </c>
      <c r="AL77">
        <v>-0.32621558016795732</v>
      </c>
      <c r="AM77">
        <v>3.266222008788199</v>
      </c>
      <c r="AN77">
        <v>2.486320390841287</v>
      </c>
      <c r="AO77">
        <v>1.2305608752171571</v>
      </c>
      <c r="AP77">
        <v>0.6189268135767293</v>
      </c>
      <c r="AQ77">
        <v>-0.52486557418804092</v>
      </c>
    </row>
    <row r="78" spans="1:43" x14ac:dyDescent="0.3">
      <c r="A78">
        <v>578</v>
      </c>
      <c r="B78">
        <v>2025</v>
      </c>
      <c r="C78" t="s">
        <v>137</v>
      </c>
      <c r="D78">
        <v>15</v>
      </c>
      <c r="E78">
        <v>12.708005223717061</v>
      </c>
      <c r="F78">
        <v>2.291994776282944</v>
      </c>
      <c r="G78">
        <v>-0.12827996896184521</v>
      </c>
      <c r="H78">
        <v>0.78587016981280833</v>
      </c>
      <c r="I78">
        <v>-0.82552680271787782</v>
      </c>
      <c r="J78">
        <v>0.61101886433589214</v>
      </c>
      <c r="K78">
        <v>0.30213081591089108</v>
      </c>
      <c r="L78">
        <v>-0.48837659369223502</v>
      </c>
      <c r="M78">
        <v>-0.23606473846854681</v>
      </c>
      <c r="N78">
        <v>-0.1912941601840151</v>
      </c>
      <c r="O78">
        <v>0.34587540559249452</v>
      </c>
      <c r="P78">
        <v>0.76418256995528311</v>
      </c>
      <c r="Q78">
        <v>-0.52486557418804092</v>
      </c>
      <c r="R78">
        <v>-0.12827996896184521</v>
      </c>
      <c r="S78">
        <v>9.2569804564363469</v>
      </c>
      <c r="T78">
        <v>0.15551986573479051</v>
      </c>
      <c r="U78">
        <v>9.1014605907015564</v>
      </c>
      <c r="V78">
        <v>0.78587016981280833</v>
      </c>
      <c r="W78">
        <v>4.6758098629890217</v>
      </c>
      <c r="X78">
        <v>8.4774446653113067E-2</v>
      </c>
      <c r="Y78">
        <v>4.5910354163359086</v>
      </c>
      <c r="Z78">
        <v>-0.82552680271787782</v>
      </c>
      <c r="AA78">
        <v>-0.61101886433589214</v>
      </c>
      <c r="AB78">
        <v>-0.36105429762281449</v>
      </c>
      <c r="AC78">
        <v>-0.24320733419896781</v>
      </c>
      <c r="AD78">
        <v>-0.76250712195888182</v>
      </c>
      <c r="AE78">
        <v>-0.86323606259578634</v>
      </c>
      <c r="AF78">
        <v>-6.251620950973108E-2</v>
      </c>
      <c r="AG78">
        <v>-0.20261712253701691</v>
      </c>
      <c r="AH78">
        <v>-0.35825514456844348</v>
      </c>
      <c r="AI78">
        <v>-0.68112790098355058</v>
      </c>
      <c r="AJ78">
        <v>-0.1574064485090392</v>
      </c>
      <c r="AK78">
        <v>-0.70000117455830135</v>
      </c>
      <c r="AL78">
        <v>0.14921340766170019</v>
      </c>
      <c r="AM78">
        <v>0.1912941601840151</v>
      </c>
      <c r="AN78">
        <v>0.34587540559249452</v>
      </c>
      <c r="AO78">
        <v>0.95519591700551476</v>
      </c>
      <c r="AP78">
        <v>0.57316922290505135</v>
      </c>
      <c r="AQ78">
        <v>-0.52486557418804092</v>
      </c>
    </row>
    <row r="79" spans="1:43" x14ac:dyDescent="0.3">
      <c r="A79">
        <v>582</v>
      </c>
      <c r="B79">
        <v>2025</v>
      </c>
      <c r="C79" t="s">
        <v>138</v>
      </c>
      <c r="D79">
        <v>11.66666666666667</v>
      </c>
      <c r="E79">
        <v>13.079010013690651</v>
      </c>
      <c r="F79">
        <v>-1.412343347023981</v>
      </c>
      <c r="G79">
        <v>-0.52050784691343877</v>
      </c>
      <c r="H79">
        <v>0.71185818882894469</v>
      </c>
      <c r="I79">
        <v>0.99098700647070148</v>
      </c>
      <c r="J79">
        <v>0.32426126672496719</v>
      </c>
      <c r="K79">
        <v>0.30213081591089108</v>
      </c>
      <c r="L79">
        <v>-0.55647510336865358</v>
      </c>
      <c r="M79">
        <v>-0.14379061169666521</v>
      </c>
      <c r="N79">
        <v>0.72246885665379168</v>
      </c>
      <c r="O79">
        <v>0.53892019013172743</v>
      </c>
      <c r="P79">
        <v>0.15462752784142611</v>
      </c>
      <c r="Q79">
        <v>-0.52486557418804092</v>
      </c>
      <c r="R79">
        <v>-0.52050784691343877</v>
      </c>
      <c r="S79">
        <v>9.2569804564363469</v>
      </c>
      <c r="T79">
        <v>0.15551986573479051</v>
      </c>
      <c r="U79">
        <v>9.1014605907015564</v>
      </c>
      <c r="V79">
        <v>0.71185818882894469</v>
      </c>
      <c r="W79">
        <v>4.6758098629890217</v>
      </c>
      <c r="X79">
        <v>8.4774446653113067E-2</v>
      </c>
      <c r="Y79">
        <v>4.5910354163359086</v>
      </c>
      <c r="Z79">
        <v>0.99098700647070148</v>
      </c>
      <c r="AA79">
        <v>-0.32426126672496719</v>
      </c>
      <c r="AB79">
        <v>-0.36105429762281449</v>
      </c>
      <c r="AC79">
        <v>-0.24320733419896781</v>
      </c>
      <c r="AD79">
        <v>-1.350064021586814</v>
      </c>
      <c r="AE79">
        <v>-3.4127380400653301E-2</v>
      </c>
      <c r="AF79">
        <v>-0.45615611825947572</v>
      </c>
      <c r="AG79">
        <v>-0.63414746639659059</v>
      </c>
      <c r="AH79">
        <v>-0.46435384627506421</v>
      </c>
      <c r="AI79">
        <v>-0.40000178729332309</v>
      </c>
      <c r="AJ79">
        <v>0.16010459948402761</v>
      </c>
      <c r="AK79">
        <v>-0.90476842798592705</v>
      </c>
      <c r="AL79">
        <v>0.31329199341190378</v>
      </c>
      <c r="AM79">
        <v>-0.72246885665379168</v>
      </c>
      <c r="AN79">
        <v>0.53892019013172743</v>
      </c>
      <c r="AO79">
        <v>0.42038340018584569</v>
      </c>
      <c r="AP79">
        <v>-0.1111283445029935</v>
      </c>
      <c r="AQ79">
        <v>-0.52486557418804092</v>
      </c>
    </row>
    <row r="80" spans="1:43" x14ac:dyDescent="0.3">
      <c r="A80">
        <v>612</v>
      </c>
      <c r="B80">
        <v>2025</v>
      </c>
      <c r="C80" t="s">
        <v>139</v>
      </c>
      <c r="E80">
        <v>10.475399817125091</v>
      </c>
      <c r="G80">
        <v>-0.32979715645364088</v>
      </c>
      <c r="H80">
        <v>0.44014729793443652</v>
      </c>
      <c r="I80">
        <v>-0.33736545818734132</v>
      </c>
      <c r="J80">
        <v>-8.7025062729371175E-2</v>
      </c>
      <c r="K80">
        <v>0.30213081591089108</v>
      </c>
      <c r="L80">
        <v>-0.93826461567952946</v>
      </c>
      <c r="M80">
        <v>-0.60012330479074449</v>
      </c>
      <c r="N80">
        <v>0.1111727891718135</v>
      </c>
      <c r="O80">
        <v>-7.8903291715684359E-2</v>
      </c>
      <c r="P80">
        <v>0.69343961060273884</v>
      </c>
      <c r="Q80">
        <v>-0.52486557418804092</v>
      </c>
      <c r="R80">
        <v>-0.32979715645364088</v>
      </c>
      <c r="S80">
        <v>9.2569804564363469</v>
      </c>
      <c r="T80">
        <v>0.15551986573479051</v>
      </c>
      <c r="U80">
        <v>9.1014605907015564</v>
      </c>
      <c r="V80">
        <v>0.44014729793443652</v>
      </c>
      <c r="W80">
        <v>4.6758098629890217</v>
      </c>
      <c r="X80">
        <v>8.4774446653113067E-2</v>
      </c>
      <c r="Y80">
        <v>4.5910354163359086</v>
      </c>
      <c r="Z80">
        <v>-0.33736545818734132</v>
      </c>
      <c r="AA80">
        <v>8.7025062729371175E-2</v>
      </c>
      <c r="AB80">
        <v>-0.36105429762281449</v>
      </c>
      <c r="AC80">
        <v>-0.24320733419896781</v>
      </c>
      <c r="AD80">
        <v>-1.29561176535269</v>
      </c>
      <c r="AE80">
        <v>-0.87557874189894869</v>
      </c>
      <c r="AF80">
        <v>-0.63696077246206706</v>
      </c>
      <c r="AG80">
        <v>-1.195897258183372</v>
      </c>
      <c r="AH80">
        <v>-0.87704938046863246</v>
      </c>
      <c r="AI80">
        <v>-0.74848977571146647</v>
      </c>
      <c r="AJ80">
        <v>-1.708649651493952</v>
      </c>
      <c r="AK80">
        <v>-0.43905080284533637</v>
      </c>
      <c r="AL80">
        <v>0.3473305399670546</v>
      </c>
      <c r="AM80">
        <v>-0.1111727891718135</v>
      </c>
      <c r="AN80">
        <v>-7.8903291715684359E-2</v>
      </c>
      <c r="AO80">
        <v>0.48203246458411259</v>
      </c>
      <c r="AP80">
        <v>0.90484675662136504</v>
      </c>
      <c r="AQ80">
        <v>-0.52486557418804092</v>
      </c>
    </row>
    <row r="81" spans="1:43" x14ac:dyDescent="0.3">
      <c r="A81">
        <v>614</v>
      </c>
      <c r="B81">
        <v>2025</v>
      </c>
      <c r="C81" t="s">
        <v>140</v>
      </c>
      <c r="D81">
        <v>7</v>
      </c>
      <c r="E81">
        <v>7.9745946727029491</v>
      </c>
      <c r="F81">
        <v>-0.97459467270294908</v>
      </c>
      <c r="G81">
        <v>-0.88732718039071523</v>
      </c>
      <c r="H81">
        <v>-3.8275151084868973E-2</v>
      </c>
      <c r="I81">
        <v>-0.50886154631147573</v>
      </c>
      <c r="J81">
        <v>-2.488863200163951</v>
      </c>
      <c r="K81">
        <v>0.30213081591089108</v>
      </c>
      <c r="L81">
        <v>-1.1112398545650271</v>
      </c>
      <c r="M81">
        <v>-0.97236019201924029</v>
      </c>
      <c r="N81">
        <v>-0.1199211838916367</v>
      </c>
      <c r="O81">
        <v>0.61929840573196004</v>
      </c>
      <c r="P81">
        <v>0.34318513945211959</v>
      </c>
      <c r="Q81">
        <v>-0.52486557418804092</v>
      </c>
      <c r="R81">
        <v>-0.88732718039071523</v>
      </c>
      <c r="S81">
        <v>9.2569804564363469</v>
      </c>
      <c r="T81">
        <v>0.15551986573479051</v>
      </c>
      <c r="U81">
        <v>9.1014605907015564</v>
      </c>
      <c r="V81">
        <v>-3.8275151084868973E-2</v>
      </c>
      <c r="W81">
        <v>4.6758098629890217</v>
      </c>
      <c r="X81">
        <v>8.4774446653113067E-2</v>
      </c>
      <c r="Y81">
        <v>4.5910354163359086</v>
      </c>
      <c r="Z81">
        <v>-0.50886154631147573</v>
      </c>
      <c r="AA81">
        <v>2.488863200163951</v>
      </c>
      <c r="AB81">
        <v>-0.36105429762281449</v>
      </c>
      <c r="AC81">
        <v>-0.24320733419896781</v>
      </c>
      <c r="AD81">
        <v>-1.307054781025641</v>
      </c>
      <c r="AE81">
        <v>-0.73118732384834184</v>
      </c>
      <c r="AF81">
        <v>-1.244596588441172</v>
      </c>
      <c r="AG81">
        <v>-1.2194533773830121</v>
      </c>
      <c r="AH81">
        <v>-1.3868931823256001</v>
      </c>
      <c r="AI81">
        <v>-0.7782538743663967</v>
      </c>
      <c r="AJ81">
        <v>0.26911589062608288</v>
      </c>
      <c r="AK81">
        <v>-1.141958538221391</v>
      </c>
      <c r="AL81">
        <v>-2.044237928462413</v>
      </c>
      <c r="AM81">
        <v>0.1199211838916367</v>
      </c>
      <c r="AN81">
        <v>0.61929840573196004</v>
      </c>
      <c r="AO81">
        <v>1.616266941482894E-2</v>
      </c>
      <c r="AP81">
        <v>0.67020760948941027</v>
      </c>
      <c r="AQ81">
        <v>-0.52486557418804092</v>
      </c>
    </row>
    <row r="82" spans="1:43" x14ac:dyDescent="0.3">
      <c r="A82">
        <v>616</v>
      </c>
      <c r="B82">
        <v>2025</v>
      </c>
      <c r="C82" t="s">
        <v>142</v>
      </c>
      <c r="D82">
        <v>15</v>
      </c>
      <c r="E82">
        <v>12.28202797892699</v>
      </c>
      <c r="F82">
        <v>2.7179720210730061</v>
      </c>
      <c r="G82">
        <v>-0.2306415634848335</v>
      </c>
      <c r="H82">
        <v>-0.97369838690271027</v>
      </c>
      <c r="I82">
        <v>-0.32042541689605702</v>
      </c>
      <c r="J82">
        <v>-9.6202069013526834E-2</v>
      </c>
      <c r="K82">
        <v>0.30213081591089108</v>
      </c>
      <c r="L82">
        <v>0.39083092302887062</v>
      </c>
      <c r="M82">
        <v>-0.43794798152607251</v>
      </c>
      <c r="N82">
        <v>0.53485433392026449</v>
      </c>
      <c r="O82">
        <v>-0.28900387843907199</v>
      </c>
      <c r="P82">
        <v>0.36627431860244969</v>
      </c>
      <c r="Q82">
        <v>-0.52486557418804092</v>
      </c>
      <c r="R82">
        <v>-0.2306415634848335</v>
      </c>
      <c r="S82">
        <v>9.2569804564363469</v>
      </c>
      <c r="T82">
        <v>0.15551986573479051</v>
      </c>
      <c r="U82">
        <v>9.1014605907015564</v>
      </c>
      <c r="V82">
        <v>-0.97369838690271027</v>
      </c>
      <c r="W82">
        <v>4.6758098629890217</v>
      </c>
      <c r="X82">
        <v>8.4774446653113067E-2</v>
      </c>
      <c r="Y82">
        <v>4.5910354163359086</v>
      </c>
      <c r="Z82">
        <v>-0.32042541689605702</v>
      </c>
      <c r="AA82">
        <v>9.6202069013526834E-2</v>
      </c>
      <c r="AB82">
        <v>-0.36105429762281449</v>
      </c>
      <c r="AC82">
        <v>-0.24320733419896781</v>
      </c>
      <c r="AD82">
        <v>0.17055094202686941</v>
      </c>
      <c r="AE82">
        <v>1.2012476245922969</v>
      </c>
      <c r="AF82">
        <v>0.123243976487971</v>
      </c>
      <c r="AG82">
        <v>0.13907783932995879</v>
      </c>
      <c r="AH82">
        <v>0.21047848166299191</v>
      </c>
      <c r="AI82">
        <v>0.50038667407313608</v>
      </c>
      <c r="AJ82">
        <v>-0.99025271283434158</v>
      </c>
      <c r="AK82">
        <v>-0.43888580102952029</v>
      </c>
      <c r="AL82">
        <v>0.1152945692856444</v>
      </c>
      <c r="AM82">
        <v>-0.53485433392026449</v>
      </c>
      <c r="AN82">
        <v>-0.28900387843907199</v>
      </c>
      <c r="AO82">
        <v>0.40179318539975051</v>
      </c>
      <c r="AP82">
        <v>0.33075545180514893</v>
      </c>
      <c r="AQ82">
        <v>-0.52486557418804092</v>
      </c>
    </row>
    <row r="83" spans="1:43" x14ac:dyDescent="0.3">
      <c r="A83">
        <v>622</v>
      </c>
      <c r="B83">
        <v>2025</v>
      </c>
      <c r="C83" t="s">
        <v>143</v>
      </c>
      <c r="D83">
        <v>7</v>
      </c>
      <c r="E83">
        <v>7.7166526608868544</v>
      </c>
      <c r="F83">
        <v>-0.71665266088685442</v>
      </c>
      <c r="G83">
        <v>-1.1678745123455141</v>
      </c>
      <c r="H83">
        <v>-0.37360528045695462</v>
      </c>
      <c r="I83">
        <v>0.13804719547449701</v>
      </c>
      <c r="J83">
        <v>0.16067779088224779</v>
      </c>
      <c r="K83">
        <v>0.30213081591089108</v>
      </c>
      <c r="L83">
        <v>-1.4534645734434599</v>
      </c>
      <c r="M83">
        <v>-0.32274000138213532</v>
      </c>
      <c r="N83">
        <v>0.55935840752473243</v>
      </c>
      <c r="O83">
        <v>-0.27167652822924082</v>
      </c>
      <c r="P83">
        <v>0.14859182837317</v>
      </c>
      <c r="Q83">
        <v>-0.52486557418804092</v>
      </c>
      <c r="R83">
        <v>-1.1678745123455141</v>
      </c>
      <c r="S83">
        <v>9.2569804564363469</v>
      </c>
      <c r="T83">
        <v>0.15551986573479051</v>
      </c>
      <c r="U83">
        <v>9.1014605907015564</v>
      </c>
      <c r="V83">
        <v>-0.37360528045695462</v>
      </c>
      <c r="W83">
        <v>4.6758098629890217</v>
      </c>
      <c r="X83">
        <v>8.4774446653113067E-2</v>
      </c>
      <c r="Y83">
        <v>4.5910354163359086</v>
      </c>
      <c r="Z83">
        <v>0.13804719547449701</v>
      </c>
      <c r="AA83">
        <v>-0.16067779088224779</v>
      </c>
      <c r="AB83">
        <v>-0.36105429762281449</v>
      </c>
      <c r="AC83">
        <v>-0.24320733419896781</v>
      </c>
      <c r="AD83">
        <v>-1.5065999367589491</v>
      </c>
      <c r="AE83">
        <v>-1.914322844205542</v>
      </c>
      <c r="AF83">
        <v>-1.2623454713206519</v>
      </c>
      <c r="AG83">
        <v>-1.1681763551346629</v>
      </c>
      <c r="AH83">
        <v>-1.4774226778553861</v>
      </c>
      <c r="AI83">
        <v>-1.39192015538557</v>
      </c>
      <c r="AJ83">
        <v>0.25786392057486851</v>
      </c>
      <c r="AK83">
        <v>-1.1847765094256371</v>
      </c>
      <c r="AL83">
        <v>-4.130741529563741E-2</v>
      </c>
      <c r="AM83">
        <v>-0.55935840752473243</v>
      </c>
      <c r="AN83">
        <v>-0.27167652822924082</v>
      </c>
      <c r="AO83">
        <v>-0.11685492480218609</v>
      </c>
      <c r="AP83">
        <v>0.41403858154852607</v>
      </c>
      <c r="AQ83">
        <v>-0.52486557418804092</v>
      </c>
    </row>
    <row r="84" spans="1:43" x14ac:dyDescent="0.3">
      <c r="A84">
        <v>624</v>
      </c>
      <c r="B84">
        <v>2025</v>
      </c>
      <c r="C84" t="s">
        <v>144</v>
      </c>
      <c r="D84">
        <v>8</v>
      </c>
      <c r="E84">
        <v>9.5974388378694648</v>
      </c>
      <c r="F84">
        <v>-1.5974388378694651</v>
      </c>
      <c r="G84">
        <v>-0.38473335845997481</v>
      </c>
      <c r="H84">
        <v>-1.957196855227856</v>
      </c>
      <c r="I84">
        <v>0.27382948520618189</v>
      </c>
      <c r="J84">
        <v>0.4118530252500342</v>
      </c>
      <c r="K84">
        <v>0.30213081591089108</v>
      </c>
      <c r="L84">
        <v>0.43200757405227819</v>
      </c>
      <c r="M84">
        <v>-7.975435674405526E-2</v>
      </c>
      <c r="N84">
        <v>-1.3326783505381541</v>
      </c>
      <c r="O84">
        <v>-0.35696847000838078</v>
      </c>
      <c r="P84">
        <v>0.56383554222042354</v>
      </c>
      <c r="Q84">
        <v>-0.52486557418804092</v>
      </c>
      <c r="R84">
        <v>-0.38473335845997481</v>
      </c>
      <c r="S84">
        <v>9.2569804564363469</v>
      </c>
      <c r="T84">
        <v>0.15551986573479051</v>
      </c>
      <c r="U84">
        <v>9.1014605907015564</v>
      </c>
      <c r="V84">
        <v>-1.957196855227856</v>
      </c>
      <c r="W84">
        <v>4.6758098629890217</v>
      </c>
      <c r="X84">
        <v>8.4774446653113067E-2</v>
      </c>
      <c r="Y84">
        <v>4.5910354163359086</v>
      </c>
      <c r="Z84">
        <v>0.27382948520618189</v>
      </c>
      <c r="AA84">
        <v>-0.4118530252500342</v>
      </c>
      <c r="AB84">
        <v>-0.36105429762281449</v>
      </c>
      <c r="AC84">
        <v>-0.24320733419896781</v>
      </c>
      <c r="AD84">
        <v>0.71156541860588041</v>
      </c>
      <c r="AE84">
        <v>0.88511643395047901</v>
      </c>
      <c r="AF84">
        <v>0.12131638271967771</v>
      </c>
      <c r="AG84">
        <v>-0.27345891644280979</v>
      </c>
      <c r="AH84">
        <v>0.3313379076083019</v>
      </c>
      <c r="AI84">
        <v>0.81616821787214022</v>
      </c>
      <c r="AJ84">
        <v>-7.0961670676489407E-3</v>
      </c>
      <c r="AK84">
        <v>-0.24055361841871781</v>
      </c>
      <c r="AL84">
        <v>8.3867152542009774E-3</v>
      </c>
      <c r="AM84">
        <v>1.3326783505381541</v>
      </c>
      <c r="AN84">
        <v>-0.35696847000838078</v>
      </c>
      <c r="AO84">
        <v>0.62927404242879648</v>
      </c>
      <c r="AP84">
        <v>0.49839704201205048</v>
      </c>
      <c r="AQ84">
        <v>-0.52486557418804092</v>
      </c>
    </row>
    <row r="85" spans="1:43" x14ac:dyDescent="0.3">
      <c r="A85">
        <v>634</v>
      </c>
      <c r="B85">
        <v>2025</v>
      </c>
      <c r="C85" t="s">
        <v>145</v>
      </c>
      <c r="D85">
        <v>5.6666666666666679</v>
      </c>
      <c r="E85">
        <v>3.7726126910805662</v>
      </c>
      <c r="F85">
        <v>1.8940539755861019</v>
      </c>
      <c r="G85">
        <v>-1.0331779890207211</v>
      </c>
      <c r="H85">
        <v>-1.0785242398903401</v>
      </c>
      <c r="I85">
        <v>-0.67001023807985161</v>
      </c>
      <c r="J85">
        <v>0.26095709447792481</v>
      </c>
      <c r="K85">
        <v>-2.1230086313229082</v>
      </c>
      <c r="L85">
        <v>-1.366968772125895</v>
      </c>
      <c r="M85">
        <v>0.20940572412834069</v>
      </c>
      <c r="N85">
        <v>-0.97503556197770691</v>
      </c>
      <c r="O85">
        <v>0.3896204994431357</v>
      </c>
      <c r="P85">
        <v>-0.45626618525488311</v>
      </c>
      <c r="Q85">
        <v>-0.52486557418804092</v>
      </c>
      <c r="R85">
        <v>-1.0331779890207211</v>
      </c>
      <c r="S85">
        <v>9.2569804564363469</v>
      </c>
      <c r="T85">
        <v>0.15551986573479051</v>
      </c>
      <c r="U85">
        <v>9.1014605907015564</v>
      </c>
      <c r="V85">
        <v>-1.0785242398903401</v>
      </c>
      <c r="W85">
        <v>4.6758098629890217</v>
      </c>
      <c r="X85">
        <v>8.4774446653113067E-2</v>
      </c>
      <c r="Y85">
        <v>4.5910354163359086</v>
      </c>
      <c r="Z85">
        <v>-0.67001023807985161</v>
      </c>
      <c r="AA85">
        <v>-0.26095709447792481</v>
      </c>
      <c r="AB85">
        <v>2.7696665199223802</v>
      </c>
      <c r="AC85">
        <v>1.4763507427234359</v>
      </c>
      <c r="AD85">
        <v>-1.5862700374879299</v>
      </c>
      <c r="AE85">
        <v>-0.35191677637344088</v>
      </c>
      <c r="AF85">
        <v>-1.614921033015988</v>
      </c>
      <c r="AG85">
        <v>-1.6571395538945699</v>
      </c>
      <c r="AH85">
        <v>-1.3963998519422649</v>
      </c>
      <c r="AI85">
        <v>-1.595165380041174</v>
      </c>
      <c r="AJ85">
        <v>1.5821380973819421</v>
      </c>
      <c r="AK85">
        <v>-0.35267235226567328</v>
      </c>
      <c r="AL85">
        <v>-0.60124857273124688</v>
      </c>
      <c r="AM85">
        <v>0.97503556197770691</v>
      </c>
      <c r="AN85">
        <v>0.3896204994431357</v>
      </c>
      <c r="AO85">
        <v>-0.5477123110019021</v>
      </c>
      <c r="AP85">
        <v>-0.36482005950786411</v>
      </c>
      <c r="AQ85">
        <v>-0.52486557418804092</v>
      </c>
    </row>
    <row r="86" spans="1:43" x14ac:dyDescent="0.3">
      <c r="A86">
        <v>636</v>
      </c>
      <c r="B86">
        <v>2025</v>
      </c>
      <c r="C86" t="s">
        <v>146</v>
      </c>
      <c r="D86">
        <v>7</v>
      </c>
      <c r="E86">
        <v>6.349119144225341</v>
      </c>
      <c r="F86">
        <v>0.65088085577465904</v>
      </c>
      <c r="G86">
        <v>-1.9029519568404669</v>
      </c>
      <c r="H86">
        <v>-0.21389458579281109</v>
      </c>
      <c r="I86">
        <v>0.97216958946930077</v>
      </c>
      <c r="J86">
        <v>-1.120974130415922</v>
      </c>
      <c r="K86">
        <v>0.30213081591089108</v>
      </c>
      <c r="L86">
        <v>-1.954068730835705</v>
      </c>
      <c r="M86">
        <v>-0.19598116789293349</v>
      </c>
      <c r="N86">
        <v>1.0829454496446871</v>
      </c>
      <c r="O86">
        <v>-0.18889317297301669</v>
      </c>
      <c r="P86">
        <v>-0.1866653694447675</v>
      </c>
      <c r="Q86">
        <v>-0.52486557418804092</v>
      </c>
      <c r="R86">
        <v>-1.9029519568404669</v>
      </c>
      <c r="S86">
        <v>9.2569804564363469</v>
      </c>
      <c r="T86">
        <v>0.15551986573479051</v>
      </c>
      <c r="U86">
        <v>9.1014605907015564</v>
      </c>
      <c r="V86">
        <v>-0.21389458579281109</v>
      </c>
      <c r="W86">
        <v>4.6758098629890217</v>
      </c>
      <c r="X86">
        <v>8.4774446653113067E-2</v>
      </c>
      <c r="Y86">
        <v>4.5910354163359086</v>
      </c>
      <c r="Z86">
        <v>0.97216958946930077</v>
      </c>
      <c r="AA86">
        <v>1.120974130415922</v>
      </c>
      <c r="AB86">
        <v>-0.36105429762281449</v>
      </c>
      <c r="AC86">
        <v>-0.24320733419896781</v>
      </c>
      <c r="AD86">
        <v>-1.47587936240439</v>
      </c>
      <c r="AE86">
        <v>-2.5910487138631511</v>
      </c>
      <c r="AF86">
        <v>-2.278094079838711</v>
      </c>
      <c r="AG86">
        <v>-1.811248118730616</v>
      </c>
      <c r="AH86">
        <v>-1.879381571910391</v>
      </c>
      <c r="AI86">
        <v>-1.688760538266969</v>
      </c>
      <c r="AJ86">
        <v>0.19328412809829909</v>
      </c>
      <c r="AK86">
        <v>-1.2249544515768269</v>
      </c>
      <c r="AL86">
        <v>0.44372681979972761</v>
      </c>
      <c r="AM86">
        <v>-1.0829454496446871</v>
      </c>
      <c r="AN86">
        <v>-0.18889317297301669</v>
      </c>
      <c r="AO86">
        <v>-9.0422227783838183E-2</v>
      </c>
      <c r="AP86">
        <v>-0.28290851110569692</v>
      </c>
      <c r="AQ86">
        <v>-0.52486557418804092</v>
      </c>
    </row>
    <row r="87" spans="1:43" x14ac:dyDescent="0.3">
      <c r="A87">
        <v>638</v>
      </c>
      <c r="B87">
        <v>2025</v>
      </c>
      <c r="C87" t="s">
        <v>148</v>
      </c>
      <c r="D87">
        <v>9.3333333333333339</v>
      </c>
      <c r="E87">
        <v>7.9366785596589802</v>
      </c>
      <c r="F87">
        <v>1.396654773674354</v>
      </c>
      <c r="G87">
        <v>-1.331540853775709</v>
      </c>
      <c r="H87">
        <v>-0.84817988812264666</v>
      </c>
      <c r="I87">
        <v>1.3850176060939989</v>
      </c>
      <c r="J87">
        <v>0.52457184671945167</v>
      </c>
      <c r="K87">
        <v>0.30213081591089108</v>
      </c>
      <c r="L87">
        <v>-0.5434076460163928</v>
      </c>
      <c r="M87">
        <v>-0.63130730437951244</v>
      </c>
      <c r="N87">
        <v>0.20304917399037931</v>
      </c>
      <c r="O87">
        <v>-0.4530059550892892</v>
      </c>
      <c r="P87">
        <v>-3.2734304872833242</v>
      </c>
      <c r="Q87">
        <v>-0.52486557418804092</v>
      </c>
      <c r="R87">
        <v>-1.331540853775709</v>
      </c>
      <c r="S87">
        <v>9.2569804564363469</v>
      </c>
      <c r="T87">
        <v>0.15551986573479051</v>
      </c>
      <c r="U87">
        <v>9.1014605907015564</v>
      </c>
      <c r="V87">
        <v>-0.84817988812264666</v>
      </c>
      <c r="W87">
        <v>4.6758098629890217</v>
      </c>
      <c r="X87">
        <v>8.4774446653113067E-2</v>
      </c>
      <c r="Y87">
        <v>4.5910354163359086</v>
      </c>
      <c r="Z87">
        <v>1.3850176060939989</v>
      </c>
      <c r="AA87">
        <v>-0.52457184671945167</v>
      </c>
      <c r="AB87">
        <v>-0.36105429762281449</v>
      </c>
      <c r="AC87">
        <v>-0.24320733419896781</v>
      </c>
      <c r="AD87">
        <v>-0.56679085360960979</v>
      </c>
      <c r="AE87">
        <v>-0.52591401863148723</v>
      </c>
      <c r="AF87">
        <v>-0.56212143235542722</v>
      </c>
      <c r="AG87">
        <v>-0.64623713322776088</v>
      </c>
      <c r="AH87">
        <v>-0.5705829830677055</v>
      </c>
      <c r="AI87">
        <v>-0.388799455206366</v>
      </c>
      <c r="AJ87">
        <v>-0.31388150641501472</v>
      </c>
      <c r="AK87">
        <v>-1.141463532773944</v>
      </c>
      <c r="AL87">
        <v>-0.43857687394957923</v>
      </c>
      <c r="AM87">
        <v>-0.20304917399037931</v>
      </c>
      <c r="AN87">
        <v>-0.4530059550892892</v>
      </c>
      <c r="AO87">
        <v>-3.3458466341885278</v>
      </c>
      <c r="AP87">
        <v>-3.2010143403781202</v>
      </c>
      <c r="AQ87">
        <v>-0.52486557418804092</v>
      </c>
    </row>
    <row r="88" spans="1:43" x14ac:dyDescent="0.3">
      <c r="A88">
        <v>644</v>
      </c>
      <c r="B88">
        <v>2025</v>
      </c>
      <c r="C88" t="s">
        <v>149</v>
      </c>
      <c r="D88">
        <v>2</v>
      </c>
      <c r="E88">
        <v>7.2218771258119023</v>
      </c>
      <c r="F88">
        <v>-5.2218771258119023</v>
      </c>
      <c r="G88">
        <v>-1.710516281847527</v>
      </c>
      <c r="H88">
        <v>-6.4649730173719236E-2</v>
      </c>
      <c r="I88">
        <v>1.729625198650973</v>
      </c>
      <c r="J88">
        <v>-2.4258070551137769</v>
      </c>
      <c r="K88">
        <v>0.30213081591089108</v>
      </c>
      <c r="L88">
        <v>-1.339719025530937</v>
      </c>
      <c r="M88">
        <v>-0.58681772549752187</v>
      </c>
      <c r="N88">
        <v>0.31415097710179279</v>
      </c>
      <c r="O88">
        <v>-0.19543618730598289</v>
      </c>
      <c r="P88">
        <v>-0.13027835282916511</v>
      </c>
      <c r="Q88">
        <v>-0.52486557418804092</v>
      </c>
      <c r="R88">
        <v>-1.710516281847527</v>
      </c>
      <c r="S88">
        <v>9.2569804564363469</v>
      </c>
      <c r="T88">
        <v>0.15551986573479051</v>
      </c>
      <c r="U88">
        <v>9.1014605907015564</v>
      </c>
      <c r="V88">
        <v>-6.4649730173719236E-2</v>
      </c>
      <c r="W88">
        <v>4.6758098629890217</v>
      </c>
      <c r="X88">
        <v>8.4774446653113067E-2</v>
      </c>
      <c r="Y88">
        <v>4.5910354163359086</v>
      </c>
      <c r="Z88">
        <v>1.729625198650973</v>
      </c>
      <c r="AA88">
        <v>2.4258070551137769</v>
      </c>
      <c r="AB88">
        <v>-0.36105429762281449</v>
      </c>
      <c r="AC88">
        <v>-0.24320733419896781</v>
      </c>
      <c r="AD88">
        <v>-1.5072873688056689</v>
      </c>
      <c r="AE88">
        <v>-2.309223601436587</v>
      </c>
      <c r="AF88">
        <v>-1.086201634163473</v>
      </c>
      <c r="AG88">
        <v>-1.2890799608986401</v>
      </c>
      <c r="AH88">
        <v>-1.2566553658978099</v>
      </c>
      <c r="AI88">
        <v>-0.58986622198344307</v>
      </c>
      <c r="AJ88">
        <v>6.3197320668779811E-2</v>
      </c>
      <c r="AK88">
        <v>-1.562960671275853</v>
      </c>
      <c r="AL88">
        <v>-0.26068982588549289</v>
      </c>
      <c r="AM88">
        <v>-0.31415097710179279</v>
      </c>
      <c r="AN88">
        <v>-0.19543618730598289</v>
      </c>
      <c r="AO88">
        <v>-0.34478372806644808</v>
      </c>
      <c r="AP88">
        <v>8.4227022408117969E-2</v>
      </c>
      <c r="AQ88">
        <v>-0.52486557418804092</v>
      </c>
    </row>
    <row r="89" spans="1:43" x14ac:dyDescent="0.3">
      <c r="A89">
        <v>646</v>
      </c>
      <c r="B89">
        <v>2025</v>
      </c>
      <c r="C89" t="s">
        <v>150</v>
      </c>
      <c r="D89">
        <v>5</v>
      </c>
      <c r="E89">
        <v>7.6194959163976446</v>
      </c>
      <c r="F89">
        <v>-2.619495916397645</v>
      </c>
      <c r="G89">
        <v>-7.8801170191781043E-3</v>
      </c>
      <c r="H89">
        <v>-0.91535749683645073</v>
      </c>
      <c r="I89">
        <v>-0.46913103709738152</v>
      </c>
      <c r="J89">
        <v>0.46363347235023722</v>
      </c>
      <c r="K89">
        <v>0.30213081591089108</v>
      </c>
      <c r="L89">
        <v>-1.04479611512535</v>
      </c>
      <c r="M89">
        <v>-0.73078025421704496</v>
      </c>
      <c r="N89">
        <v>-0.50490185048699965</v>
      </c>
      <c r="O89">
        <v>0.47209351409858691</v>
      </c>
      <c r="P89">
        <v>-0.41346502960201931</v>
      </c>
      <c r="Q89">
        <v>-0.52486557418804092</v>
      </c>
      <c r="R89">
        <v>-7.8801170191781043E-3</v>
      </c>
      <c r="S89">
        <v>9.2569804564363469</v>
      </c>
      <c r="T89">
        <v>0.15551986573479051</v>
      </c>
      <c r="U89">
        <v>9.1014605907015564</v>
      </c>
      <c r="V89">
        <v>-0.91535749683645073</v>
      </c>
      <c r="W89">
        <v>4.6758098629890217</v>
      </c>
      <c r="X89">
        <v>8.4774446653113067E-2</v>
      </c>
      <c r="Y89">
        <v>4.5910354163359086</v>
      </c>
      <c r="Z89">
        <v>-0.46913103709738152</v>
      </c>
      <c r="AA89">
        <v>-0.46363347235023722</v>
      </c>
      <c r="AB89">
        <v>-0.36105429762281449</v>
      </c>
      <c r="AC89">
        <v>-0.24320733419896781</v>
      </c>
      <c r="AD89">
        <v>-1.2655295207558011</v>
      </c>
      <c r="AE89">
        <v>-0.37414491053430832</v>
      </c>
      <c r="AF89">
        <v>-0.99649456077671483</v>
      </c>
      <c r="AG89">
        <v>-1.162147709107719</v>
      </c>
      <c r="AH89">
        <v>-1.3717627123471989</v>
      </c>
      <c r="AI89">
        <v>-1.0986972772303569</v>
      </c>
      <c r="AJ89">
        <v>-0.52604003303769065</v>
      </c>
      <c r="AK89">
        <v>-0.74611918207886652</v>
      </c>
      <c r="AL89">
        <v>-0.92018154753457748</v>
      </c>
      <c r="AM89">
        <v>0.50490185048699965</v>
      </c>
      <c r="AN89">
        <v>0.47209351409858691</v>
      </c>
      <c r="AO89">
        <v>-0.52215574713058799</v>
      </c>
      <c r="AP89">
        <v>-0.30477431207345052</v>
      </c>
      <c r="AQ89">
        <v>-0.52486557418804092</v>
      </c>
    </row>
    <row r="90" spans="1:43" x14ac:dyDescent="0.3">
      <c r="A90">
        <v>652</v>
      </c>
      <c r="B90">
        <v>2025</v>
      </c>
      <c r="C90" t="s">
        <v>151</v>
      </c>
      <c r="D90">
        <v>6.3333333333333321</v>
      </c>
      <c r="E90">
        <v>7.3490591412304509</v>
      </c>
      <c r="F90">
        <v>-1.015725807897119</v>
      </c>
      <c r="G90">
        <v>-0.82204362736657077</v>
      </c>
      <c r="H90">
        <v>-5.3001595757676503E-2</v>
      </c>
      <c r="I90">
        <v>0.43026290774914872</v>
      </c>
      <c r="J90">
        <v>-2.322341555989091</v>
      </c>
      <c r="K90">
        <v>-3.1881896902688212</v>
      </c>
      <c r="L90">
        <v>-0.17952081114396459</v>
      </c>
      <c r="M90">
        <v>-1.284055781954595</v>
      </c>
      <c r="N90">
        <v>-2.8656011793363859E-2</v>
      </c>
      <c r="O90">
        <v>0.15920553422747569</v>
      </c>
      <c r="P90">
        <v>0.2353642408101872</v>
      </c>
      <c r="Q90">
        <v>-0.52486557418804092</v>
      </c>
      <c r="R90">
        <v>-0.82204362736657077</v>
      </c>
      <c r="S90">
        <v>9.2569804564363469</v>
      </c>
      <c r="T90">
        <v>0.15551986573479051</v>
      </c>
      <c r="U90">
        <v>9.1014605907015564</v>
      </c>
      <c r="V90">
        <v>-5.3001595757676503E-2</v>
      </c>
      <c r="W90">
        <v>4.6758098629890217</v>
      </c>
      <c r="X90">
        <v>8.4774446653113067E-2</v>
      </c>
      <c r="Y90">
        <v>4.5910354163359086</v>
      </c>
      <c r="Z90">
        <v>0.43026290774914872</v>
      </c>
      <c r="AA90">
        <v>2.322341555989091</v>
      </c>
      <c r="AB90">
        <v>2.7696665199223802</v>
      </c>
      <c r="AC90">
        <v>3.6067128606152621</v>
      </c>
      <c r="AD90">
        <v>7.1310851205929185E-2</v>
      </c>
      <c r="AE90">
        <v>-2.7163640015803792E-2</v>
      </c>
      <c r="AF90">
        <v>-0.28333607177359832</v>
      </c>
      <c r="AG90">
        <v>-0.42954928014540378</v>
      </c>
      <c r="AH90">
        <v>-6.7762194313423119E-2</v>
      </c>
      <c r="AI90">
        <v>-0.34062453182148761</v>
      </c>
      <c r="AJ90">
        <v>-0.93116107501526901</v>
      </c>
      <c r="AK90">
        <v>-1.0942730134505749</v>
      </c>
      <c r="AL90">
        <v>-1.82673325739794</v>
      </c>
      <c r="AM90">
        <v>2.8656011793363859E-2</v>
      </c>
      <c r="AN90">
        <v>0.15920553422747569</v>
      </c>
      <c r="AO90">
        <v>8.8128523960895044E-2</v>
      </c>
      <c r="AP90">
        <v>0.3825999576594793</v>
      </c>
      <c r="AQ90">
        <v>-0.52486557418804092</v>
      </c>
    </row>
    <row r="91" spans="1:43" x14ac:dyDescent="0.3">
      <c r="A91">
        <v>662</v>
      </c>
      <c r="B91">
        <v>2025</v>
      </c>
      <c r="C91" t="s">
        <v>152</v>
      </c>
      <c r="D91">
        <v>10.66666666666667</v>
      </c>
      <c r="E91">
        <v>9.8343363524272487</v>
      </c>
      <c r="F91">
        <v>0.83233031423942094</v>
      </c>
      <c r="G91">
        <v>-0.86557047774785256</v>
      </c>
      <c r="H91">
        <v>-0.1161354724006734</v>
      </c>
      <c r="I91">
        <v>1.1956646187736399</v>
      </c>
      <c r="J91">
        <v>0.36365943299686082</v>
      </c>
      <c r="K91">
        <v>0.30213081591089108</v>
      </c>
      <c r="L91">
        <v>-0.71552671030475434</v>
      </c>
      <c r="M91">
        <v>-0.73889258598699425</v>
      </c>
      <c r="N91">
        <v>6.816563958029874E-2</v>
      </c>
      <c r="O91">
        <v>-0.30139164075326502</v>
      </c>
      <c r="P91">
        <v>6.5414525336239732E-2</v>
      </c>
      <c r="Q91">
        <v>-0.52486557418804092</v>
      </c>
      <c r="R91">
        <v>-0.86557047774785256</v>
      </c>
      <c r="S91">
        <v>9.2569804564363469</v>
      </c>
      <c r="T91">
        <v>0.15551986573479051</v>
      </c>
      <c r="U91">
        <v>9.1014605907015564</v>
      </c>
      <c r="V91">
        <v>-0.1161354724006734</v>
      </c>
      <c r="W91">
        <v>4.6758098629890217</v>
      </c>
      <c r="X91">
        <v>8.4774446653113067E-2</v>
      </c>
      <c r="Y91">
        <v>4.5910354163359086</v>
      </c>
      <c r="Z91">
        <v>1.1956646187736399</v>
      </c>
      <c r="AA91">
        <v>-0.36365943299686082</v>
      </c>
      <c r="AB91">
        <v>-0.36105429762281449</v>
      </c>
      <c r="AC91">
        <v>-0.24320733419896781</v>
      </c>
      <c r="AD91">
        <v>-0.82452331303089066</v>
      </c>
      <c r="AE91">
        <v>-1.05637486668238</v>
      </c>
      <c r="AF91">
        <v>-0.71038570934911527</v>
      </c>
      <c r="AG91">
        <v>-0.51869785436278038</v>
      </c>
      <c r="AH91">
        <v>-0.74916586344472036</v>
      </c>
      <c r="AI91">
        <v>-0.43401265495864028</v>
      </c>
      <c r="AJ91">
        <v>-0.40261920341134072</v>
      </c>
      <c r="AK91">
        <v>-0.98875435223625829</v>
      </c>
      <c r="AL91">
        <v>-0.82530420231338342</v>
      </c>
      <c r="AM91">
        <v>-6.816563958029874E-2</v>
      </c>
      <c r="AN91">
        <v>-0.30139164075326502</v>
      </c>
      <c r="AO91">
        <v>-0.15674274877141631</v>
      </c>
      <c r="AP91">
        <v>0.28757179944389583</v>
      </c>
      <c r="AQ91">
        <v>-0.52486557418804092</v>
      </c>
    </row>
    <row r="92" spans="1:43" x14ac:dyDescent="0.3">
      <c r="A92">
        <v>664</v>
      </c>
      <c r="B92">
        <v>2025</v>
      </c>
      <c r="C92" t="s">
        <v>153</v>
      </c>
      <c r="D92">
        <v>7</v>
      </c>
      <c r="E92">
        <v>8.6955271989666318</v>
      </c>
      <c r="F92">
        <v>-1.6955271989666321</v>
      </c>
      <c r="G92">
        <v>-0.99347890364127178</v>
      </c>
      <c r="H92">
        <v>4.8562496804482977E-2</v>
      </c>
      <c r="I92">
        <v>0.66436729281065809</v>
      </c>
      <c r="J92">
        <v>-0.1570068902767349</v>
      </c>
      <c r="K92">
        <v>0.30213081591089108</v>
      </c>
      <c r="L92">
        <v>-0.86660984710342615</v>
      </c>
      <c r="M92">
        <v>-1.4208313774274619</v>
      </c>
      <c r="N92">
        <v>-0.27697507061052162</v>
      </c>
      <c r="O92">
        <v>-0.25956031394072437</v>
      </c>
      <c r="P92">
        <v>6.8342861725158105E-2</v>
      </c>
      <c r="Q92">
        <v>-0.52486557418804092</v>
      </c>
      <c r="R92">
        <v>-0.99347890364127178</v>
      </c>
      <c r="S92">
        <v>9.2569804564363469</v>
      </c>
      <c r="T92">
        <v>0.15551986573479051</v>
      </c>
      <c r="U92">
        <v>9.1014605907015564</v>
      </c>
      <c r="V92">
        <v>4.8562496804482977E-2</v>
      </c>
      <c r="W92">
        <v>4.6758098629890217</v>
      </c>
      <c r="X92">
        <v>8.4774446653113067E-2</v>
      </c>
      <c r="Y92">
        <v>4.5910354163359086</v>
      </c>
      <c r="Z92">
        <v>0.66436729281065809</v>
      </c>
      <c r="AA92">
        <v>0.1570068902767349</v>
      </c>
      <c r="AB92">
        <v>-0.36105429762281449</v>
      </c>
      <c r="AC92">
        <v>-0.24320733419896781</v>
      </c>
      <c r="AD92">
        <v>-0.53815221631083354</v>
      </c>
      <c r="AE92">
        <v>-1.672304286458574</v>
      </c>
      <c r="AF92">
        <v>-0.69009932109579042</v>
      </c>
      <c r="AG92">
        <v>-0.71134049786011277</v>
      </c>
      <c r="AH92">
        <v>-0.62669486350270842</v>
      </c>
      <c r="AI92">
        <v>-0.96106789739253873</v>
      </c>
      <c r="AJ92">
        <v>-0.85650713563315795</v>
      </c>
      <c r="AK92">
        <v>-1.004842029278316</v>
      </c>
      <c r="AL92">
        <v>-2.4011449673709122</v>
      </c>
      <c r="AM92">
        <v>0.27697507061052162</v>
      </c>
      <c r="AN92">
        <v>-0.25956031394072437</v>
      </c>
      <c r="AO92">
        <v>-0.1124616516033555</v>
      </c>
      <c r="AP92">
        <v>0.24914737505367171</v>
      </c>
      <c r="AQ92">
        <v>-0.52486557418804092</v>
      </c>
    </row>
    <row r="93" spans="1:43" x14ac:dyDescent="0.3">
      <c r="A93">
        <v>666</v>
      </c>
      <c r="B93">
        <v>2025</v>
      </c>
      <c r="C93" t="s">
        <v>154</v>
      </c>
      <c r="D93">
        <v>8</v>
      </c>
      <c r="E93">
        <v>7.5390272566919174</v>
      </c>
      <c r="F93">
        <v>0.46097274330808352</v>
      </c>
      <c r="G93">
        <v>-1.705147768324458</v>
      </c>
      <c r="H93">
        <v>-2.0608419729709122</v>
      </c>
      <c r="I93">
        <v>-0.99929320565424617</v>
      </c>
      <c r="J93">
        <v>-0.19331425609533681</v>
      </c>
      <c r="K93">
        <v>0.30213081591089108</v>
      </c>
      <c r="L93">
        <v>-0.61050888394571212</v>
      </c>
      <c r="M93">
        <v>1.3737770089788091</v>
      </c>
      <c r="N93">
        <v>2.7658905662708969E-2</v>
      </c>
      <c r="O93">
        <v>-0.34747721996807018</v>
      </c>
      <c r="P93">
        <v>0.65866704975675017</v>
      </c>
      <c r="Q93">
        <v>-0.52486557418804092</v>
      </c>
      <c r="R93">
        <v>-1.705147768324458</v>
      </c>
      <c r="S93">
        <v>9.2569804564363469</v>
      </c>
      <c r="T93">
        <v>0.15551986573479051</v>
      </c>
      <c r="U93">
        <v>9.1014605907015564</v>
      </c>
      <c r="V93">
        <v>-2.0608419729709122</v>
      </c>
      <c r="W93">
        <v>4.6758098629890217</v>
      </c>
      <c r="X93">
        <v>8.4774446653113067E-2</v>
      </c>
      <c r="Y93">
        <v>4.5910354163359086</v>
      </c>
      <c r="Z93">
        <v>-0.99929320565424617</v>
      </c>
      <c r="AA93">
        <v>0.19331425609533681</v>
      </c>
      <c r="AB93">
        <v>-0.36105429762281449</v>
      </c>
      <c r="AC93">
        <v>-0.24320733419896781</v>
      </c>
      <c r="AD93">
        <v>-0.32091168676535409</v>
      </c>
      <c r="AE93">
        <v>-0.35245948363343171</v>
      </c>
      <c r="AF93">
        <v>-1.0874510426390249</v>
      </c>
      <c r="AG93">
        <v>-0.88626141952105031</v>
      </c>
      <c r="AH93">
        <v>-0.56423154896163985</v>
      </c>
      <c r="AI93">
        <v>-0.4517381221537709</v>
      </c>
      <c r="AJ93">
        <v>1.1347908426286479</v>
      </c>
      <c r="AK93">
        <v>2.4928664623887311</v>
      </c>
      <c r="AL93">
        <v>0.49367372191904851</v>
      </c>
      <c r="AM93">
        <v>-2.7658905662708969E-2</v>
      </c>
      <c r="AN93">
        <v>-0.34747721996807018</v>
      </c>
      <c r="AO93">
        <v>0.93473700340208155</v>
      </c>
      <c r="AP93">
        <v>0.38259709611141868</v>
      </c>
      <c r="AQ93">
        <v>-0.52486557418804092</v>
      </c>
    </row>
    <row r="94" spans="1:43" x14ac:dyDescent="0.3">
      <c r="A94">
        <v>674</v>
      </c>
      <c r="B94">
        <v>2025</v>
      </c>
      <c r="C94" t="s">
        <v>155</v>
      </c>
      <c r="D94">
        <v>7</v>
      </c>
      <c r="E94">
        <v>6.7140863955827204</v>
      </c>
      <c r="F94">
        <v>0.28591360441727959</v>
      </c>
      <c r="G94">
        <v>-2.074577359486951</v>
      </c>
      <c r="H94">
        <v>-0.96852806955664805</v>
      </c>
      <c r="I94">
        <v>4.1165876852436223E-2</v>
      </c>
      <c r="J94">
        <v>-0.48526134582536878</v>
      </c>
      <c r="K94">
        <v>0.30213081591089108</v>
      </c>
      <c r="L94">
        <v>-1.05628069987955</v>
      </c>
      <c r="M94">
        <v>-0.58368003960171899</v>
      </c>
      <c r="N94">
        <v>0.2306370935926883</v>
      </c>
      <c r="O94">
        <v>-0.49958290692198531</v>
      </c>
      <c r="P94">
        <v>0.32035119926968592</v>
      </c>
      <c r="Q94">
        <v>-0.52486557418804092</v>
      </c>
      <c r="R94">
        <v>-2.074577359486951</v>
      </c>
      <c r="S94">
        <v>9.2569804564363469</v>
      </c>
      <c r="T94">
        <v>0.15551986573479051</v>
      </c>
      <c r="U94">
        <v>9.1014605907015564</v>
      </c>
      <c r="V94">
        <v>-0.96852806955664805</v>
      </c>
      <c r="W94">
        <v>4.6758098629890217</v>
      </c>
      <c r="X94">
        <v>8.4774446653113067E-2</v>
      </c>
      <c r="Y94">
        <v>4.5910354163359086</v>
      </c>
      <c r="Z94">
        <v>4.1165876852436223E-2</v>
      </c>
      <c r="AA94">
        <v>0.48526134582536878</v>
      </c>
      <c r="AB94">
        <v>-0.36105429762281449</v>
      </c>
      <c r="AC94">
        <v>-0.24320733419896781</v>
      </c>
      <c r="AD94">
        <v>-0.94312498200581574</v>
      </c>
      <c r="AE94">
        <v>-0.61923078714095836</v>
      </c>
      <c r="AF94">
        <v>-1.3333546575760069</v>
      </c>
      <c r="AG94">
        <v>-1.1912052279614049</v>
      </c>
      <c r="AH94">
        <v>-1.0774774428143199</v>
      </c>
      <c r="AI94">
        <v>-1.173291101778795</v>
      </c>
      <c r="AJ94">
        <v>-0.32896766670639799</v>
      </c>
      <c r="AK94">
        <v>-1.415944053383819</v>
      </c>
      <c r="AL94">
        <v>-6.128398714940181E-3</v>
      </c>
      <c r="AM94">
        <v>-0.2306370935926883</v>
      </c>
      <c r="AN94">
        <v>-0.49958290692198531</v>
      </c>
      <c r="AO94">
        <v>0.26409318801648329</v>
      </c>
      <c r="AP94">
        <v>0.37660921052288848</v>
      </c>
      <c r="AQ94">
        <v>-0.52486557418804092</v>
      </c>
    </row>
    <row r="95" spans="1:43" x14ac:dyDescent="0.3">
      <c r="A95">
        <v>684</v>
      </c>
      <c r="B95">
        <v>2025</v>
      </c>
      <c r="C95" t="s">
        <v>156</v>
      </c>
      <c r="D95">
        <v>13</v>
      </c>
      <c r="E95">
        <v>11.76522618626568</v>
      </c>
      <c r="F95">
        <v>1.23477381373432</v>
      </c>
      <c r="G95">
        <v>0.21816236947964601</v>
      </c>
      <c r="H95">
        <v>-1.077361603180319</v>
      </c>
      <c r="I95">
        <v>-0.3424736665148676</v>
      </c>
      <c r="J95">
        <v>1.692357689178434E-3</v>
      </c>
      <c r="K95">
        <v>0.30213081591089108</v>
      </c>
      <c r="L95">
        <v>0.53473506234569246</v>
      </c>
      <c r="M95">
        <v>-0.1278616267149606</v>
      </c>
      <c r="N95">
        <v>-0.83576240894006881</v>
      </c>
      <c r="O95">
        <v>-0.64663262825497192</v>
      </c>
      <c r="P95">
        <v>0.86952756973271517</v>
      </c>
      <c r="Q95">
        <v>-0.52486557418804092</v>
      </c>
      <c r="R95">
        <v>0.21816236947964601</v>
      </c>
      <c r="S95">
        <v>9.2569804564363469</v>
      </c>
      <c r="T95">
        <v>0.15551986573479051</v>
      </c>
      <c r="U95">
        <v>9.1014605907015564</v>
      </c>
      <c r="V95">
        <v>-1.077361603180319</v>
      </c>
      <c r="W95">
        <v>4.6758098629890217</v>
      </c>
      <c r="X95">
        <v>8.4774446653113067E-2</v>
      </c>
      <c r="Y95">
        <v>4.5910354163359086</v>
      </c>
      <c r="Z95">
        <v>-0.3424736665148676</v>
      </c>
      <c r="AA95">
        <v>-1.692357689178434E-3</v>
      </c>
      <c r="AB95">
        <v>-0.36105429762281449</v>
      </c>
      <c r="AC95">
        <v>-0.24320733419896781</v>
      </c>
      <c r="AD95">
        <v>0.25090411015465569</v>
      </c>
      <c r="AE95">
        <v>0.91010864477697628</v>
      </c>
      <c r="AF95">
        <v>0.51975934536314472</v>
      </c>
      <c r="AG95">
        <v>0.7612181531703005</v>
      </c>
      <c r="AH95">
        <v>0.5624699580128949</v>
      </c>
      <c r="AI95">
        <v>0.20395016259618259</v>
      </c>
      <c r="AJ95">
        <v>-0.13056711682785729</v>
      </c>
      <c r="AK95">
        <v>-3.6528873162264323E-2</v>
      </c>
      <c r="AL95">
        <v>-0.21648889015476</v>
      </c>
      <c r="AM95">
        <v>0.83576240894006881</v>
      </c>
      <c r="AN95">
        <v>-0.64663262825497192</v>
      </c>
      <c r="AO95">
        <v>0.93019691708025865</v>
      </c>
      <c r="AP95">
        <v>0.80885822238517158</v>
      </c>
      <c r="AQ95">
        <v>-0.52486557418804092</v>
      </c>
    </row>
    <row r="96" spans="1:43" x14ac:dyDescent="0.3">
      <c r="A96">
        <v>686</v>
      </c>
      <c r="B96">
        <v>2025</v>
      </c>
      <c r="C96" t="s">
        <v>157</v>
      </c>
      <c r="D96">
        <v>12.33333333333333</v>
      </c>
      <c r="E96">
        <v>11.18381195473572</v>
      </c>
      <c r="F96">
        <v>1.1495213785976071</v>
      </c>
      <c r="G96">
        <v>-0.51762432161894489</v>
      </c>
      <c r="H96">
        <v>0.19368346595992789</v>
      </c>
      <c r="I96">
        <v>-6.0518030795503948E-2</v>
      </c>
      <c r="J96">
        <v>0.41994252767099449</v>
      </c>
      <c r="K96">
        <v>0.30213081591089108</v>
      </c>
      <c r="L96">
        <v>-0.53627755807902566</v>
      </c>
      <c r="M96">
        <v>-0.13667371133694969</v>
      </c>
      <c r="N96">
        <v>-0.25438798235606308</v>
      </c>
      <c r="O96">
        <v>-0.104648630721486</v>
      </c>
      <c r="P96">
        <v>0.5323281722050005</v>
      </c>
      <c r="Q96">
        <v>-0.52486557418804092</v>
      </c>
      <c r="R96">
        <v>-0.51762432161894489</v>
      </c>
      <c r="S96">
        <v>9.2569804564363469</v>
      </c>
      <c r="T96">
        <v>0.15551986573479051</v>
      </c>
      <c r="U96">
        <v>9.1014605907015564</v>
      </c>
      <c r="V96">
        <v>0.19368346595992789</v>
      </c>
      <c r="W96">
        <v>4.6758098629890217</v>
      </c>
      <c r="X96">
        <v>8.4774446653113067E-2</v>
      </c>
      <c r="Y96">
        <v>4.5910354163359086</v>
      </c>
      <c r="Z96">
        <v>-6.0518030795503948E-2</v>
      </c>
      <c r="AA96">
        <v>-0.41994252767099449</v>
      </c>
      <c r="AB96">
        <v>-0.36105429762281449</v>
      </c>
      <c r="AC96">
        <v>-0.24320733419896781</v>
      </c>
      <c r="AD96">
        <v>-0.94458386557163387</v>
      </c>
      <c r="AE96">
        <v>-0.57138831431897008</v>
      </c>
      <c r="AF96">
        <v>-0.1504572701878755</v>
      </c>
      <c r="AG96">
        <v>-0.356510626352539</v>
      </c>
      <c r="AH96">
        <v>-0.52242440895221265</v>
      </c>
      <c r="AI96">
        <v>-0.67230086309092363</v>
      </c>
      <c r="AJ96">
        <v>-0.45519522382881927</v>
      </c>
      <c r="AK96">
        <v>0.10413517482085489</v>
      </c>
      <c r="AL96">
        <v>-5.8961085002884689E-2</v>
      </c>
      <c r="AM96">
        <v>0.25438798235606308</v>
      </c>
      <c r="AN96">
        <v>-0.104648630721486</v>
      </c>
      <c r="AO96">
        <v>0.61734100209857556</v>
      </c>
      <c r="AP96">
        <v>0.44731534231142539</v>
      </c>
      <c r="AQ96">
        <v>-0.52486557418804092</v>
      </c>
    </row>
    <row r="97" spans="1:43" x14ac:dyDescent="0.3">
      <c r="A97">
        <v>688</v>
      </c>
      <c r="B97">
        <v>2025</v>
      </c>
      <c r="C97" t="s">
        <v>158</v>
      </c>
      <c r="D97">
        <v>5.3333333333333321</v>
      </c>
      <c r="E97">
        <v>1.547946348566775</v>
      </c>
      <c r="F97">
        <v>3.7853869847665571</v>
      </c>
      <c r="G97">
        <v>-1.988467532750301</v>
      </c>
      <c r="H97">
        <v>-0.84129537366311591</v>
      </c>
      <c r="I97">
        <v>0.19428114697752319</v>
      </c>
      <c r="J97">
        <v>-0.21973869206946409</v>
      </c>
      <c r="K97">
        <v>-2.1230086313229082</v>
      </c>
      <c r="L97">
        <v>-1.403328398999603</v>
      </c>
      <c r="M97">
        <v>-0.56013930186423533</v>
      </c>
      <c r="N97">
        <v>-1.0881376976282611</v>
      </c>
      <c r="O97">
        <v>-3.1440080969679252</v>
      </c>
      <c r="P97">
        <v>0.29477070883810008</v>
      </c>
      <c r="Q97">
        <v>-0.52486557418804092</v>
      </c>
      <c r="R97">
        <v>-1.988467532750301</v>
      </c>
      <c r="S97">
        <v>9.2569804564363469</v>
      </c>
      <c r="T97">
        <v>0.15551986573479051</v>
      </c>
      <c r="U97">
        <v>9.1014605907015564</v>
      </c>
      <c r="V97">
        <v>-0.84129537366311591</v>
      </c>
      <c r="W97">
        <v>4.6758098629890217</v>
      </c>
      <c r="X97">
        <v>8.4774446653113067E-2</v>
      </c>
      <c r="Y97">
        <v>4.5910354163359086</v>
      </c>
      <c r="Z97">
        <v>0.19428114697752319</v>
      </c>
      <c r="AA97">
        <v>0.21973869206946409</v>
      </c>
      <c r="AB97">
        <v>2.7696665199223802</v>
      </c>
      <c r="AC97">
        <v>1.4763507427234359</v>
      </c>
      <c r="AD97">
        <v>-1.248931855894424</v>
      </c>
      <c r="AE97">
        <v>-2.1566675076453201</v>
      </c>
      <c r="AF97">
        <v>-1.165628966049191</v>
      </c>
      <c r="AG97">
        <v>-1.2084575155271939</v>
      </c>
      <c r="AH97">
        <v>-1.4140689552064409</v>
      </c>
      <c r="AI97">
        <v>-1.2262155936750501</v>
      </c>
      <c r="AJ97">
        <v>-0.50704450230535092</v>
      </c>
      <c r="AK97">
        <v>-0.29409670765100188</v>
      </c>
      <c r="AL97">
        <v>-0.87927669563635302</v>
      </c>
      <c r="AM97">
        <v>1.0881376976282611</v>
      </c>
      <c r="AN97">
        <v>-3.1440080969679252</v>
      </c>
      <c r="AO97">
        <v>0.43579451686557441</v>
      </c>
      <c r="AP97">
        <v>0.15374690081062581</v>
      </c>
      <c r="AQ97">
        <v>-0.52486557418804092</v>
      </c>
    </row>
    <row r="98" spans="1:43" x14ac:dyDescent="0.3">
      <c r="A98">
        <v>692</v>
      </c>
      <c r="B98">
        <v>2025</v>
      </c>
      <c r="C98" t="s">
        <v>160</v>
      </c>
      <c r="D98">
        <v>4</v>
      </c>
      <c r="E98">
        <v>5.1966055823515553</v>
      </c>
      <c r="F98">
        <v>-1.1966055823515549</v>
      </c>
      <c r="G98">
        <v>-1.886770442912719</v>
      </c>
      <c r="H98">
        <v>-0.87976753382140915</v>
      </c>
      <c r="I98">
        <v>1.277003012911945</v>
      </c>
      <c r="J98">
        <v>0.2205095823731236</v>
      </c>
      <c r="K98">
        <v>0.30213081591089108</v>
      </c>
      <c r="L98">
        <v>-1.2876339617344721</v>
      </c>
      <c r="M98">
        <v>-0.89528064224860981</v>
      </c>
      <c r="N98">
        <v>0.43950514955458042</v>
      </c>
      <c r="O98">
        <v>-0.88554316741679595</v>
      </c>
      <c r="P98">
        <v>-3.424645023919338</v>
      </c>
      <c r="Q98">
        <v>-0.52486557418804092</v>
      </c>
      <c r="R98">
        <v>-1.886770442912719</v>
      </c>
      <c r="S98">
        <v>9.2569804564363469</v>
      </c>
      <c r="T98">
        <v>0.15551986573479051</v>
      </c>
      <c r="U98">
        <v>9.1014605907015564</v>
      </c>
      <c r="V98">
        <v>-0.87976753382140915</v>
      </c>
      <c r="W98">
        <v>4.6758098629890217</v>
      </c>
      <c r="X98">
        <v>8.4774446653113067E-2</v>
      </c>
      <c r="Y98">
        <v>4.5910354163359086</v>
      </c>
      <c r="Z98">
        <v>1.277003012911945</v>
      </c>
      <c r="AA98">
        <v>-0.2205095823731236</v>
      </c>
      <c r="AB98">
        <v>-0.36105429762281449</v>
      </c>
      <c r="AC98">
        <v>-0.24320733419896781</v>
      </c>
      <c r="AD98">
        <v>-1.2107935624071571</v>
      </c>
      <c r="AE98">
        <v>-2.16295376646171</v>
      </c>
      <c r="AF98">
        <v>-1.2269307718811051</v>
      </c>
      <c r="AG98">
        <v>-1.2072411488949839</v>
      </c>
      <c r="AH98">
        <v>-1.1454082512090831</v>
      </c>
      <c r="AI98">
        <v>-0.77247626955279403</v>
      </c>
      <c r="AJ98">
        <v>-0.42998479649803589</v>
      </c>
      <c r="AK98">
        <v>-1.5090050775040289</v>
      </c>
      <c r="AL98">
        <v>-0.74685205274376454</v>
      </c>
      <c r="AM98">
        <v>-0.43950514955458042</v>
      </c>
      <c r="AN98">
        <v>-0.88554316741679595</v>
      </c>
      <c r="AO98">
        <v>-3.7453190927650759</v>
      </c>
      <c r="AP98">
        <v>-3.1039709550735979</v>
      </c>
      <c r="AQ98">
        <v>-0.52486557418804092</v>
      </c>
    </row>
    <row r="99" spans="1:43" x14ac:dyDescent="0.3">
      <c r="A99">
        <v>694</v>
      </c>
      <c r="B99">
        <v>2025</v>
      </c>
      <c r="C99" t="s">
        <v>162</v>
      </c>
      <c r="D99">
        <v>7.3333333333333339</v>
      </c>
      <c r="E99">
        <v>7.927874610934178</v>
      </c>
      <c r="F99">
        <v>-0.59454127760084408</v>
      </c>
      <c r="G99">
        <v>-1.567393942532002</v>
      </c>
      <c r="H99">
        <v>0.43466383596863989</v>
      </c>
      <c r="I99">
        <v>-0.24410791128480791</v>
      </c>
      <c r="J99">
        <v>-2.4713486642619662</v>
      </c>
      <c r="K99">
        <v>0.30213081591089108</v>
      </c>
      <c r="L99">
        <v>-1.4068336487068811</v>
      </c>
      <c r="M99">
        <v>-1.264874632085087</v>
      </c>
      <c r="N99">
        <v>0.60197660356697003</v>
      </c>
      <c r="O99">
        <v>0.48074425834513701</v>
      </c>
      <c r="P99">
        <v>0.21990293259013849</v>
      </c>
      <c r="Q99">
        <v>-0.52486557418804092</v>
      </c>
      <c r="R99">
        <v>-1.567393942532002</v>
      </c>
      <c r="S99">
        <v>9.2569804564363469</v>
      </c>
      <c r="T99">
        <v>0.15551986573479051</v>
      </c>
      <c r="U99">
        <v>9.1014605907015564</v>
      </c>
      <c r="V99">
        <v>0.43466383596863989</v>
      </c>
      <c r="W99">
        <v>4.6758098629890217</v>
      </c>
      <c r="X99">
        <v>8.4774446653113067E-2</v>
      </c>
      <c r="Y99">
        <v>4.5910354163359086</v>
      </c>
      <c r="Z99">
        <v>-0.24410791128480791</v>
      </c>
      <c r="AA99">
        <v>2.4713486642619662</v>
      </c>
      <c r="AB99">
        <v>-0.36105429762281449</v>
      </c>
      <c r="AC99">
        <v>-0.24320733419896781</v>
      </c>
      <c r="AD99">
        <v>-0.94440927965500643</v>
      </c>
      <c r="AE99">
        <v>-2.450722185223297</v>
      </c>
      <c r="AF99">
        <v>-1.4965242183777669</v>
      </c>
      <c r="AG99">
        <v>-1.0578974575297919</v>
      </c>
      <c r="AH99">
        <v>-1.211403014855968</v>
      </c>
      <c r="AI99">
        <v>-1.280045736599456</v>
      </c>
      <c r="AJ99">
        <v>-0.18366939865084941</v>
      </c>
      <c r="AK99">
        <v>-1.636303978406054</v>
      </c>
      <c r="AL99">
        <v>-1.9746505191983581</v>
      </c>
      <c r="AM99">
        <v>-0.60197660356697003</v>
      </c>
      <c r="AN99">
        <v>0.48074425834513701</v>
      </c>
      <c r="AO99">
        <v>-0.1038580278959914</v>
      </c>
      <c r="AP99">
        <v>0.5436638930762685</v>
      </c>
      <c r="AQ99">
        <v>-0.52486557418804092</v>
      </c>
    </row>
    <row r="100" spans="1:43" x14ac:dyDescent="0.3">
      <c r="A100">
        <v>714</v>
      </c>
      <c r="B100">
        <v>2025</v>
      </c>
      <c r="C100" t="s">
        <v>163</v>
      </c>
      <c r="D100">
        <v>8.6666666666666661</v>
      </c>
      <c r="E100">
        <v>8.7033043109753265</v>
      </c>
      <c r="F100">
        <v>-3.6637644308660462E-2</v>
      </c>
      <c r="G100">
        <v>-1.6739139732510651</v>
      </c>
      <c r="H100">
        <v>-1.110193713242335</v>
      </c>
      <c r="I100">
        <v>1.5989947771470501</v>
      </c>
      <c r="J100">
        <v>-0.36981422519039159</v>
      </c>
      <c r="K100">
        <v>0.30213081591089108</v>
      </c>
      <c r="L100">
        <v>-6.3169034242926317E-2</v>
      </c>
      <c r="M100">
        <v>-0.60546158692934215</v>
      </c>
      <c r="N100">
        <v>-0.42102679582499458</v>
      </c>
      <c r="O100">
        <v>-1.3301190088826249</v>
      </c>
      <c r="P100">
        <v>0.19611738630301559</v>
      </c>
      <c r="Q100">
        <v>-0.52486557418804092</v>
      </c>
      <c r="R100">
        <v>-1.6739139732510651</v>
      </c>
      <c r="S100">
        <v>9.2569804564363469</v>
      </c>
      <c r="T100">
        <v>0.15551986573479051</v>
      </c>
      <c r="U100">
        <v>9.1014605907015564</v>
      </c>
      <c r="V100">
        <v>-1.110193713242335</v>
      </c>
      <c r="W100">
        <v>4.6758098629890217</v>
      </c>
      <c r="X100">
        <v>8.4774446653113067E-2</v>
      </c>
      <c r="Y100">
        <v>4.5910354163359086</v>
      </c>
      <c r="Z100">
        <v>1.5989947771470501</v>
      </c>
      <c r="AA100">
        <v>0.36981422519039159</v>
      </c>
      <c r="AB100">
        <v>-0.36105429762281449</v>
      </c>
      <c r="AC100">
        <v>-0.24320733419896781</v>
      </c>
      <c r="AD100">
        <v>-0.79423047417206938</v>
      </c>
      <c r="AE100">
        <v>-9.3527953515795209E-2</v>
      </c>
      <c r="AF100">
        <v>4.5888751008428798E-2</v>
      </c>
      <c r="AG100">
        <v>-1.3926514352322179E-2</v>
      </c>
      <c r="AH100">
        <v>-1.7845441476444578E-2</v>
      </c>
      <c r="AI100">
        <v>0.49462742705064472</v>
      </c>
      <c r="AJ100">
        <v>-0.6818384691365772</v>
      </c>
      <c r="AK100">
        <v>-0.68589351930603548</v>
      </c>
      <c r="AL100">
        <v>-0.44865277234541368</v>
      </c>
      <c r="AM100">
        <v>0.42102679582499458</v>
      </c>
      <c r="AN100">
        <v>-1.3301190088826249</v>
      </c>
      <c r="AO100">
        <v>0.2438690473195356</v>
      </c>
      <c r="AP100">
        <v>0.14836572528649569</v>
      </c>
      <c r="AQ100">
        <v>-0.52486557418804092</v>
      </c>
    </row>
    <row r="101" spans="1:43" x14ac:dyDescent="0.3">
      <c r="A101">
        <v>718</v>
      </c>
      <c r="B101">
        <v>2025</v>
      </c>
      <c r="C101" t="s">
        <v>164</v>
      </c>
      <c r="D101">
        <v>11</v>
      </c>
      <c r="E101">
        <v>11.41778012037634</v>
      </c>
      <c r="F101">
        <v>-0.41778012037633688</v>
      </c>
      <c r="G101">
        <v>0.64589432132476521</v>
      </c>
      <c r="H101">
        <v>-2.0970081679352019</v>
      </c>
      <c r="I101">
        <v>-0.35072538765933331</v>
      </c>
      <c r="J101">
        <v>0.44295181993438598</v>
      </c>
      <c r="K101">
        <v>0.30213081591089108</v>
      </c>
      <c r="L101">
        <v>0.61980552801312638</v>
      </c>
      <c r="M101">
        <v>7.2179595446527758E-2</v>
      </c>
      <c r="N101">
        <v>3.7271614809132943E-2</v>
      </c>
      <c r="O101">
        <v>-0.86574602325914507</v>
      </c>
      <c r="P101">
        <v>0.51864236587908163</v>
      </c>
      <c r="Q101">
        <v>-0.52486557418804092</v>
      </c>
      <c r="R101">
        <v>0.64589432132476521</v>
      </c>
      <c r="S101">
        <v>9.2569804564363469</v>
      </c>
      <c r="T101">
        <v>0.15551986573479051</v>
      </c>
      <c r="U101">
        <v>9.1014605907015564</v>
      </c>
      <c r="V101">
        <v>-2.0970081679352019</v>
      </c>
      <c r="W101">
        <v>4.6758098629890217</v>
      </c>
      <c r="X101">
        <v>8.4774446653113067E-2</v>
      </c>
      <c r="Y101">
        <v>4.5910354163359086</v>
      </c>
      <c r="Z101">
        <v>-0.35072538765933331</v>
      </c>
      <c r="AA101">
        <v>-0.44295181993438598</v>
      </c>
      <c r="AB101">
        <v>-0.36105429762281449</v>
      </c>
      <c r="AC101">
        <v>-0.24320733419896781</v>
      </c>
      <c r="AD101">
        <v>0.54056396907918247</v>
      </c>
      <c r="AE101">
        <v>1.061840449270919</v>
      </c>
      <c r="AF101">
        <v>0.36206305848434278</v>
      </c>
      <c r="AG101">
        <v>0.12490231184811609</v>
      </c>
      <c r="AH101">
        <v>0.51750219261328001</v>
      </c>
      <c r="AI101">
        <v>1.111961186782918</v>
      </c>
      <c r="AJ101">
        <v>-0.14740748180428531</v>
      </c>
      <c r="AK101">
        <v>0.39651839244676312</v>
      </c>
      <c r="AL101">
        <v>-3.2572124302894551E-2</v>
      </c>
      <c r="AM101">
        <v>-3.7271614809132943E-2</v>
      </c>
      <c r="AN101">
        <v>-0.86574602325914507</v>
      </c>
      <c r="AO101">
        <v>0.77385372335494829</v>
      </c>
      <c r="AP101">
        <v>0.26343100840321498</v>
      </c>
      <c r="AQ101">
        <v>-0.52486557418804092</v>
      </c>
    </row>
    <row r="102" spans="1:43" x14ac:dyDescent="0.3">
      <c r="A102">
        <v>722</v>
      </c>
      <c r="B102">
        <v>2025</v>
      </c>
      <c r="C102" t="s">
        <v>166</v>
      </c>
      <c r="D102">
        <v>6.5</v>
      </c>
      <c r="E102">
        <v>7.7550042870541294</v>
      </c>
      <c r="F102">
        <v>-1.2550042870541289</v>
      </c>
      <c r="G102">
        <v>-1.208762660442896</v>
      </c>
      <c r="H102">
        <v>-0.63319673707005242</v>
      </c>
      <c r="I102">
        <v>0.45920942160513167</v>
      </c>
      <c r="J102">
        <v>0.31359609725959747</v>
      </c>
      <c r="K102">
        <v>0.30213081591089108</v>
      </c>
      <c r="L102">
        <v>-0.25235116976390259</v>
      </c>
      <c r="M102">
        <v>-1.2460238269749471</v>
      </c>
      <c r="N102">
        <v>-1.803062103596254</v>
      </c>
      <c r="O102">
        <v>-1.164888500687681</v>
      </c>
      <c r="P102">
        <v>0.2973242729190525</v>
      </c>
      <c r="Q102">
        <v>-0.52486557418804092</v>
      </c>
      <c r="R102">
        <v>-1.208762660442896</v>
      </c>
      <c r="S102">
        <v>9.2569804564363469</v>
      </c>
      <c r="T102">
        <v>0.15551986573479051</v>
      </c>
      <c r="U102">
        <v>9.1014605907015564</v>
      </c>
      <c r="V102">
        <v>-0.63319673707005242</v>
      </c>
      <c r="W102">
        <v>4.6758098629890217</v>
      </c>
      <c r="X102">
        <v>8.4774446653113067E-2</v>
      </c>
      <c r="Y102">
        <v>4.5910354163359086</v>
      </c>
      <c r="Z102">
        <v>0.45920942160513167</v>
      </c>
      <c r="AA102">
        <v>-0.31359609725959747</v>
      </c>
      <c r="AB102">
        <v>-0.36105429762281449</v>
      </c>
      <c r="AC102">
        <v>-0.24320733419896781</v>
      </c>
      <c r="AD102">
        <v>-0.1340851150583563</v>
      </c>
      <c r="AE102">
        <v>-0.31598618640433401</v>
      </c>
      <c r="AF102">
        <v>-8.4394512569338248E-2</v>
      </c>
      <c r="AG102">
        <v>-0.60505526028152989</v>
      </c>
      <c r="AH102">
        <v>-0.34657419752612723</v>
      </c>
      <c r="AI102">
        <v>-2.801174674373046E-2</v>
      </c>
      <c r="AJ102">
        <v>-1.613922598501544</v>
      </c>
      <c r="AK102">
        <v>-0.62542035380948047</v>
      </c>
      <c r="AL102">
        <v>-1.4987285286138159</v>
      </c>
      <c r="AM102">
        <v>1.803062103596254</v>
      </c>
      <c r="AN102">
        <v>-1.164888500687681</v>
      </c>
      <c r="AO102">
        <v>0.27797127192826132</v>
      </c>
      <c r="AP102">
        <v>0.31667727390984368</v>
      </c>
      <c r="AQ102">
        <v>-0.52486557418804092</v>
      </c>
    </row>
    <row r="103" spans="1:43" x14ac:dyDescent="0.3">
      <c r="A103">
        <v>728</v>
      </c>
      <c r="B103">
        <v>2025</v>
      </c>
      <c r="C103" t="s">
        <v>167</v>
      </c>
      <c r="D103">
        <v>9.5</v>
      </c>
      <c r="E103">
        <v>10.193910549157289</v>
      </c>
      <c r="F103">
        <v>-0.69391054915728567</v>
      </c>
      <c r="G103">
        <v>-0.50910840759990983</v>
      </c>
      <c r="H103">
        <v>-1.113205905655875</v>
      </c>
      <c r="I103">
        <v>-0.28964518723019278</v>
      </c>
      <c r="J103">
        <v>0.14432707490403349</v>
      </c>
      <c r="K103">
        <v>0.30213081591089108</v>
      </c>
      <c r="L103">
        <v>0.1063324347900504</v>
      </c>
      <c r="M103">
        <v>-0.35158956999553298</v>
      </c>
      <c r="N103">
        <v>-0.15326005954397379</v>
      </c>
      <c r="O103">
        <v>-1.2383357762039811</v>
      </c>
      <c r="P103">
        <v>0.38127860165092381</v>
      </c>
      <c r="Q103">
        <v>-0.52486557418804092</v>
      </c>
      <c r="R103">
        <v>-0.50910840759990983</v>
      </c>
      <c r="S103">
        <v>9.2569804564363469</v>
      </c>
      <c r="T103">
        <v>0.15551986573479051</v>
      </c>
      <c r="U103">
        <v>9.1014605907015564</v>
      </c>
      <c r="V103">
        <v>-1.113205905655875</v>
      </c>
      <c r="W103">
        <v>4.6758098629890217</v>
      </c>
      <c r="X103">
        <v>8.4774446653113067E-2</v>
      </c>
      <c r="Y103">
        <v>4.5910354163359086</v>
      </c>
      <c r="Z103">
        <v>-0.28964518723019278</v>
      </c>
      <c r="AA103">
        <v>-0.14432707490403349</v>
      </c>
      <c r="AB103">
        <v>-0.36105429762281449</v>
      </c>
      <c r="AC103">
        <v>-0.24320733419896781</v>
      </c>
      <c r="AD103">
        <v>0.21558865270685831</v>
      </c>
      <c r="AE103">
        <v>0.61695166036075855</v>
      </c>
      <c r="AF103">
        <v>-0.2380899613788845</v>
      </c>
      <c r="AG103">
        <v>-0.16967231792525961</v>
      </c>
      <c r="AH103">
        <v>0.22748139581013629</v>
      </c>
      <c r="AI103">
        <v>-1.426482083330672E-2</v>
      </c>
      <c r="AJ103">
        <v>-0.68559747917595881</v>
      </c>
      <c r="AK103">
        <v>0.38645328168198861</v>
      </c>
      <c r="AL103">
        <v>-0.75562451249262885</v>
      </c>
      <c r="AM103">
        <v>0.15326005954397379</v>
      </c>
      <c r="AN103">
        <v>-1.2383357762039811</v>
      </c>
      <c r="AO103">
        <v>0.49890685966449527</v>
      </c>
      <c r="AP103">
        <v>0.26365034363735229</v>
      </c>
      <c r="AQ103">
        <v>-0.52486557418804092</v>
      </c>
    </row>
    <row r="104" spans="1:43" x14ac:dyDescent="0.3">
      <c r="A104">
        <v>738</v>
      </c>
      <c r="B104">
        <v>2025</v>
      </c>
      <c r="C104" t="s">
        <v>168</v>
      </c>
      <c r="D104">
        <v>9</v>
      </c>
      <c r="E104">
        <v>9.6247661239318756</v>
      </c>
      <c r="F104">
        <v>-0.62476612393187558</v>
      </c>
      <c r="G104">
        <v>-1.505197005898941</v>
      </c>
      <c r="H104">
        <v>-0.18200959189442789</v>
      </c>
      <c r="I104">
        <v>1.0631568215595999</v>
      </c>
      <c r="J104">
        <v>0.1700265083026975</v>
      </c>
      <c r="K104">
        <v>0.30213081591089108</v>
      </c>
      <c r="L104">
        <v>-0.68714949723250829</v>
      </c>
      <c r="M104">
        <v>-0.64536344968867787</v>
      </c>
      <c r="N104">
        <v>0.23516562420213069</v>
      </c>
      <c r="O104">
        <v>-0.23025898888439769</v>
      </c>
      <c r="P104">
        <v>5.1223517533291407E-2</v>
      </c>
      <c r="Q104">
        <v>-0.52486557418804092</v>
      </c>
      <c r="R104">
        <v>-1.505197005898941</v>
      </c>
      <c r="S104">
        <v>9.2569804564363469</v>
      </c>
      <c r="T104">
        <v>0.15551986573479051</v>
      </c>
      <c r="U104">
        <v>9.1014605907015564</v>
      </c>
      <c r="V104">
        <v>-0.18200959189442789</v>
      </c>
      <c r="W104">
        <v>4.6758098629890217</v>
      </c>
      <c r="X104">
        <v>8.4774446653113067E-2</v>
      </c>
      <c r="Y104">
        <v>4.5910354163359086</v>
      </c>
      <c r="Z104">
        <v>1.0631568215595999</v>
      </c>
      <c r="AA104">
        <v>-0.1700265083026975</v>
      </c>
      <c r="AB104">
        <v>-0.36105429762281449</v>
      </c>
      <c r="AC104">
        <v>-0.24320733419896781</v>
      </c>
      <c r="AD104">
        <v>-0.85542392911197129</v>
      </c>
      <c r="AE104">
        <v>-0.50977238850838869</v>
      </c>
      <c r="AF104">
        <v>-0.68391031135213809</v>
      </c>
      <c r="AG104">
        <v>-0.9446736114341997</v>
      </c>
      <c r="AH104">
        <v>-0.68586603959165127</v>
      </c>
      <c r="AI104">
        <v>-0.44325070339670092</v>
      </c>
      <c r="AJ104">
        <v>-0.16620253200119131</v>
      </c>
      <c r="AK104">
        <v>-1.029014795295357</v>
      </c>
      <c r="AL104">
        <v>-0.74087302176948566</v>
      </c>
      <c r="AM104">
        <v>-0.23516562420213069</v>
      </c>
      <c r="AN104">
        <v>-0.23025898888439769</v>
      </c>
      <c r="AO104">
        <v>-0.18729013346872289</v>
      </c>
      <c r="AP104">
        <v>0.28973716853530568</v>
      </c>
      <c r="AQ104">
        <v>-0.52486557418804092</v>
      </c>
    </row>
    <row r="105" spans="1:43" x14ac:dyDescent="0.3">
      <c r="A105">
        <v>742</v>
      </c>
      <c r="B105">
        <v>2025</v>
      </c>
      <c r="C105" t="s">
        <v>169</v>
      </c>
      <c r="D105">
        <v>8</v>
      </c>
      <c r="E105">
        <v>5.3453433353282893</v>
      </c>
      <c r="F105">
        <v>2.6546566646717111</v>
      </c>
      <c r="G105">
        <v>-1.619956255689478</v>
      </c>
      <c r="H105">
        <v>-1.266376626999693</v>
      </c>
      <c r="I105">
        <v>0.86227762057713031</v>
      </c>
      <c r="J105">
        <v>0.19727134192800669</v>
      </c>
      <c r="K105">
        <v>0.30213081591089108</v>
      </c>
      <c r="L105">
        <v>-0.98594530266232672</v>
      </c>
      <c r="M105">
        <v>-0.74018200701154191</v>
      </c>
      <c r="N105">
        <v>-0.38352056071611551</v>
      </c>
      <c r="O105">
        <v>-1.370590383660251E-2</v>
      </c>
      <c r="P105">
        <v>-3.269030971673355</v>
      </c>
      <c r="Q105">
        <v>-0.52486557418804092</v>
      </c>
      <c r="R105">
        <v>-1.619956255689478</v>
      </c>
      <c r="S105">
        <v>9.2569804564363469</v>
      </c>
      <c r="T105">
        <v>0.15551986573479051</v>
      </c>
      <c r="U105">
        <v>9.1014605907015564</v>
      </c>
      <c r="V105">
        <v>-1.266376626999693</v>
      </c>
      <c r="W105">
        <v>4.6758098629890217</v>
      </c>
      <c r="X105">
        <v>8.4774446653113067E-2</v>
      </c>
      <c r="Y105">
        <v>4.5910354163359086</v>
      </c>
      <c r="Z105">
        <v>0.86227762057713031</v>
      </c>
      <c r="AA105">
        <v>-0.19727134192800669</v>
      </c>
      <c r="AB105">
        <v>-0.36105429762281449</v>
      </c>
      <c r="AC105">
        <v>-0.24320733419896781</v>
      </c>
      <c r="AD105">
        <v>-1.2120222107954219</v>
      </c>
      <c r="AE105">
        <v>-1.0149967472986861</v>
      </c>
      <c r="AF105">
        <v>-1.2631078608275921</v>
      </c>
      <c r="AG105">
        <v>-0.79753371740835477</v>
      </c>
      <c r="AH105">
        <v>-0.80814947172401363</v>
      </c>
      <c r="AI105">
        <v>-0.81986180791989161</v>
      </c>
      <c r="AJ105">
        <v>-0.71900254839259303</v>
      </c>
      <c r="AK105">
        <v>-0.87391308842833948</v>
      </c>
      <c r="AL105">
        <v>-0.62763038421369333</v>
      </c>
      <c r="AM105">
        <v>0.38352056071611551</v>
      </c>
      <c r="AN105">
        <v>-1.370590383660251E-2</v>
      </c>
      <c r="AO105">
        <v>-3.296795241579713</v>
      </c>
      <c r="AP105">
        <v>-3.2412667017669978</v>
      </c>
      <c r="AQ105">
        <v>-0.52486557418804092</v>
      </c>
    </row>
    <row r="106" spans="1:43" x14ac:dyDescent="0.3">
      <c r="A106">
        <v>744</v>
      </c>
      <c r="B106">
        <v>2025</v>
      </c>
      <c r="C106" t="s">
        <v>170</v>
      </c>
      <c r="D106">
        <v>6.5</v>
      </c>
      <c r="E106">
        <v>8.5296627880589551</v>
      </c>
      <c r="F106">
        <v>-2.0296627880589551</v>
      </c>
      <c r="G106">
        <v>-0.51941346748046124</v>
      </c>
      <c r="H106">
        <v>-0.38676289774896627</v>
      </c>
      <c r="I106">
        <v>-1.002698677872597</v>
      </c>
      <c r="J106">
        <v>-0.45402899803501018</v>
      </c>
      <c r="K106">
        <v>0.30213081591089108</v>
      </c>
      <c r="L106">
        <v>-0.72306557201115351</v>
      </c>
      <c r="M106">
        <v>-0.51609553888172288</v>
      </c>
      <c r="N106">
        <v>-0.62714439454556925</v>
      </c>
      <c r="O106">
        <v>-0.35766673636012042</v>
      </c>
      <c r="P106">
        <v>7.9733486751488614E-2</v>
      </c>
      <c r="Q106">
        <v>-0.52486557418804092</v>
      </c>
      <c r="R106">
        <v>-0.51941346748046124</v>
      </c>
      <c r="S106">
        <v>9.2569804564363469</v>
      </c>
      <c r="T106">
        <v>0.15551986573479051</v>
      </c>
      <c r="U106">
        <v>9.1014605907015564</v>
      </c>
      <c r="V106">
        <v>-0.38676289774896627</v>
      </c>
      <c r="W106">
        <v>4.6758098629890217</v>
      </c>
      <c r="X106">
        <v>8.4774446653113067E-2</v>
      </c>
      <c r="Y106">
        <v>4.5910354163359086</v>
      </c>
      <c r="Z106">
        <v>-1.002698677872597</v>
      </c>
      <c r="AA106">
        <v>0.45402899803501018</v>
      </c>
      <c r="AB106">
        <v>-0.36105429762281449</v>
      </c>
      <c r="AC106">
        <v>-0.24320733419896781</v>
      </c>
      <c r="AD106">
        <v>-0.89767044744987867</v>
      </c>
      <c r="AE106">
        <v>-1.1538275217829559</v>
      </c>
      <c r="AF106">
        <v>-0.62348354661102501</v>
      </c>
      <c r="AG106">
        <v>-0.77672482930960096</v>
      </c>
      <c r="AH106">
        <v>-0.51885630866520016</v>
      </c>
      <c r="AI106">
        <v>-0.36783077824825988</v>
      </c>
      <c r="AJ106">
        <v>-1.019923832078524</v>
      </c>
      <c r="AK106">
        <v>-0.15805271051073011</v>
      </c>
      <c r="AL106">
        <v>-0.37031007405591437</v>
      </c>
      <c r="AM106">
        <v>0.62714439454556925</v>
      </c>
      <c r="AN106">
        <v>-0.35766673636012042</v>
      </c>
      <c r="AO106">
        <v>0.21018387882397449</v>
      </c>
      <c r="AP106">
        <v>-5.0716905320997333E-2</v>
      </c>
      <c r="AQ106">
        <v>-0.52486557418804092</v>
      </c>
    </row>
    <row r="107" spans="1:43" x14ac:dyDescent="0.3">
      <c r="A107">
        <v>746</v>
      </c>
      <c r="B107">
        <v>2025</v>
      </c>
      <c r="C107" t="s">
        <v>171</v>
      </c>
      <c r="D107">
        <v>7.3333333333333339</v>
      </c>
      <c r="E107">
        <v>7.7153034887911094</v>
      </c>
      <c r="F107">
        <v>-0.38197015545777552</v>
      </c>
      <c r="G107">
        <v>-1.475556788101591</v>
      </c>
      <c r="H107">
        <v>-0.33687929987603932</v>
      </c>
      <c r="I107">
        <v>1.102581711472048</v>
      </c>
      <c r="J107">
        <v>3.2066149798066532E-2</v>
      </c>
      <c r="K107">
        <v>0.30213081591089108</v>
      </c>
      <c r="L107">
        <v>-1.0688416137742991</v>
      </c>
      <c r="M107">
        <v>-1.333409328127066</v>
      </c>
      <c r="N107">
        <v>0.15831951582349371</v>
      </c>
      <c r="O107">
        <v>-0.54096165369173177</v>
      </c>
      <c r="P107">
        <v>0.1650335825091771</v>
      </c>
      <c r="Q107">
        <v>-0.52486557418804092</v>
      </c>
      <c r="R107">
        <v>-1.475556788101591</v>
      </c>
      <c r="S107">
        <v>9.2569804564363469</v>
      </c>
      <c r="T107">
        <v>0.15551986573479051</v>
      </c>
      <c r="U107">
        <v>9.1014605907015564</v>
      </c>
      <c r="V107">
        <v>-0.33687929987603932</v>
      </c>
      <c r="W107">
        <v>4.6758098629890217</v>
      </c>
      <c r="X107">
        <v>8.4774446653113067E-2</v>
      </c>
      <c r="Y107">
        <v>4.5910354163359086</v>
      </c>
      <c r="Z107">
        <v>1.102581711472048</v>
      </c>
      <c r="AA107">
        <v>-3.2066149798066532E-2</v>
      </c>
      <c r="AB107">
        <v>-0.36105429762281449</v>
      </c>
      <c r="AC107">
        <v>-0.24320733419896781</v>
      </c>
      <c r="AD107">
        <v>-1.2569017029884679</v>
      </c>
      <c r="AE107">
        <v>-1.2710414598626241</v>
      </c>
      <c r="AF107">
        <v>-0.74954977211010565</v>
      </c>
      <c r="AG107">
        <v>-0.93185204338802075</v>
      </c>
      <c r="AH107">
        <v>-0.92205164109760795</v>
      </c>
      <c r="AI107">
        <v>-1.2816530631989691</v>
      </c>
      <c r="AJ107">
        <v>-0.81741343122359345</v>
      </c>
      <c r="AK107">
        <v>-1.179661453135342</v>
      </c>
      <c r="AL107">
        <v>-2.0031531000222609</v>
      </c>
      <c r="AM107">
        <v>-0.15831951582349371</v>
      </c>
      <c r="AN107">
        <v>-0.54096165369173177</v>
      </c>
      <c r="AO107">
        <v>1.1843969421475279E-2</v>
      </c>
      <c r="AP107">
        <v>0.31822319559687889</v>
      </c>
      <c r="AQ107">
        <v>-0.52486557418804092</v>
      </c>
    </row>
    <row r="108" spans="1:43" x14ac:dyDescent="0.3">
      <c r="A108">
        <v>748</v>
      </c>
      <c r="B108">
        <v>2025</v>
      </c>
      <c r="C108" t="s">
        <v>172</v>
      </c>
      <c r="D108">
        <v>6</v>
      </c>
      <c r="E108">
        <v>5.6441098589379939</v>
      </c>
      <c r="F108">
        <v>0.35589014106200612</v>
      </c>
      <c r="G108">
        <v>-1.623077168651635</v>
      </c>
      <c r="H108">
        <v>-0.79797105296872073</v>
      </c>
      <c r="I108">
        <v>0.39777994197410899</v>
      </c>
      <c r="J108">
        <v>0.20616216298500539</v>
      </c>
      <c r="K108">
        <v>0.30213081591089108</v>
      </c>
      <c r="L108">
        <v>-1.216420447960433</v>
      </c>
      <c r="M108">
        <v>-0.5504098988243683</v>
      </c>
      <c r="N108">
        <v>0.13523234443425011</v>
      </c>
      <c r="O108">
        <v>-0.10767445157902369</v>
      </c>
      <c r="P108">
        <v>-4.0036479616656147</v>
      </c>
      <c r="Q108">
        <v>-0.52486557418804092</v>
      </c>
      <c r="R108">
        <v>-1.623077168651635</v>
      </c>
      <c r="S108">
        <v>9.2569804564363469</v>
      </c>
      <c r="T108">
        <v>0.15551986573479051</v>
      </c>
      <c r="U108">
        <v>9.1014605907015564</v>
      </c>
      <c r="V108">
        <v>-0.79797105296872073</v>
      </c>
      <c r="W108">
        <v>4.6758098629890217</v>
      </c>
      <c r="X108">
        <v>8.4774446653113067E-2</v>
      </c>
      <c r="Y108">
        <v>4.5910354163359086</v>
      </c>
      <c r="Z108">
        <v>0.39777994197410899</v>
      </c>
      <c r="AA108">
        <v>-0.20616216298500539</v>
      </c>
      <c r="AB108">
        <v>-0.36105429762281449</v>
      </c>
      <c r="AC108">
        <v>-0.24320733419896781</v>
      </c>
      <c r="AD108">
        <v>-1.2040327227857579</v>
      </c>
      <c r="AE108">
        <v>-2.3349233773825411</v>
      </c>
      <c r="AF108">
        <v>-1.346638441313349</v>
      </c>
      <c r="AG108">
        <v>-0.93333203320667968</v>
      </c>
      <c r="AH108">
        <v>-1.0787192710713109</v>
      </c>
      <c r="AI108">
        <v>-0.40087684200295609</v>
      </c>
      <c r="AJ108">
        <v>-0.69359164052637601</v>
      </c>
      <c r="AK108">
        <v>-0.67813843396268481</v>
      </c>
      <c r="AL108">
        <v>-0.27949962198404421</v>
      </c>
      <c r="AM108">
        <v>-0.13523234443425011</v>
      </c>
      <c r="AN108">
        <v>-0.10767445157902369</v>
      </c>
      <c r="AO108">
        <v>-4.2262058221369001</v>
      </c>
      <c r="AP108">
        <v>-3.7810901011943301</v>
      </c>
      <c r="AQ108">
        <v>-0.52486557418804092</v>
      </c>
    </row>
    <row r="109" spans="1:43" x14ac:dyDescent="0.3">
      <c r="A109">
        <v>754</v>
      </c>
      <c r="B109">
        <v>2025</v>
      </c>
      <c r="C109" t="s">
        <v>173</v>
      </c>
      <c r="D109">
        <v>2.3333333333333321</v>
      </c>
      <c r="E109">
        <v>4.2729014951330786</v>
      </c>
      <c r="F109">
        <v>-1.9395681617997469</v>
      </c>
      <c r="G109">
        <v>-1.475795907573171</v>
      </c>
      <c r="H109">
        <v>-0.75147754818255053</v>
      </c>
      <c r="I109">
        <v>0.63886991107326152</v>
      </c>
      <c r="J109">
        <v>-1.313195207989446</v>
      </c>
      <c r="K109">
        <v>-2.6576951119746899</v>
      </c>
      <c r="L109">
        <v>-0.64473473338414367</v>
      </c>
      <c r="M109">
        <v>-1.090342054553266</v>
      </c>
      <c r="N109">
        <v>-1.5806362382024111</v>
      </c>
      <c r="O109">
        <v>0.67292267537387829</v>
      </c>
      <c r="P109">
        <v>-9.0152990572111638E-2</v>
      </c>
      <c r="Q109">
        <v>-0.52486557418804092</v>
      </c>
      <c r="R109">
        <v>-1.475795907573171</v>
      </c>
      <c r="S109">
        <v>9.2569804564363469</v>
      </c>
      <c r="T109">
        <v>0.15551986573479051</v>
      </c>
      <c r="U109">
        <v>9.1014605907015564</v>
      </c>
      <c r="V109">
        <v>-0.75147754818255053</v>
      </c>
      <c r="W109">
        <v>4.6758098629890217</v>
      </c>
      <c r="X109">
        <v>8.4774446653113067E-2</v>
      </c>
      <c r="Y109">
        <v>4.5910354163359086</v>
      </c>
      <c r="Z109">
        <v>0.63886991107326152</v>
      </c>
      <c r="AA109">
        <v>1.313195207989446</v>
      </c>
      <c r="AB109">
        <v>2.7696665199223802</v>
      </c>
      <c r="AC109">
        <v>2.545723704027</v>
      </c>
      <c r="AD109">
        <v>-0.59635479626651144</v>
      </c>
      <c r="AE109">
        <v>-0.16223397062541459</v>
      </c>
      <c r="AF109">
        <v>-0.95769348645261099</v>
      </c>
      <c r="AG109">
        <v>-0.81204108635734995</v>
      </c>
      <c r="AH109">
        <v>-0.73087584605204958</v>
      </c>
      <c r="AI109">
        <v>-0.60920921455092558</v>
      </c>
      <c r="AJ109">
        <v>-0.67660091514837262</v>
      </c>
      <c r="AK109">
        <v>-0.54704449129689214</v>
      </c>
      <c r="AL109">
        <v>-2.0473807572145328</v>
      </c>
      <c r="AM109">
        <v>1.5806362382024111</v>
      </c>
      <c r="AN109">
        <v>0.67292267537387829</v>
      </c>
      <c r="AO109">
        <v>-5.2451240960134669E-2</v>
      </c>
      <c r="AP109">
        <v>-0.1278547401840886</v>
      </c>
      <c r="AQ109">
        <v>-0.52486557418804092</v>
      </c>
    </row>
    <row r="110" spans="1:43" x14ac:dyDescent="0.3">
      <c r="A110">
        <v>819</v>
      </c>
      <c r="B110">
        <v>2025</v>
      </c>
      <c r="C110" t="s">
        <v>174</v>
      </c>
      <c r="D110">
        <v>9</v>
      </c>
      <c r="E110">
        <v>9.9773717685173935</v>
      </c>
      <c r="F110">
        <v>-0.97737176851739349</v>
      </c>
      <c r="G110">
        <v>-0.24365836034261371</v>
      </c>
      <c r="H110">
        <v>-1.5519737256583039</v>
      </c>
      <c r="I110">
        <v>-0.3109948784452391</v>
      </c>
      <c r="J110">
        <v>0.45884463954915011</v>
      </c>
      <c r="K110">
        <v>0.30213081591089108</v>
      </c>
      <c r="L110">
        <v>0.28923167901328428</v>
      </c>
      <c r="M110">
        <v>-0.61440659933478059</v>
      </c>
      <c r="N110">
        <v>-0.51582033226314006</v>
      </c>
      <c r="O110">
        <v>-0.85324188321966232</v>
      </c>
      <c r="P110">
        <v>0.43103990886457327</v>
      </c>
      <c r="Q110">
        <v>-0.52486557418804092</v>
      </c>
      <c r="R110">
        <v>-0.24365836034261371</v>
      </c>
      <c r="S110">
        <v>9.2569804564363469</v>
      </c>
      <c r="T110">
        <v>0.15551986573479051</v>
      </c>
      <c r="U110">
        <v>9.1014605907015564</v>
      </c>
      <c r="V110">
        <v>-1.5519737256583039</v>
      </c>
      <c r="W110">
        <v>4.6758098629890217</v>
      </c>
      <c r="X110">
        <v>8.4774446653113067E-2</v>
      </c>
      <c r="Y110">
        <v>4.5910354163359086</v>
      </c>
      <c r="Z110">
        <v>-0.3109948784452391</v>
      </c>
      <c r="AA110">
        <v>-0.45884463954915011</v>
      </c>
      <c r="AB110">
        <v>-0.36105429762281449</v>
      </c>
      <c r="AC110">
        <v>-0.24320733419896781</v>
      </c>
      <c r="AD110">
        <v>0.2102310473903532</v>
      </c>
      <c r="AE110">
        <v>0.79950707120650999</v>
      </c>
      <c r="AF110">
        <v>0.34180170391632048</v>
      </c>
      <c r="AG110">
        <v>-0.25040460629105932</v>
      </c>
      <c r="AH110">
        <v>0.2036818435029879</v>
      </c>
      <c r="AI110">
        <v>0.43057301435459339</v>
      </c>
      <c r="AJ110">
        <v>-1.086307949373996</v>
      </c>
      <c r="AK110">
        <v>-8.2234376143289378E-2</v>
      </c>
      <c r="AL110">
        <v>-0.67467747248705634</v>
      </c>
      <c r="AM110">
        <v>0.51582033226314006</v>
      </c>
      <c r="AN110">
        <v>-0.85324188321966232</v>
      </c>
      <c r="AO110">
        <v>0.62625537785558216</v>
      </c>
      <c r="AP110">
        <v>0.23582443987356441</v>
      </c>
      <c r="AQ110">
        <v>-0.52486557418804092</v>
      </c>
    </row>
    <row r="111" spans="1:43" x14ac:dyDescent="0.3">
      <c r="A111">
        <v>853</v>
      </c>
      <c r="B111">
        <v>2025</v>
      </c>
      <c r="C111" t="s">
        <v>175</v>
      </c>
      <c r="D111">
        <v>7.5</v>
      </c>
      <c r="E111">
        <v>9.0542487088138017</v>
      </c>
      <c r="F111">
        <v>-1.5542487088138019</v>
      </c>
      <c r="G111">
        <v>-0.9916980158247497</v>
      </c>
      <c r="H111">
        <v>-0.6951792453333272</v>
      </c>
      <c r="I111">
        <v>-0.21577263603211849</v>
      </c>
      <c r="J111">
        <v>0.1097177414332272</v>
      </c>
      <c r="K111">
        <v>0.30213081591089108</v>
      </c>
      <c r="L111">
        <v>-0.90492563228021483</v>
      </c>
      <c r="M111">
        <v>-0.59219736202100426</v>
      </c>
      <c r="N111">
        <v>0.21355091982086549</v>
      </c>
      <c r="O111">
        <v>1.787963523093256</v>
      </c>
      <c r="P111">
        <v>-0.53842915765632193</v>
      </c>
      <c r="Q111">
        <v>-0.52486557418804092</v>
      </c>
      <c r="R111">
        <v>-0.9916980158247497</v>
      </c>
      <c r="S111">
        <v>9.2569804564363469</v>
      </c>
      <c r="T111">
        <v>0.15551986573479051</v>
      </c>
      <c r="U111">
        <v>9.1014605907015564</v>
      </c>
      <c r="V111">
        <v>-0.6951792453333272</v>
      </c>
      <c r="W111">
        <v>4.6758098629890217</v>
      </c>
      <c r="X111">
        <v>8.4774446653113067E-2</v>
      </c>
      <c r="Y111">
        <v>4.5910354163359086</v>
      </c>
      <c r="Z111">
        <v>-0.21577263603211849</v>
      </c>
      <c r="AA111">
        <v>-0.1097177414332272</v>
      </c>
      <c r="AB111">
        <v>-0.36105429762281449</v>
      </c>
      <c r="AC111">
        <v>-0.24320733419896781</v>
      </c>
      <c r="AD111">
        <v>-0.5078299160785813</v>
      </c>
      <c r="AE111">
        <v>-0.82779041946875542</v>
      </c>
      <c r="AF111">
        <v>-1.3757457899514489</v>
      </c>
      <c r="AG111">
        <v>-1.019864031674349</v>
      </c>
      <c r="AH111">
        <v>-0.74182376947044781</v>
      </c>
      <c r="AI111">
        <v>-0.95649986703770629</v>
      </c>
      <c r="AJ111">
        <v>-0.16898419943033349</v>
      </c>
      <c r="AK111">
        <v>-0.94643138647946079</v>
      </c>
      <c r="AL111">
        <v>-0.66117650015321838</v>
      </c>
      <c r="AM111">
        <v>-0.21355091982086549</v>
      </c>
      <c r="AN111">
        <v>1.787963523093256</v>
      </c>
      <c r="AO111">
        <v>7.7600295855383791E-2</v>
      </c>
      <c r="AP111">
        <v>-1.1544586111680279</v>
      </c>
      <c r="AQ111">
        <v>-0.52486557418804092</v>
      </c>
    </row>
    <row r="112" spans="1:43" x14ac:dyDescent="0.3">
      <c r="A112">
        <v>911</v>
      </c>
      <c r="B112">
        <v>2025</v>
      </c>
      <c r="C112" t="s">
        <v>176</v>
      </c>
      <c r="D112">
        <v>10</v>
      </c>
      <c r="E112">
        <v>10.3663825066666</v>
      </c>
      <c r="F112">
        <v>-0.36638250666659639</v>
      </c>
      <c r="G112">
        <v>-3.5727829100532911E-2</v>
      </c>
      <c r="H112">
        <v>-0.77902746482625529</v>
      </c>
      <c r="I112">
        <v>0.77735911461953289</v>
      </c>
      <c r="J112">
        <v>0.19454304276244699</v>
      </c>
      <c r="K112">
        <v>0.30213081591089108</v>
      </c>
      <c r="L112">
        <v>-0.35641012629586938</v>
      </c>
      <c r="M112">
        <v>-0.41644228866142852</v>
      </c>
      <c r="N112">
        <v>0.12809226856537459</v>
      </c>
      <c r="O112">
        <v>-0.27536182286342142</v>
      </c>
      <c r="P112">
        <v>1.6398217125299361E-2</v>
      </c>
      <c r="Q112">
        <v>-0.52486557418804092</v>
      </c>
      <c r="R112">
        <v>-3.5727829100532911E-2</v>
      </c>
      <c r="S112">
        <v>9.2569804564363469</v>
      </c>
      <c r="T112">
        <v>0.15551986573479051</v>
      </c>
      <c r="U112">
        <v>9.1014605907015564</v>
      </c>
      <c r="V112">
        <v>-0.77902746482625529</v>
      </c>
      <c r="W112">
        <v>4.6758098629890217</v>
      </c>
      <c r="X112">
        <v>8.4774446653113067E-2</v>
      </c>
      <c r="Y112">
        <v>4.5910354163359086</v>
      </c>
      <c r="Z112">
        <v>0.77735911461953289</v>
      </c>
      <c r="AA112">
        <v>-0.19454304276244699</v>
      </c>
      <c r="AB112">
        <v>-0.36105429762281449</v>
      </c>
      <c r="AC112">
        <v>-0.24320733419896781</v>
      </c>
      <c r="AD112">
        <v>-2.0489697242723589E-2</v>
      </c>
      <c r="AE112">
        <v>-0.91132883056207192</v>
      </c>
      <c r="AF112">
        <v>-0.76535854437864059</v>
      </c>
      <c r="AG112">
        <v>-0.1661029987297907</v>
      </c>
      <c r="AH112">
        <v>-0.27943785738258159</v>
      </c>
      <c r="AI112">
        <v>4.2571705205923767E-3</v>
      </c>
      <c r="AJ112">
        <v>-0.32139952649377712</v>
      </c>
      <c r="AK112">
        <v>-0.35291985498939732</v>
      </c>
      <c r="AL112">
        <v>-0.57500748450111128</v>
      </c>
      <c r="AM112">
        <v>-0.12809226856537459</v>
      </c>
      <c r="AN112">
        <v>-0.27536182286342142</v>
      </c>
      <c r="AO112">
        <v>0.25861792882785811</v>
      </c>
      <c r="AP112">
        <v>-0.22582149457725939</v>
      </c>
      <c r="AQ112">
        <v>-0.52486557418804092</v>
      </c>
    </row>
    <row r="113" spans="1:43" x14ac:dyDescent="0.3">
      <c r="A113">
        <v>912</v>
      </c>
      <c r="B113">
        <v>2025</v>
      </c>
      <c r="C113" t="s">
        <v>177</v>
      </c>
      <c r="D113">
        <v>12.66666666666667</v>
      </c>
      <c r="E113">
        <v>12.16287101280259</v>
      </c>
      <c r="F113">
        <v>0.50379565386408309</v>
      </c>
      <c r="G113">
        <v>-0.1857060880970319</v>
      </c>
      <c r="H113">
        <v>-0.25254819194285633</v>
      </c>
      <c r="I113">
        <v>-0.33601200128004799</v>
      </c>
      <c r="J113">
        <v>-0.20424653177271959</v>
      </c>
      <c r="K113">
        <v>0.30213081591089108</v>
      </c>
      <c r="L113">
        <v>-0.6529411938433779</v>
      </c>
      <c r="M113">
        <v>0.56334313109697687</v>
      </c>
      <c r="N113">
        <v>0.99079124086235171</v>
      </c>
      <c r="O113">
        <v>1.0844731045741041</v>
      </c>
      <c r="P113">
        <v>0.51412465647675809</v>
      </c>
      <c r="Q113">
        <v>-0.52486557418804092</v>
      </c>
      <c r="R113">
        <v>-0.1857060880970319</v>
      </c>
      <c r="S113">
        <v>9.2569804564363469</v>
      </c>
      <c r="T113">
        <v>0.15551986573479051</v>
      </c>
      <c r="U113">
        <v>9.1014605907015564</v>
      </c>
      <c r="V113">
        <v>-0.25254819194285633</v>
      </c>
      <c r="W113">
        <v>4.6758098629890217</v>
      </c>
      <c r="X113">
        <v>8.4774446653113067E-2</v>
      </c>
      <c r="Y113">
        <v>4.5910354163359086</v>
      </c>
      <c r="Z113">
        <v>-0.33601200128004799</v>
      </c>
      <c r="AA113">
        <v>0.20424653177271959</v>
      </c>
      <c r="AB113">
        <v>-0.36105429762281449</v>
      </c>
      <c r="AC113">
        <v>-0.24320733419896781</v>
      </c>
      <c r="AD113">
        <v>-1.792999403690458</v>
      </c>
      <c r="AE113">
        <v>-0.2099115855879379</v>
      </c>
      <c r="AF113">
        <v>-0.16210703701183449</v>
      </c>
      <c r="AG113">
        <v>-0.16968619282980951</v>
      </c>
      <c r="AH113">
        <v>-0.64915880364804146</v>
      </c>
      <c r="AI113">
        <v>-0.93378414029218604</v>
      </c>
      <c r="AJ113">
        <v>0.80011364878907365</v>
      </c>
      <c r="AK113">
        <v>0.43265379011046179</v>
      </c>
      <c r="AL113">
        <v>0.457261954391395</v>
      </c>
      <c r="AM113">
        <v>-0.99079124086235171</v>
      </c>
      <c r="AN113">
        <v>1.0844731045741041</v>
      </c>
      <c r="AO113">
        <v>0.4784731976690082</v>
      </c>
      <c r="AP113">
        <v>0.54977611528450798</v>
      </c>
      <c r="AQ113">
        <v>-0.52486557418804092</v>
      </c>
    </row>
    <row r="114" spans="1:43" x14ac:dyDescent="0.3">
      <c r="A114">
        <v>913</v>
      </c>
      <c r="B114">
        <v>2025</v>
      </c>
      <c r="C114" t="s">
        <v>178</v>
      </c>
      <c r="D114">
        <v>1.3333333333333319</v>
      </c>
      <c r="E114">
        <v>5.8715070345175384</v>
      </c>
      <c r="F114">
        <v>-4.5381737011842054</v>
      </c>
      <c r="G114">
        <v>2.873902552999527E-3</v>
      </c>
      <c r="H114">
        <v>-0.19228701534782999</v>
      </c>
      <c r="I114">
        <v>-0.86084766200820995</v>
      </c>
      <c r="J114">
        <v>-0.50846142824019791</v>
      </c>
      <c r="K114">
        <v>-3.1881896902688212</v>
      </c>
      <c r="L114">
        <v>-1.2627364586747241</v>
      </c>
      <c r="M114">
        <v>0.74122801554264706</v>
      </c>
      <c r="N114">
        <v>0.61867382378951552</v>
      </c>
      <c r="O114">
        <v>4.9034620953025583E-2</v>
      </c>
      <c r="P114">
        <v>-1.875720607557043</v>
      </c>
      <c r="Q114">
        <v>-0.52486557418804092</v>
      </c>
      <c r="R114">
        <v>2.873902552999527E-3</v>
      </c>
      <c r="S114">
        <v>9.2569804564363469</v>
      </c>
      <c r="T114">
        <v>0.15551986573479051</v>
      </c>
      <c r="U114">
        <v>9.1014605907015564</v>
      </c>
      <c r="V114">
        <v>-0.19228701534782999</v>
      </c>
      <c r="W114">
        <v>4.6758098629890217</v>
      </c>
      <c r="X114">
        <v>8.4774446653113067E-2</v>
      </c>
      <c r="Y114">
        <v>4.5910354163359086</v>
      </c>
      <c r="Z114">
        <v>-0.86084766200820995</v>
      </c>
      <c r="AA114">
        <v>0.50846142824019791</v>
      </c>
      <c r="AB114">
        <v>2.7696665199223802</v>
      </c>
      <c r="AC114">
        <v>3.6067128606152621</v>
      </c>
      <c r="AD114">
        <v>-1.9961508497641021</v>
      </c>
      <c r="AE114">
        <v>-0.49497609478588839</v>
      </c>
      <c r="AF114">
        <v>-1.149417379026243</v>
      </c>
      <c r="AG114">
        <v>-1.750456380687154</v>
      </c>
      <c r="AH114">
        <v>-1.4524977186903401</v>
      </c>
      <c r="AI114">
        <v>-0.73292032909461591</v>
      </c>
      <c r="AJ114">
        <v>0.67092900376900577</v>
      </c>
      <c r="AK114">
        <v>1.1043761822972979</v>
      </c>
      <c r="AL114">
        <v>0.448378860561638</v>
      </c>
      <c r="AM114">
        <v>-0.61867382378951552</v>
      </c>
      <c r="AN114">
        <v>4.9034620953025583E-2</v>
      </c>
      <c r="AO114">
        <v>-1.6566969698787319</v>
      </c>
      <c r="AP114">
        <v>-2.0947442452353551</v>
      </c>
      <c r="AQ114">
        <v>-0.52486557418804092</v>
      </c>
    </row>
    <row r="115" spans="1:43" x14ac:dyDescent="0.3">
      <c r="A115">
        <v>914</v>
      </c>
      <c r="B115">
        <v>2025</v>
      </c>
      <c r="C115" t="s">
        <v>179</v>
      </c>
      <c r="D115">
        <v>10.5</v>
      </c>
      <c r="E115">
        <v>11.319079176860379</v>
      </c>
      <c r="F115">
        <v>-0.81907917686038445</v>
      </c>
      <c r="G115">
        <v>0.12713945884498551</v>
      </c>
      <c r="H115">
        <v>-0.74144465835943685</v>
      </c>
      <c r="I115">
        <v>0.1697006231450662</v>
      </c>
      <c r="J115">
        <v>0.25979327455415457</v>
      </c>
      <c r="K115">
        <v>0.30213081591089108</v>
      </c>
      <c r="L115">
        <v>-0.1953405610167869</v>
      </c>
      <c r="M115">
        <v>-1.7037265318581681E-2</v>
      </c>
      <c r="N115">
        <v>0.10925580382180421</v>
      </c>
      <c r="O115">
        <v>-0.31106392281069323</v>
      </c>
      <c r="P115">
        <v>0.63777696648993754</v>
      </c>
      <c r="Q115">
        <v>-0.52486557418804092</v>
      </c>
      <c r="R115">
        <v>0.12713945884498551</v>
      </c>
      <c r="S115">
        <v>9.2569804564363469</v>
      </c>
      <c r="T115">
        <v>0.15551986573479051</v>
      </c>
      <c r="U115">
        <v>9.1014605907015564</v>
      </c>
      <c r="V115">
        <v>-0.74144465835943685</v>
      </c>
      <c r="W115">
        <v>4.6758098629890217</v>
      </c>
      <c r="X115">
        <v>8.4774446653113067E-2</v>
      </c>
      <c r="Y115">
        <v>4.5910354163359086</v>
      </c>
      <c r="Z115">
        <v>0.1697006231450662</v>
      </c>
      <c r="AA115">
        <v>-0.25979327455415457</v>
      </c>
      <c r="AB115">
        <v>-0.36105429762281449</v>
      </c>
      <c r="AC115">
        <v>-0.24320733419896781</v>
      </c>
      <c r="AD115">
        <v>-0.16517995797168511</v>
      </c>
      <c r="AE115">
        <v>-1.6326341604544999E-2</v>
      </c>
      <c r="AF115">
        <v>4.2827660356572943E-3</v>
      </c>
      <c r="AG115">
        <v>-0.168712637027223</v>
      </c>
      <c r="AH115">
        <v>-0.25368393473695777</v>
      </c>
      <c r="AI115">
        <v>-0.57242326079596784</v>
      </c>
      <c r="AJ115">
        <v>-2.6793379674006579E-2</v>
      </c>
      <c r="AK115">
        <v>-6.7631715443575588E-2</v>
      </c>
      <c r="AL115">
        <v>4.3313299161837127E-2</v>
      </c>
      <c r="AM115">
        <v>-0.10925580382180421</v>
      </c>
      <c r="AN115">
        <v>-0.31106392281069323</v>
      </c>
      <c r="AO115">
        <v>0.60330028808453817</v>
      </c>
      <c r="AP115">
        <v>0.67225364489533679</v>
      </c>
      <c r="AQ115">
        <v>-0.52486557418804092</v>
      </c>
    </row>
    <row r="116" spans="1:43" x14ac:dyDescent="0.3">
      <c r="A116">
        <v>915</v>
      </c>
      <c r="B116">
        <v>2025</v>
      </c>
      <c r="C116" t="s">
        <v>180</v>
      </c>
      <c r="D116">
        <v>11</v>
      </c>
      <c r="E116">
        <v>12.04764313126036</v>
      </c>
      <c r="F116">
        <v>-1.047643131260358</v>
      </c>
      <c r="G116">
        <v>5.6654710148292868E-2</v>
      </c>
      <c r="H116">
        <v>-0.62526645034259476</v>
      </c>
      <c r="I116">
        <v>1.220419782207038</v>
      </c>
      <c r="J116">
        <v>3.1207594116596661E-2</v>
      </c>
      <c r="K116">
        <v>0.30213081591089108</v>
      </c>
      <c r="L116">
        <v>-5.5431399237018321E-2</v>
      </c>
      <c r="M116">
        <v>-7.6016007018623002E-2</v>
      </c>
      <c r="N116">
        <v>0.66165319098465336</v>
      </c>
      <c r="O116">
        <v>-0.58351710857274275</v>
      </c>
      <c r="P116">
        <v>6.3457808351355324E-2</v>
      </c>
      <c r="Q116">
        <v>-0.52486557418804092</v>
      </c>
      <c r="R116">
        <v>5.6654710148292868E-2</v>
      </c>
      <c r="S116">
        <v>9.2569804564363469</v>
      </c>
      <c r="T116">
        <v>0.15551986573479051</v>
      </c>
      <c r="U116">
        <v>9.1014605907015564</v>
      </c>
      <c r="V116">
        <v>-0.62526645034259476</v>
      </c>
      <c r="W116">
        <v>4.6758098629890217</v>
      </c>
      <c r="X116">
        <v>8.4774446653113067E-2</v>
      </c>
      <c r="Y116">
        <v>4.5910354163359086</v>
      </c>
      <c r="Z116">
        <v>1.220419782207038</v>
      </c>
      <c r="AA116">
        <v>-3.1207594116596661E-2</v>
      </c>
      <c r="AB116">
        <v>-0.36105429762281449</v>
      </c>
      <c r="AC116">
        <v>-0.24320733419896781</v>
      </c>
      <c r="AD116">
        <v>-0.42828202549123912</v>
      </c>
      <c r="AE116">
        <v>-0.77831380815659512</v>
      </c>
      <c r="AF116">
        <v>0.16805199738989079</v>
      </c>
      <c r="AG116">
        <v>0.42595189707812459</v>
      </c>
      <c r="AH116">
        <v>3.4642283923834463E-2</v>
      </c>
      <c r="AI116">
        <v>0.24536125983387419</v>
      </c>
      <c r="AJ116">
        <v>-0.19484618850127619</v>
      </c>
      <c r="AK116">
        <v>-0.14815260156177151</v>
      </c>
      <c r="AL116">
        <v>0.1149507690071787</v>
      </c>
      <c r="AM116">
        <v>-0.66165319098465336</v>
      </c>
      <c r="AN116">
        <v>-0.58351710857274275</v>
      </c>
      <c r="AO116">
        <v>0.15961387951577879</v>
      </c>
      <c r="AP116">
        <v>-3.2698262813068153E-2</v>
      </c>
      <c r="AQ116">
        <v>-0.52486557418804092</v>
      </c>
    </row>
    <row r="117" spans="1:43" x14ac:dyDescent="0.3">
      <c r="A117">
        <v>916</v>
      </c>
      <c r="B117">
        <v>2025</v>
      </c>
      <c r="C117" t="s">
        <v>181</v>
      </c>
      <c r="D117">
        <v>14</v>
      </c>
      <c r="E117">
        <v>12.715782326146851</v>
      </c>
      <c r="F117">
        <v>1.284217673853151</v>
      </c>
      <c r="G117">
        <v>0.34161412538838298</v>
      </c>
      <c r="H117">
        <v>0.46152085770525297</v>
      </c>
      <c r="I117">
        <v>0.16053204409566019</v>
      </c>
      <c r="J117">
        <v>-1.092336528685117</v>
      </c>
      <c r="K117">
        <v>0.30213081591089108</v>
      </c>
      <c r="L117">
        <v>-0.43787579034347951</v>
      </c>
      <c r="M117">
        <v>-0.1797770104333305</v>
      </c>
      <c r="N117">
        <v>0.92353005923376152</v>
      </c>
      <c r="O117">
        <v>-0.1643504037952109</v>
      </c>
      <c r="P117">
        <v>3.3961729312698342E-2</v>
      </c>
      <c r="Q117">
        <v>-0.52486557418804092</v>
      </c>
      <c r="R117">
        <v>0.34161412538838298</v>
      </c>
      <c r="S117">
        <v>9.2569804564363469</v>
      </c>
      <c r="T117">
        <v>0.15551986573479051</v>
      </c>
      <c r="U117">
        <v>9.1014605907015564</v>
      </c>
      <c r="V117">
        <v>0.46152085770525297</v>
      </c>
      <c r="W117">
        <v>4.6758098629890217</v>
      </c>
      <c r="X117">
        <v>8.4774446653113067E-2</v>
      </c>
      <c r="Y117">
        <v>4.5910354163359086</v>
      </c>
      <c r="Z117">
        <v>0.16053204409566019</v>
      </c>
      <c r="AA117">
        <v>1.092336528685117</v>
      </c>
      <c r="AB117">
        <v>-0.36105429762281449</v>
      </c>
      <c r="AC117">
        <v>-0.24320733419896781</v>
      </c>
      <c r="AD117">
        <v>-1.0417060109914871</v>
      </c>
      <c r="AE117">
        <v>-0.3812073249664289</v>
      </c>
      <c r="AF117">
        <v>-0.1841298527093243</v>
      </c>
      <c r="AG117">
        <v>-0.27124818165118803</v>
      </c>
      <c r="AH117">
        <v>-0.53724010996269578</v>
      </c>
      <c r="AI117">
        <v>-0.21172326177975251</v>
      </c>
      <c r="AJ117">
        <v>5.3085660623089902E-3</v>
      </c>
      <c r="AK117">
        <v>-0.95443397454653567</v>
      </c>
      <c r="AL117">
        <v>0.40979437718423511</v>
      </c>
      <c r="AM117">
        <v>-0.92353005923376152</v>
      </c>
      <c r="AN117">
        <v>-0.1643504037952109</v>
      </c>
      <c r="AO117">
        <v>-0.2406137228710592</v>
      </c>
      <c r="AP117">
        <v>0.30853718149645593</v>
      </c>
      <c r="AQ117">
        <v>-0.52486557418804092</v>
      </c>
    </row>
    <row r="118" spans="1:43" x14ac:dyDescent="0.3">
      <c r="A118">
        <v>917</v>
      </c>
      <c r="B118">
        <v>2025</v>
      </c>
      <c r="C118" t="s">
        <v>182</v>
      </c>
      <c r="D118">
        <v>8</v>
      </c>
      <c r="E118">
        <v>7.5594631779059611</v>
      </c>
      <c r="F118">
        <v>0.44053682209403888</v>
      </c>
      <c r="G118">
        <v>-0.9248953396496965</v>
      </c>
      <c r="H118">
        <v>-0.94785209776846957</v>
      </c>
      <c r="I118">
        <v>0.99919506771493261</v>
      </c>
      <c r="J118">
        <v>-0.60612690676117764</v>
      </c>
      <c r="K118">
        <v>0.30213081591089108</v>
      </c>
      <c r="L118">
        <v>-1.0661262127136859</v>
      </c>
      <c r="M118">
        <v>0.38404462024773428</v>
      </c>
      <c r="N118">
        <v>0.56224777674793491</v>
      </c>
      <c r="O118">
        <v>-1.7679061497065429</v>
      </c>
      <c r="P118">
        <v>4.1448396678715046E-3</v>
      </c>
      <c r="Q118">
        <v>-0.52486557418804092</v>
      </c>
      <c r="R118">
        <v>-0.9248953396496965</v>
      </c>
      <c r="S118">
        <v>9.2569804564363469</v>
      </c>
      <c r="T118">
        <v>0.15551986573479051</v>
      </c>
      <c r="U118">
        <v>9.1014605907015564</v>
      </c>
      <c r="V118">
        <v>-0.94785209776846957</v>
      </c>
      <c r="W118">
        <v>4.6758098629890217</v>
      </c>
      <c r="X118">
        <v>8.4774446653113067E-2</v>
      </c>
      <c r="Y118">
        <v>4.5910354163359086</v>
      </c>
      <c r="Z118">
        <v>0.99919506771493261</v>
      </c>
      <c r="AA118">
        <v>0.60612690676117764</v>
      </c>
      <c r="AB118">
        <v>-0.36105429762281449</v>
      </c>
      <c r="AC118">
        <v>-0.24320733419896781</v>
      </c>
      <c r="AD118">
        <v>-1.0260107370866789</v>
      </c>
      <c r="AE118">
        <v>-0.64807128581102713</v>
      </c>
      <c r="AF118">
        <v>-1.362154774621759</v>
      </c>
      <c r="AG118">
        <v>-0.92313860333066622</v>
      </c>
      <c r="AH118">
        <v>-1.135027343123304</v>
      </c>
      <c r="AI118">
        <v>-1.3023545323086789</v>
      </c>
      <c r="AJ118">
        <v>0.2882868418269271</v>
      </c>
      <c r="AK118">
        <v>0.41656611306840419</v>
      </c>
      <c r="AL118">
        <v>0.44728090584787172</v>
      </c>
      <c r="AM118">
        <v>-0.56224777674793491</v>
      </c>
      <c r="AN118">
        <v>-1.7679061497065429</v>
      </c>
      <c r="AO118">
        <v>0.20238903827322879</v>
      </c>
      <c r="AP118">
        <v>-0.19409935893748581</v>
      </c>
      <c r="AQ118">
        <v>-0.52486557418804092</v>
      </c>
    </row>
    <row r="119" spans="1:43" x14ac:dyDescent="0.3">
      <c r="A119">
        <v>918</v>
      </c>
      <c r="B119">
        <v>2025</v>
      </c>
      <c r="C119" t="s">
        <v>183</v>
      </c>
      <c r="D119">
        <v>15</v>
      </c>
      <c r="E119">
        <v>13.846668237620211</v>
      </c>
      <c r="F119">
        <v>1.153331762379789</v>
      </c>
      <c r="G119">
        <v>0.59089206913665315</v>
      </c>
      <c r="H119">
        <v>1.655632331620371E-2</v>
      </c>
      <c r="I119">
        <v>-0.19603836112577719</v>
      </c>
      <c r="J119">
        <v>7.2017607509129625E-2</v>
      </c>
      <c r="K119">
        <v>0.30213081591089108</v>
      </c>
      <c r="L119">
        <v>-0.12611632693369881</v>
      </c>
      <c r="M119">
        <v>0.35700015129978002</v>
      </c>
      <c r="N119">
        <v>0.82329117310573463</v>
      </c>
      <c r="O119">
        <v>-2.0029093577354419E-2</v>
      </c>
      <c r="P119">
        <v>0.68014772226466391</v>
      </c>
      <c r="Q119">
        <v>-0.52486557418804092</v>
      </c>
      <c r="R119">
        <v>0.59089206913665315</v>
      </c>
      <c r="S119">
        <v>9.2569804564363469</v>
      </c>
      <c r="T119">
        <v>0.15551986573479051</v>
      </c>
      <c r="U119">
        <v>9.1014605907015564</v>
      </c>
      <c r="V119">
        <v>1.655632331620371E-2</v>
      </c>
      <c r="W119">
        <v>4.6758098629890217</v>
      </c>
      <c r="X119">
        <v>8.4774446653113067E-2</v>
      </c>
      <c r="Y119">
        <v>4.5910354163359086</v>
      </c>
      <c r="Z119">
        <v>-0.19603836112577719</v>
      </c>
      <c r="AA119">
        <v>-7.2017607509129625E-2</v>
      </c>
      <c r="AB119">
        <v>-0.36105429762281449</v>
      </c>
      <c r="AC119">
        <v>-0.24320733419896781</v>
      </c>
      <c r="AD119">
        <v>8.1207690354748049E-2</v>
      </c>
      <c r="AE119">
        <v>7.0906944917348393E-3</v>
      </c>
      <c r="AF119">
        <v>-0.30240718839496489</v>
      </c>
      <c r="AG119">
        <v>7.3818703102291891E-3</v>
      </c>
      <c r="AH119">
        <v>-0.16188242762449009</v>
      </c>
      <c r="AI119">
        <v>-0.38808860073944967</v>
      </c>
      <c r="AJ119">
        <v>-0.1118472468317389</v>
      </c>
      <c r="AK119">
        <v>0.50871962720162633</v>
      </c>
      <c r="AL119">
        <v>0.67412807352945259</v>
      </c>
      <c r="AM119">
        <v>-0.82329117310573463</v>
      </c>
      <c r="AN119">
        <v>-2.0029093577354419E-2</v>
      </c>
      <c r="AO119">
        <v>0.80872057623773097</v>
      </c>
      <c r="AP119">
        <v>0.55157486829159674</v>
      </c>
      <c r="AQ119">
        <v>-0.52486557418804092</v>
      </c>
    </row>
    <row r="120" spans="1:43" x14ac:dyDescent="0.3">
      <c r="A120">
        <v>921</v>
      </c>
      <c r="B120">
        <v>2025</v>
      </c>
      <c r="C120" t="s">
        <v>184</v>
      </c>
      <c r="D120">
        <v>8.6666666666666661</v>
      </c>
      <c r="E120">
        <v>8.64338754619002</v>
      </c>
      <c r="F120">
        <v>2.3279120476646039E-2</v>
      </c>
      <c r="G120">
        <v>-0.1003229218270973</v>
      </c>
      <c r="H120">
        <v>-0.96202330187597418</v>
      </c>
      <c r="I120">
        <v>-0.65826572491656432</v>
      </c>
      <c r="J120">
        <v>-0.67591794415710316</v>
      </c>
      <c r="K120">
        <v>-1.339839020331361</v>
      </c>
      <c r="L120">
        <v>-0.24605592577884591</v>
      </c>
      <c r="M120">
        <v>0.18346687243319609</v>
      </c>
      <c r="N120">
        <v>0.56263673029721206</v>
      </c>
      <c r="O120">
        <v>-1.8385603598158851</v>
      </c>
      <c r="P120">
        <v>0.57354772944083376</v>
      </c>
      <c r="Q120">
        <v>-0.52486557418804092</v>
      </c>
      <c r="R120">
        <v>-0.1003229218270973</v>
      </c>
      <c r="S120">
        <v>9.2569804564363469</v>
      </c>
      <c r="T120">
        <v>0.15551986573479051</v>
      </c>
      <c r="U120">
        <v>9.1014605907015564</v>
      </c>
      <c r="V120">
        <v>-0.96202330187597418</v>
      </c>
      <c r="W120">
        <v>4.6758098629890217</v>
      </c>
      <c r="X120">
        <v>8.4774446653113067E-2</v>
      </c>
      <c r="Y120">
        <v>4.5910354163359086</v>
      </c>
      <c r="Z120">
        <v>-0.65826572491656432</v>
      </c>
      <c r="AA120">
        <v>0.67591794415710316</v>
      </c>
      <c r="AB120">
        <v>2.7696665199223802</v>
      </c>
      <c r="AC120">
        <v>-8.9988479259657889E-2</v>
      </c>
      <c r="AD120">
        <v>0.1579523858182407</v>
      </c>
      <c r="AE120">
        <v>-0.45609852016108832</v>
      </c>
      <c r="AF120">
        <v>-5.7966906153393137E-2</v>
      </c>
      <c r="AG120">
        <v>-0.37969443561342231</v>
      </c>
      <c r="AH120">
        <v>-0.29985256530869703</v>
      </c>
      <c r="AI120">
        <v>-0.4406755132547156</v>
      </c>
      <c r="AJ120">
        <v>-0.46003181674615651</v>
      </c>
      <c r="AK120">
        <v>0.61522829931083878</v>
      </c>
      <c r="AL120">
        <v>0.39520413473490612</v>
      </c>
      <c r="AM120">
        <v>-0.56263673029721206</v>
      </c>
      <c r="AN120">
        <v>-1.8385603598158851</v>
      </c>
      <c r="AO120">
        <v>0.71391453869258514</v>
      </c>
      <c r="AP120">
        <v>0.43318092018908227</v>
      </c>
      <c r="AQ120">
        <v>-0.52486557418804092</v>
      </c>
    </row>
    <row r="121" spans="1:43" x14ac:dyDescent="0.3">
      <c r="A121">
        <v>922</v>
      </c>
      <c r="B121">
        <v>2025</v>
      </c>
      <c r="C121" t="s">
        <v>185</v>
      </c>
      <c r="D121">
        <v>1</v>
      </c>
      <c r="E121">
        <v>10.235816408782959</v>
      </c>
      <c r="F121">
        <v>-9.2358164087829557</v>
      </c>
      <c r="G121">
        <v>0.47082692768891549</v>
      </c>
      <c r="H121">
        <v>1.576501792403995</v>
      </c>
      <c r="I121">
        <v>-0.74318423087416152</v>
      </c>
      <c r="J121">
        <v>-0.37519450746093591</v>
      </c>
      <c r="K121">
        <v>-3.1881896902688212</v>
      </c>
      <c r="L121">
        <v>-1.255673173217448</v>
      </c>
      <c r="M121">
        <v>0.3722498853730471</v>
      </c>
      <c r="N121">
        <v>0.97237151206443551</v>
      </c>
      <c r="O121">
        <v>0.62046218298485911</v>
      </c>
      <c r="P121">
        <v>0.66771163797819044</v>
      </c>
      <c r="Q121">
        <v>-0.52486557418804092</v>
      </c>
      <c r="R121">
        <v>0.47082692768891549</v>
      </c>
      <c r="S121">
        <v>9.2569804564363469</v>
      </c>
      <c r="T121">
        <v>0.15551986573479051</v>
      </c>
      <c r="U121">
        <v>9.1014605907015564</v>
      </c>
      <c r="V121">
        <v>1.576501792403995</v>
      </c>
      <c r="W121">
        <v>4.6758098629890217</v>
      </c>
      <c r="X121">
        <v>8.4774446653113067E-2</v>
      </c>
      <c r="Y121">
        <v>4.5910354163359086</v>
      </c>
      <c r="Z121">
        <v>-0.74318423087416152</v>
      </c>
      <c r="AA121">
        <v>0.37519450746093591</v>
      </c>
      <c r="AB121">
        <v>2.7696665199223802</v>
      </c>
      <c r="AC121">
        <v>3.6067128606152621</v>
      </c>
      <c r="AD121">
        <v>-1.703454287052236</v>
      </c>
      <c r="AE121">
        <v>-1.127915957637982</v>
      </c>
      <c r="AF121">
        <v>-0.71702646332299935</v>
      </c>
      <c r="AG121">
        <v>-1.5608500288021641</v>
      </c>
      <c r="AH121">
        <v>-1.372640184744065</v>
      </c>
      <c r="AI121">
        <v>-1.052152117745238</v>
      </c>
      <c r="AJ121">
        <v>0.15619522904307109</v>
      </c>
      <c r="AK121">
        <v>0.4696966977611482</v>
      </c>
      <c r="AL121">
        <v>0.490857729314922</v>
      </c>
      <c r="AM121">
        <v>-0.97237151206443551</v>
      </c>
      <c r="AN121">
        <v>0.62046218298485911</v>
      </c>
      <c r="AO121">
        <v>0.3624781153508187</v>
      </c>
      <c r="AP121">
        <v>0.97294516060556224</v>
      </c>
      <c r="AQ121">
        <v>-0.52486557418804092</v>
      </c>
    </row>
    <row r="122" spans="1:43" x14ac:dyDescent="0.3">
      <c r="A122">
        <v>924</v>
      </c>
      <c r="B122">
        <v>2025</v>
      </c>
      <c r="C122" t="s">
        <v>186</v>
      </c>
      <c r="D122">
        <v>17.666666666666671</v>
      </c>
      <c r="E122">
        <v>15.248317184767039</v>
      </c>
      <c r="F122">
        <v>2.4183494818996318</v>
      </c>
      <c r="G122">
        <v>0.2926765368647738</v>
      </c>
      <c r="H122">
        <v>2.6374908906126109</v>
      </c>
      <c r="I122">
        <v>0.57054216720506579</v>
      </c>
      <c r="J122">
        <v>0.69263889112095789</v>
      </c>
      <c r="K122">
        <v>0.30213081591089108</v>
      </c>
      <c r="L122">
        <v>-0.45403336834557823</v>
      </c>
      <c r="M122">
        <v>-0.47110388422156291</v>
      </c>
      <c r="N122">
        <v>-1.0616332914846529</v>
      </c>
      <c r="O122">
        <v>0.49490354825540961</v>
      </c>
      <c r="P122">
        <v>0.56567525469630309</v>
      </c>
      <c r="Q122">
        <v>-0.52486557418804092</v>
      </c>
      <c r="R122">
        <v>0.2926765368647738</v>
      </c>
      <c r="S122">
        <v>9.2569804564363469</v>
      </c>
      <c r="T122">
        <v>0.15551986573479051</v>
      </c>
      <c r="U122">
        <v>9.1014605907015564</v>
      </c>
      <c r="V122">
        <v>2.6374908906126109</v>
      </c>
      <c r="W122">
        <v>4.6758098629890217</v>
      </c>
      <c r="X122">
        <v>8.4774446653113067E-2</v>
      </c>
      <c r="Y122">
        <v>4.5910354163359086</v>
      </c>
      <c r="Z122">
        <v>0.57054216720506579</v>
      </c>
      <c r="AA122">
        <v>-0.69263889112095789</v>
      </c>
      <c r="AB122">
        <v>-0.36105429762281449</v>
      </c>
      <c r="AC122">
        <v>-0.24320733419896781</v>
      </c>
      <c r="AD122">
        <v>-1.955532345098745</v>
      </c>
      <c r="AE122">
        <v>-0.2254707981637292</v>
      </c>
      <c r="AF122">
        <v>0.66817610025822083</v>
      </c>
      <c r="AG122">
        <v>-0.40808364656461998</v>
      </c>
      <c r="AH122">
        <v>-0.75043356312373133</v>
      </c>
      <c r="AI122">
        <v>-5.2855957380863967E-2</v>
      </c>
      <c r="AJ122">
        <v>-1.339464745492857</v>
      </c>
      <c r="AK122">
        <v>-0.3568798985689805</v>
      </c>
      <c r="AL122">
        <v>0.28303299139714821</v>
      </c>
      <c r="AM122">
        <v>1.0616332914846529</v>
      </c>
      <c r="AN122">
        <v>0.49490354825540961</v>
      </c>
      <c r="AO122">
        <v>0.36712692388823148</v>
      </c>
      <c r="AP122">
        <v>0.76422358550437453</v>
      </c>
      <c r="AQ122">
        <v>-0.52486557418804092</v>
      </c>
    </row>
    <row r="123" spans="1:43" x14ac:dyDescent="0.3">
      <c r="A123">
        <v>926</v>
      </c>
      <c r="B123">
        <v>2025</v>
      </c>
      <c r="C123" t="s">
        <v>187</v>
      </c>
      <c r="D123">
        <v>1.6666666666666681</v>
      </c>
      <c r="E123">
        <v>5.8593883299417904</v>
      </c>
      <c r="F123">
        <v>-4.1927216632751234</v>
      </c>
      <c r="G123">
        <v>-0.29484363013605919</v>
      </c>
      <c r="H123">
        <v>0.27455344719488478</v>
      </c>
      <c r="I123">
        <v>-1.438337162420106</v>
      </c>
      <c r="J123">
        <v>-0.82257833356729493</v>
      </c>
      <c r="K123">
        <v>-3.1881896902688212</v>
      </c>
      <c r="L123">
        <v>-0.71189105767305083</v>
      </c>
      <c r="M123">
        <v>-0.46214952420655181</v>
      </c>
      <c r="N123">
        <v>-1.405634923424018</v>
      </c>
      <c r="O123">
        <v>-0.44064405449182747</v>
      </c>
      <c r="P123">
        <v>0.2763181639275058</v>
      </c>
      <c r="Q123">
        <v>-0.52486557418804092</v>
      </c>
      <c r="R123">
        <v>-0.29484363013605919</v>
      </c>
      <c r="S123">
        <v>9.2569804564363469</v>
      </c>
      <c r="T123">
        <v>0.15551986573479051</v>
      </c>
      <c r="U123">
        <v>9.1014605907015564</v>
      </c>
      <c r="V123">
        <v>0.27455344719488478</v>
      </c>
      <c r="W123">
        <v>4.6758098629890217</v>
      </c>
      <c r="X123">
        <v>8.4774446653113067E-2</v>
      </c>
      <c r="Y123">
        <v>4.5910354163359086</v>
      </c>
      <c r="Z123">
        <v>-1.438337162420106</v>
      </c>
      <c r="AA123">
        <v>0.82257833356729493</v>
      </c>
      <c r="AB123">
        <v>2.7696665199223802</v>
      </c>
      <c r="AC123">
        <v>3.6067128606152621</v>
      </c>
      <c r="AD123">
        <v>-0.27275979979752302</v>
      </c>
      <c r="AE123">
        <v>-0.56117795711049445</v>
      </c>
      <c r="AF123">
        <v>-1.0325521707706209</v>
      </c>
      <c r="AG123">
        <v>-0.67351288308882684</v>
      </c>
      <c r="AH123">
        <v>-0.9022977324089364</v>
      </c>
      <c r="AI123">
        <v>-0.82904580286190277</v>
      </c>
      <c r="AJ123">
        <v>-1.9680213442112551</v>
      </c>
      <c r="AK123">
        <v>1.0024875610309329</v>
      </c>
      <c r="AL123">
        <v>-0.42091478943933341</v>
      </c>
      <c r="AM123">
        <v>1.405634923424018</v>
      </c>
      <c r="AN123">
        <v>-0.44064405449182747</v>
      </c>
      <c r="AO123">
        <v>0.34527343788825599</v>
      </c>
      <c r="AP123">
        <v>0.20736288996675559</v>
      </c>
      <c r="AQ123">
        <v>-0.52486557418804092</v>
      </c>
    </row>
    <row r="124" spans="1:43" x14ac:dyDescent="0.3">
      <c r="A124">
        <v>927</v>
      </c>
      <c r="B124">
        <v>2025</v>
      </c>
      <c r="C124" t="s">
        <v>188</v>
      </c>
      <c r="D124">
        <v>10.33333333333333</v>
      </c>
      <c r="E124">
        <v>10.68780774659948</v>
      </c>
      <c r="F124">
        <v>-0.3544744132661517</v>
      </c>
      <c r="G124">
        <v>-0.72092535648164924</v>
      </c>
      <c r="H124">
        <v>5.4158029281238342E-2</v>
      </c>
      <c r="I124">
        <v>1.1472021295124919</v>
      </c>
      <c r="J124">
        <v>-0.67536465271793367</v>
      </c>
      <c r="K124">
        <v>0.30213081591089108</v>
      </c>
      <c r="L124">
        <v>-0.75915488088552474</v>
      </c>
      <c r="M124">
        <v>2.4403875804961731E-2</v>
      </c>
      <c r="N124">
        <v>0.74977895229233116</v>
      </c>
      <c r="O124">
        <v>-0.42298050196449211</v>
      </c>
      <c r="P124">
        <v>-2.457068315790549E-2</v>
      </c>
      <c r="Q124">
        <v>-0.52486557418804092</v>
      </c>
      <c r="R124">
        <v>-0.72092535648164924</v>
      </c>
      <c r="S124">
        <v>9.2569804564363469</v>
      </c>
      <c r="T124">
        <v>0.15551986573479051</v>
      </c>
      <c r="U124">
        <v>9.1014605907015564</v>
      </c>
      <c r="V124">
        <v>5.4158029281238342E-2</v>
      </c>
      <c r="W124">
        <v>4.6758098629890217</v>
      </c>
      <c r="X124">
        <v>8.4774446653113067E-2</v>
      </c>
      <c r="Y124">
        <v>4.5910354163359086</v>
      </c>
      <c r="Z124">
        <v>1.1472021295124919</v>
      </c>
      <c r="AA124">
        <v>0.67536465271793367</v>
      </c>
      <c r="AB124">
        <v>-0.36105429762281449</v>
      </c>
      <c r="AC124">
        <v>-0.24320733419896781</v>
      </c>
      <c r="AD124">
        <v>-1.2866555078297019</v>
      </c>
      <c r="AE124">
        <v>-7.3125289229442447E-2</v>
      </c>
      <c r="AF124">
        <v>-0.51452443133185055</v>
      </c>
      <c r="AG124">
        <v>-0.9346987113048475</v>
      </c>
      <c r="AH124">
        <v>-0.83331589749458546</v>
      </c>
      <c r="AI124">
        <v>-0.91260944812272093</v>
      </c>
      <c r="AJ124">
        <v>-9.2951956367116284E-2</v>
      </c>
      <c r="AK124">
        <v>-0.32041449727365001</v>
      </c>
      <c r="AL124">
        <v>0.48657808105565142</v>
      </c>
      <c r="AM124">
        <v>-0.74977895229233116</v>
      </c>
      <c r="AN124">
        <v>-0.42298050196449211</v>
      </c>
      <c r="AO124">
        <v>-0.1010798777166018</v>
      </c>
      <c r="AP124">
        <v>5.1938511400790852E-2</v>
      </c>
      <c r="AQ124">
        <v>-0.52486557418804092</v>
      </c>
    </row>
    <row r="125" spans="1:43" x14ac:dyDescent="0.3">
      <c r="A125">
        <v>935</v>
      </c>
      <c r="B125">
        <v>2025</v>
      </c>
      <c r="C125" t="s">
        <v>189</v>
      </c>
      <c r="D125">
        <v>19</v>
      </c>
      <c r="E125">
        <v>18.014490641192769</v>
      </c>
      <c r="F125">
        <v>0.9855093588072279</v>
      </c>
      <c r="G125">
        <v>1.0044280283270479</v>
      </c>
      <c r="H125">
        <v>0.58943874630300286</v>
      </c>
      <c r="I125">
        <v>-0.82819005663222922</v>
      </c>
      <c r="J125">
        <v>2.3385197907649379E-2</v>
      </c>
      <c r="K125">
        <v>0.30213081591089108</v>
      </c>
      <c r="L125">
        <v>1.06573356720766</v>
      </c>
      <c r="M125">
        <v>0.45991286453009578</v>
      </c>
      <c r="N125">
        <v>0.39035809036376001</v>
      </c>
      <c r="O125">
        <v>0.17588634151902971</v>
      </c>
      <c r="P125">
        <v>0.76645746823756333</v>
      </c>
      <c r="Q125">
        <v>-0.52486557418804092</v>
      </c>
      <c r="R125">
        <v>1.0044280283270479</v>
      </c>
      <c r="S125">
        <v>9.2569804564363469</v>
      </c>
      <c r="T125">
        <v>0.15551986573479051</v>
      </c>
      <c r="U125">
        <v>9.1014605907015564</v>
      </c>
      <c r="V125">
        <v>0.58943874630300286</v>
      </c>
      <c r="W125">
        <v>4.6758098629890217</v>
      </c>
      <c r="X125">
        <v>8.4774446653113067E-2</v>
      </c>
      <c r="Y125">
        <v>4.5910354163359086</v>
      </c>
      <c r="Z125">
        <v>-0.82819005663222922</v>
      </c>
      <c r="AA125">
        <v>-2.3385197907649379E-2</v>
      </c>
      <c r="AB125">
        <v>-0.36105429762281449</v>
      </c>
      <c r="AC125">
        <v>-0.24320733419896781</v>
      </c>
      <c r="AD125">
        <v>1.2174455706255951</v>
      </c>
      <c r="AE125">
        <v>1.128574188777157</v>
      </c>
      <c r="AF125">
        <v>0.98854355002230521</v>
      </c>
      <c r="AG125">
        <v>1.0987286750734271</v>
      </c>
      <c r="AH125">
        <v>1.1548360502842621</v>
      </c>
      <c r="AI125">
        <v>0.80627336846321285</v>
      </c>
      <c r="AJ125">
        <v>-0.20639887935564111</v>
      </c>
      <c r="AK125">
        <v>0.97493225778966508</v>
      </c>
      <c r="AL125">
        <v>0.61120521515626325</v>
      </c>
      <c r="AM125">
        <v>-0.39035809036376001</v>
      </c>
      <c r="AN125">
        <v>0.17588634151902971</v>
      </c>
      <c r="AO125">
        <v>0.93819195334816397</v>
      </c>
      <c r="AP125">
        <v>0.5947229831269627</v>
      </c>
      <c r="AQ125">
        <v>-0.52486557418804092</v>
      </c>
    </row>
    <row r="126" spans="1:43" x14ac:dyDescent="0.3">
      <c r="A126">
        <v>936</v>
      </c>
      <c r="B126">
        <v>2025</v>
      </c>
      <c r="C126" t="s">
        <v>190</v>
      </c>
      <c r="D126">
        <v>16.666666666666671</v>
      </c>
      <c r="E126">
        <v>15.55796335099383</v>
      </c>
      <c r="F126">
        <v>1.108703315672845</v>
      </c>
      <c r="G126">
        <v>0.84516085089395321</v>
      </c>
      <c r="H126">
        <v>0.1153704908269305</v>
      </c>
      <c r="I126">
        <v>-0.63669773420034181</v>
      </c>
      <c r="J126">
        <v>3.7465511083754732E-2</v>
      </c>
      <c r="K126">
        <v>0.30213081591089108</v>
      </c>
      <c r="L126">
        <v>0.42893900591012862</v>
      </c>
      <c r="M126">
        <v>0.35127997177484621</v>
      </c>
      <c r="N126">
        <v>-4.2380515603575968E-2</v>
      </c>
      <c r="O126">
        <v>-0.18760008713646209</v>
      </c>
      <c r="P126">
        <v>-0.45101817867504213</v>
      </c>
      <c r="Q126">
        <v>1.9052497423687671</v>
      </c>
      <c r="R126">
        <v>0.84516085089395321</v>
      </c>
      <c r="S126">
        <v>9.2569804564363469</v>
      </c>
      <c r="T126">
        <v>0.15551986573479051</v>
      </c>
      <c r="U126">
        <v>9.1014605907015564</v>
      </c>
      <c r="V126">
        <v>0.1153704908269305</v>
      </c>
      <c r="W126">
        <v>4.6758098629890217</v>
      </c>
      <c r="X126">
        <v>8.4774446653113067E-2</v>
      </c>
      <c r="Y126">
        <v>4.5910354163359086</v>
      </c>
      <c r="Z126">
        <v>-0.63669773420034181</v>
      </c>
      <c r="AA126">
        <v>-3.7465511083754732E-2</v>
      </c>
      <c r="AB126">
        <v>-0.36105429762281449</v>
      </c>
      <c r="AC126">
        <v>-0.24320733419896781</v>
      </c>
      <c r="AD126">
        <v>0.86335041452179007</v>
      </c>
      <c r="AE126">
        <v>0.72241015005273035</v>
      </c>
      <c r="AF126">
        <v>0.39712501054008098</v>
      </c>
      <c r="AG126">
        <v>0.1422817860389462</v>
      </c>
      <c r="AH126">
        <v>0.47874356849861749</v>
      </c>
      <c r="AI126">
        <v>-3.027689419139358E-2</v>
      </c>
      <c r="AJ126">
        <v>-0.6037513005851648</v>
      </c>
      <c r="AK126">
        <v>1.150906694357402</v>
      </c>
      <c r="AL126">
        <v>0.50668452155230093</v>
      </c>
      <c r="AM126">
        <v>4.2380515603575968E-2</v>
      </c>
      <c r="AN126">
        <v>-0.18760008713646209</v>
      </c>
      <c r="AO126">
        <v>-0.14565266519505521</v>
      </c>
      <c r="AP126">
        <v>-0.7563836921550291</v>
      </c>
      <c r="AQ126">
        <v>1.9052497423687671</v>
      </c>
    </row>
    <row r="127" spans="1:43" x14ac:dyDescent="0.3">
      <c r="A127">
        <v>939</v>
      </c>
      <c r="B127">
        <v>2025</v>
      </c>
      <c r="C127" t="s">
        <v>191</v>
      </c>
      <c r="D127">
        <v>18</v>
      </c>
      <c r="E127">
        <v>17.92323850894098</v>
      </c>
      <c r="F127">
        <v>7.6761491059020415E-2</v>
      </c>
      <c r="G127">
        <v>0.979777591283432</v>
      </c>
      <c r="H127">
        <v>-0.50869551330837648</v>
      </c>
      <c r="I127">
        <v>-1.02426666858882</v>
      </c>
      <c r="J127">
        <v>-0.1383857714964114</v>
      </c>
      <c r="K127">
        <v>0.30213081591089108</v>
      </c>
      <c r="L127">
        <v>1.27390741601152</v>
      </c>
      <c r="M127">
        <v>0.59522807080655415</v>
      </c>
      <c r="N127">
        <v>0.93450410580265597</v>
      </c>
      <c r="O127">
        <v>-6.5558645882441091E-2</v>
      </c>
      <c r="P127">
        <v>-0.59150126341309928</v>
      </c>
      <c r="Q127">
        <v>1.9052497423687671</v>
      </c>
      <c r="R127">
        <v>0.979777591283432</v>
      </c>
      <c r="S127">
        <v>9.2569804564363469</v>
      </c>
      <c r="T127">
        <v>0.15551986573479051</v>
      </c>
      <c r="U127">
        <v>9.1014605907015564</v>
      </c>
      <c r="V127">
        <v>-0.50869551330837648</v>
      </c>
      <c r="W127">
        <v>4.6758098629890217</v>
      </c>
      <c r="X127">
        <v>8.4774446653113067E-2</v>
      </c>
      <c r="Y127">
        <v>4.5910354163359086</v>
      </c>
      <c r="Z127">
        <v>-1.02426666858882</v>
      </c>
      <c r="AA127">
        <v>0.1383857714964114</v>
      </c>
      <c r="AB127">
        <v>-0.36105429762281449</v>
      </c>
      <c r="AC127">
        <v>-0.24320733419896781</v>
      </c>
      <c r="AD127">
        <v>1.3918165283432029</v>
      </c>
      <c r="AE127">
        <v>0.80087406776382619</v>
      </c>
      <c r="AF127">
        <v>1.1247074538565891</v>
      </c>
      <c r="AG127">
        <v>1.29042898130341</v>
      </c>
      <c r="AH127">
        <v>1.4764145920729921</v>
      </c>
      <c r="AI127">
        <v>1.5592028727291001</v>
      </c>
      <c r="AJ127">
        <v>-9.0420889607265922E-2</v>
      </c>
      <c r="AK127">
        <v>1.1438941171852239</v>
      </c>
      <c r="AL127">
        <v>0.73221098484170444</v>
      </c>
      <c r="AM127">
        <v>-0.93450410580265597</v>
      </c>
      <c r="AN127">
        <v>-6.5558645882441091E-2</v>
      </c>
      <c r="AO127">
        <v>-0.38061416866617359</v>
      </c>
      <c r="AP127">
        <v>-0.80238835816002485</v>
      </c>
      <c r="AQ127">
        <v>1.9052497423687671</v>
      </c>
    </row>
    <row r="128" spans="1:43" x14ac:dyDescent="0.3">
      <c r="A128">
        <v>941</v>
      </c>
      <c r="B128">
        <v>2025</v>
      </c>
      <c r="C128" t="s">
        <v>192</v>
      </c>
      <c r="D128">
        <v>16.333333333333329</v>
      </c>
      <c r="E128">
        <v>16.069848335802298</v>
      </c>
      <c r="F128">
        <v>0.26348499753103027</v>
      </c>
      <c r="G128">
        <v>0.76368542010506424</v>
      </c>
      <c r="H128">
        <v>-0.49637479764817088</v>
      </c>
      <c r="I128">
        <v>-0.6158283018878834</v>
      </c>
      <c r="J128">
        <v>2.2011508817297621E-2</v>
      </c>
      <c r="K128">
        <v>0.30213081591089108</v>
      </c>
      <c r="L128">
        <v>0.82895661623325612</v>
      </c>
      <c r="M128">
        <v>0.38228297359024921</v>
      </c>
      <c r="N128">
        <v>0.30326027772202929</v>
      </c>
      <c r="O128">
        <v>-0.1118381879727294</v>
      </c>
      <c r="P128">
        <v>-0.33539495452662832</v>
      </c>
      <c r="Q128">
        <v>1.9052497423687671</v>
      </c>
      <c r="R128">
        <v>0.76368542010506424</v>
      </c>
      <c r="S128">
        <v>9.2569804564363469</v>
      </c>
      <c r="T128">
        <v>0.15551986573479051</v>
      </c>
      <c r="U128">
        <v>9.1014605907015564</v>
      </c>
      <c r="V128">
        <v>-0.49637479764817088</v>
      </c>
      <c r="W128">
        <v>4.6758098629890217</v>
      </c>
      <c r="X128">
        <v>8.4774446653113067E-2</v>
      </c>
      <c r="Y128">
        <v>4.5910354163359086</v>
      </c>
      <c r="Z128">
        <v>-0.6158283018878834</v>
      </c>
      <c r="AA128">
        <v>-2.2011508817297621E-2</v>
      </c>
      <c r="AB128">
        <v>-0.36105429762281449</v>
      </c>
      <c r="AC128">
        <v>-0.24320733419896781</v>
      </c>
      <c r="AD128">
        <v>1.079145154445198</v>
      </c>
      <c r="AE128">
        <v>0.70528538948304087</v>
      </c>
      <c r="AF128">
        <v>0.49452880426257412</v>
      </c>
      <c r="AG128">
        <v>0.94599950699805324</v>
      </c>
      <c r="AH128">
        <v>1.0505451141913329</v>
      </c>
      <c r="AI128">
        <v>0.69823572801933664</v>
      </c>
      <c r="AJ128">
        <v>-0.30854371215909338</v>
      </c>
      <c r="AK128">
        <v>0.94300440642927386</v>
      </c>
      <c r="AL128">
        <v>0.51238822650056703</v>
      </c>
      <c r="AM128">
        <v>-0.30326027772202929</v>
      </c>
      <c r="AN128">
        <v>-0.1118381879727294</v>
      </c>
      <c r="AO128">
        <v>-0.1357729288071205</v>
      </c>
      <c r="AP128">
        <v>-0.53501698024613598</v>
      </c>
      <c r="AQ128">
        <v>1.9052497423687671</v>
      </c>
    </row>
    <row r="129" spans="1:43" x14ac:dyDescent="0.3">
      <c r="A129">
        <v>942</v>
      </c>
      <c r="B129">
        <v>2025</v>
      </c>
      <c r="C129" t="s">
        <v>193</v>
      </c>
      <c r="D129">
        <v>12</v>
      </c>
      <c r="E129">
        <v>12.14113772485592</v>
      </c>
      <c r="F129">
        <v>-0.141137724855918</v>
      </c>
      <c r="G129">
        <v>0.37200785292227861</v>
      </c>
      <c r="H129">
        <v>-0.1117295135109911</v>
      </c>
      <c r="I129">
        <v>0.16096864309801279</v>
      </c>
      <c r="J129">
        <v>-0.13254759286241649</v>
      </c>
      <c r="K129">
        <v>0.30213081591089108</v>
      </c>
      <c r="L129">
        <v>-0.4051545908232963</v>
      </c>
      <c r="M129">
        <v>0.38013779184171109</v>
      </c>
      <c r="N129">
        <v>0.39305298281232393</v>
      </c>
      <c r="O129">
        <v>-0.40271784690568191</v>
      </c>
      <c r="P129">
        <v>0.55948476869058095</v>
      </c>
      <c r="Q129">
        <v>-0.52486557418804092</v>
      </c>
      <c r="R129">
        <v>0.37200785292227861</v>
      </c>
      <c r="S129">
        <v>9.2569804564363469</v>
      </c>
      <c r="T129">
        <v>0.15551986573479051</v>
      </c>
      <c r="U129">
        <v>9.1014605907015564</v>
      </c>
      <c r="V129">
        <v>-0.1117295135109911</v>
      </c>
      <c r="W129">
        <v>4.6758098629890217</v>
      </c>
      <c r="X129">
        <v>8.4774446653113067E-2</v>
      </c>
      <c r="Y129">
        <v>4.5910354163359086</v>
      </c>
      <c r="Z129">
        <v>0.16096864309801279</v>
      </c>
      <c r="AA129">
        <v>0.13254759286241649</v>
      </c>
      <c r="AB129">
        <v>-0.36105429762281449</v>
      </c>
      <c r="AC129">
        <v>-0.24320733419896781</v>
      </c>
      <c r="AD129">
        <v>-0.65995753685587233</v>
      </c>
      <c r="AE129">
        <v>-0.24388554140018201</v>
      </c>
      <c r="AF129">
        <v>-0.23512460756532361</v>
      </c>
      <c r="AG129">
        <v>-0.23506358682702261</v>
      </c>
      <c r="AH129">
        <v>-0.34161982020917581</v>
      </c>
      <c r="AI129">
        <v>-0.71527645208220159</v>
      </c>
      <c r="AJ129">
        <v>-2.5139415256678802E-2</v>
      </c>
      <c r="AK129">
        <v>0.92039915766248515</v>
      </c>
      <c r="AL129">
        <v>0.24515363311932689</v>
      </c>
      <c r="AM129">
        <v>-0.39305298281232393</v>
      </c>
      <c r="AN129">
        <v>-0.40271784690568191</v>
      </c>
      <c r="AO129">
        <v>0.65791724650351713</v>
      </c>
      <c r="AP129">
        <v>0.46105229087764482</v>
      </c>
      <c r="AQ129">
        <v>-0.52486557418804092</v>
      </c>
    </row>
    <row r="130" spans="1:43" x14ac:dyDescent="0.3">
      <c r="A130">
        <v>943</v>
      </c>
      <c r="B130">
        <v>2025</v>
      </c>
      <c r="C130" t="s">
        <v>194</v>
      </c>
      <c r="D130">
        <v>9.5</v>
      </c>
      <c r="E130">
        <v>10.27912439278054</v>
      </c>
      <c r="F130">
        <v>-0.77912439278054002</v>
      </c>
      <c r="G130">
        <v>0.35511105323997683</v>
      </c>
      <c r="H130">
        <v>-1.3487042152690041</v>
      </c>
      <c r="I130">
        <v>-5.6414000173388781E-2</v>
      </c>
      <c r="J130">
        <v>0.11261775173508071</v>
      </c>
      <c r="K130">
        <v>0.30213081591089108</v>
      </c>
      <c r="L130">
        <v>6.4412432872126654E-2</v>
      </c>
      <c r="M130">
        <v>0.26084522613703282</v>
      </c>
      <c r="N130">
        <v>-7.6219474390698053E-2</v>
      </c>
      <c r="O130">
        <v>-1.8940466730624419</v>
      </c>
      <c r="P130">
        <v>0.32974029552362172</v>
      </c>
      <c r="Q130">
        <v>-0.52486557418804092</v>
      </c>
      <c r="R130">
        <v>0.35511105323997683</v>
      </c>
      <c r="S130">
        <v>9.2569804564363469</v>
      </c>
      <c r="T130">
        <v>0.15551986573479051</v>
      </c>
      <c r="U130">
        <v>9.1014605907015564</v>
      </c>
      <c r="V130">
        <v>-1.3487042152690041</v>
      </c>
      <c r="W130">
        <v>4.6758098629890217</v>
      </c>
      <c r="X130">
        <v>8.4774446653113067E-2</v>
      </c>
      <c r="Y130">
        <v>4.5910354163359086</v>
      </c>
      <c r="Z130">
        <v>-5.6414000173388781E-2</v>
      </c>
      <c r="AA130">
        <v>-0.11261775173508071</v>
      </c>
      <c r="AB130">
        <v>-0.36105429762281449</v>
      </c>
      <c r="AC130">
        <v>-0.24320733419896781</v>
      </c>
      <c r="AD130">
        <v>0.27496641411383471</v>
      </c>
      <c r="AE130">
        <v>0.35838113285508921</v>
      </c>
      <c r="AF130">
        <v>6.590090661821256E-2</v>
      </c>
      <c r="AG130">
        <v>-0.17844472632695141</v>
      </c>
      <c r="AH130">
        <v>6.9585951266370988E-2</v>
      </c>
      <c r="AI130">
        <v>-0.20391508129379621</v>
      </c>
      <c r="AJ130">
        <v>-0.32225156876937022</v>
      </c>
      <c r="AK130">
        <v>0.86223601758735391</v>
      </c>
      <c r="AL130">
        <v>0.24255122959311459</v>
      </c>
      <c r="AM130">
        <v>7.6219474390698053E-2</v>
      </c>
      <c r="AN130">
        <v>-1.8940466730624419</v>
      </c>
      <c r="AO130">
        <v>0.49868619642435041</v>
      </c>
      <c r="AP130">
        <v>0.16079439462289311</v>
      </c>
      <c r="AQ130">
        <v>-0.52486557418804092</v>
      </c>
    </row>
    <row r="131" spans="1:43" x14ac:dyDescent="0.3">
      <c r="A131">
        <v>944</v>
      </c>
      <c r="B131">
        <v>2025</v>
      </c>
      <c r="C131" t="s">
        <v>195</v>
      </c>
      <c r="D131">
        <v>13.66666666666667</v>
      </c>
      <c r="E131">
        <v>13.553636410211571</v>
      </c>
      <c r="F131">
        <v>0.1130302564551009</v>
      </c>
      <c r="G131">
        <v>0.77215476698841301</v>
      </c>
      <c r="H131">
        <v>0.36156959745085149</v>
      </c>
      <c r="I131">
        <v>-0.67673386271608293</v>
      </c>
      <c r="J131">
        <v>-0.27489612485011511</v>
      </c>
      <c r="K131">
        <v>0.30213081591089108</v>
      </c>
      <c r="L131">
        <v>9.370813935347988E-2</v>
      </c>
      <c r="M131">
        <v>0.10080903187324081</v>
      </c>
      <c r="N131">
        <v>-0.46428398698390211</v>
      </c>
      <c r="O131">
        <v>0.1366282555212327</v>
      </c>
      <c r="P131">
        <v>0.18836547011846499</v>
      </c>
      <c r="Q131">
        <v>-0.52486557418804092</v>
      </c>
      <c r="R131">
        <v>0.77215476698841301</v>
      </c>
      <c r="S131">
        <v>9.2569804564363469</v>
      </c>
      <c r="T131">
        <v>0.15551986573479051</v>
      </c>
      <c r="U131">
        <v>9.1014605907015564</v>
      </c>
      <c r="V131">
        <v>0.36156959745085149</v>
      </c>
      <c r="W131">
        <v>4.6758098629890217</v>
      </c>
      <c r="X131">
        <v>8.4774446653113067E-2</v>
      </c>
      <c r="Y131">
        <v>4.5910354163359086</v>
      </c>
      <c r="Z131">
        <v>-0.67673386271608293</v>
      </c>
      <c r="AA131">
        <v>0.27489612485011511</v>
      </c>
      <c r="AB131">
        <v>-0.36105429762281449</v>
      </c>
      <c r="AC131">
        <v>-0.24320733419896781</v>
      </c>
      <c r="AD131">
        <v>-0.18188673903095359</v>
      </c>
      <c r="AE131">
        <v>0.48409788578862689</v>
      </c>
      <c r="AF131">
        <v>0.21998665333952069</v>
      </c>
      <c r="AG131">
        <v>6.1736808884570608E-2</v>
      </c>
      <c r="AH131">
        <v>8.1393021491037915E-2</v>
      </c>
      <c r="AI131">
        <v>-0.1030787943519232</v>
      </c>
      <c r="AJ131">
        <v>-0.75288375888088266</v>
      </c>
      <c r="AK131">
        <v>1.104871187744745</v>
      </c>
      <c r="AL131">
        <v>-4.9560333244140463E-2</v>
      </c>
      <c r="AM131">
        <v>0.46428398698390211</v>
      </c>
      <c r="AN131">
        <v>0.1366282555212327</v>
      </c>
      <c r="AO131">
        <v>0.38046393576157261</v>
      </c>
      <c r="AP131">
        <v>-3.732995524642574E-3</v>
      </c>
      <c r="AQ131">
        <v>-0.52486557418804092</v>
      </c>
    </row>
    <row r="132" spans="1:43" x14ac:dyDescent="0.3">
      <c r="A132">
        <v>946</v>
      </c>
      <c r="B132">
        <v>2025</v>
      </c>
      <c r="C132" t="s">
        <v>196</v>
      </c>
      <c r="D132">
        <v>17</v>
      </c>
      <c r="E132">
        <v>17.851103442029391</v>
      </c>
      <c r="F132">
        <v>-0.85110344202939103</v>
      </c>
      <c r="G132">
        <v>0.95571884690757991</v>
      </c>
      <c r="H132">
        <v>-0.1372488189786388</v>
      </c>
      <c r="I132">
        <v>-0.31732556397935302</v>
      </c>
      <c r="J132">
        <v>-3.6351198507507107E-2</v>
      </c>
      <c r="K132">
        <v>0.30213081591089108</v>
      </c>
      <c r="L132">
        <v>1.113407244433853</v>
      </c>
      <c r="M132">
        <v>0.39662117332328212</v>
      </c>
      <c r="N132">
        <v>0.45186831594232207</v>
      </c>
      <c r="O132">
        <v>0.41852096789013071</v>
      </c>
      <c r="P132">
        <v>-0.60832294193681136</v>
      </c>
      <c r="Q132">
        <v>1.9052497423687671</v>
      </c>
      <c r="R132">
        <v>0.95571884690757991</v>
      </c>
      <c r="S132">
        <v>9.2569804564363469</v>
      </c>
      <c r="T132">
        <v>0.15551986573479051</v>
      </c>
      <c r="U132">
        <v>9.1014605907015564</v>
      </c>
      <c r="V132">
        <v>-0.1372488189786388</v>
      </c>
      <c r="W132">
        <v>4.6758098629890217</v>
      </c>
      <c r="X132">
        <v>8.4774446653113067E-2</v>
      </c>
      <c r="Y132">
        <v>4.5910354163359086</v>
      </c>
      <c r="Z132">
        <v>-0.31732556397935302</v>
      </c>
      <c r="AA132">
        <v>3.6351198507507107E-2</v>
      </c>
      <c r="AB132">
        <v>-0.36105429762281449</v>
      </c>
      <c r="AC132">
        <v>-0.24320733419896781</v>
      </c>
      <c r="AD132">
        <v>1.1824738292011581</v>
      </c>
      <c r="AE132">
        <v>1.0895173161884131</v>
      </c>
      <c r="AF132">
        <v>1.0160396396427529</v>
      </c>
      <c r="AG132">
        <v>1.1677366690945381</v>
      </c>
      <c r="AH132">
        <v>1.3554527584155169</v>
      </c>
      <c r="AI132">
        <v>0.86922325406074119</v>
      </c>
      <c r="AJ132">
        <v>-6.9721274323740298E-2</v>
      </c>
      <c r="AK132">
        <v>0.72082946143306315</v>
      </c>
      <c r="AL132">
        <v>0.53875533286052335</v>
      </c>
      <c r="AM132">
        <v>-0.45186831594232207</v>
      </c>
      <c r="AN132">
        <v>0.41852096789013071</v>
      </c>
      <c r="AO132">
        <v>-0.37275020241207762</v>
      </c>
      <c r="AP132">
        <v>-0.84389568146154514</v>
      </c>
      <c r="AQ132">
        <v>1.9052497423687671</v>
      </c>
    </row>
    <row r="133" spans="1:43" x14ac:dyDescent="0.3">
      <c r="A133">
        <v>948</v>
      </c>
      <c r="B133">
        <v>2025</v>
      </c>
      <c r="C133" t="s">
        <v>197</v>
      </c>
      <c r="D133">
        <v>8.6666666666666661</v>
      </c>
      <c r="E133">
        <v>10.320189919901621</v>
      </c>
      <c r="F133">
        <v>-1.6535232532349511</v>
      </c>
      <c r="G133">
        <v>-0.22383645495630261</v>
      </c>
      <c r="H133">
        <v>-0.83335576538665779</v>
      </c>
      <c r="I133">
        <v>0.40542042451528099</v>
      </c>
      <c r="J133">
        <v>-0.70205619490407412</v>
      </c>
      <c r="K133">
        <v>0.30213081591089108</v>
      </c>
      <c r="L133">
        <v>-0.27035592298016498</v>
      </c>
      <c r="M133">
        <v>0.31895585274364158</v>
      </c>
      <c r="N133">
        <v>0.31895733167500462</v>
      </c>
      <c r="O133">
        <v>-1.190646770551848</v>
      </c>
      <c r="P133">
        <v>0.1836249550184075</v>
      </c>
      <c r="Q133">
        <v>-0.52486557418804092</v>
      </c>
      <c r="R133">
        <v>-0.22383645495630261</v>
      </c>
      <c r="S133">
        <v>9.2569804564363469</v>
      </c>
      <c r="T133">
        <v>0.15551986573479051</v>
      </c>
      <c r="U133">
        <v>9.1014605907015564</v>
      </c>
      <c r="V133">
        <v>-0.83335576538665779</v>
      </c>
      <c r="W133">
        <v>4.6758098629890217</v>
      </c>
      <c r="X133">
        <v>8.4774446653113067E-2</v>
      </c>
      <c r="Y133">
        <v>4.5910354163359086</v>
      </c>
      <c r="Z133">
        <v>0.40542042451528099</v>
      </c>
      <c r="AA133">
        <v>0.70205619490407412</v>
      </c>
      <c r="AB133">
        <v>-0.36105429762281449</v>
      </c>
      <c r="AC133">
        <v>-0.24320733419896781</v>
      </c>
      <c r="AD133">
        <v>-1.3154906420412629E-2</v>
      </c>
      <c r="AE133">
        <v>0.46490819027848429</v>
      </c>
      <c r="AF133">
        <v>-0.79402211405001455</v>
      </c>
      <c r="AG133">
        <v>-0.40745927585987318</v>
      </c>
      <c r="AH133">
        <v>-0.23349021187393529</v>
      </c>
      <c r="AI133">
        <v>-0.63891721995523854</v>
      </c>
      <c r="AJ133">
        <v>0.22157694366137509</v>
      </c>
      <c r="AK133">
        <v>0.45294901345582711</v>
      </c>
      <c r="AL133">
        <v>0.28234160111372281</v>
      </c>
      <c r="AM133">
        <v>-0.31895733167500462</v>
      </c>
      <c r="AN133">
        <v>-1.190646770551848</v>
      </c>
      <c r="AO133">
        <v>8.9559436906595014E-2</v>
      </c>
      <c r="AP133">
        <v>0.27769047313021988</v>
      </c>
      <c r="AQ133">
        <v>-0.52486557418804092</v>
      </c>
    </row>
    <row r="134" spans="1:43" x14ac:dyDescent="0.3">
      <c r="A134">
        <v>960</v>
      </c>
      <c r="B134">
        <v>2025</v>
      </c>
      <c r="C134" t="s">
        <v>198</v>
      </c>
      <c r="D134">
        <v>16</v>
      </c>
      <c r="E134">
        <v>15.24754330107473</v>
      </c>
      <c r="F134">
        <v>0.75245669892527012</v>
      </c>
      <c r="G134">
        <v>0.80215320375351551</v>
      </c>
      <c r="H134">
        <v>-9.2006185454759901E-2</v>
      </c>
      <c r="I134">
        <v>1.322354070186439E-2</v>
      </c>
      <c r="J134">
        <v>0.10489075060185241</v>
      </c>
      <c r="K134">
        <v>0.30213081591089108</v>
      </c>
      <c r="L134">
        <v>0.32759175060593598</v>
      </c>
      <c r="M134">
        <v>0.63925843612871047</v>
      </c>
      <c r="N134">
        <v>2.9298067048949009E-2</v>
      </c>
      <c r="O134">
        <v>3.3362420613984103E-2</v>
      </c>
      <c r="P134">
        <v>-0.78534043212307936</v>
      </c>
      <c r="Q134">
        <v>1.9052497423687671</v>
      </c>
      <c r="R134">
        <v>0.80215320375351551</v>
      </c>
      <c r="S134">
        <v>9.2569804564363469</v>
      </c>
      <c r="T134">
        <v>0.15551986573479051</v>
      </c>
      <c r="U134">
        <v>9.1014605907015564</v>
      </c>
      <c r="V134">
        <v>-9.2006185454759901E-2</v>
      </c>
      <c r="W134">
        <v>4.6758098629890217</v>
      </c>
      <c r="X134">
        <v>8.4774446653113067E-2</v>
      </c>
      <c r="Y134">
        <v>4.5910354163359086</v>
      </c>
      <c r="Z134">
        <v>1.322354070186439E-2</v>
      </c>
      <c r="AA134">
        <v>-0.10489075060185241</v>
      </c>
      <c r="AB134">
        <v>-0.36105429762281449</v>
      </c>
      <c r="AC134">
        <v>-0.24320733419896781</v>
      </c>
      <c r="AD134">
        <v>0.55616649421578246</v>
      </c>
      <c r="AE134">
        <v>0.65867874893602052</v>
      </c>
      <c r="AF134">
        <v>0.4565037741828481</v>
      </c>
      <c r="AG134">
        <v>4.8866999753338818E-3</v>
      </c>
      <c r="AH134">
        <v>0.28097810666922002</v>
      </c>
      <c r="AI134">
        <v>8.336679656410691E-3</v>
      </c>
      <c r="AJ134">
        <v>-3.1128771252759271E-2</v>
      </c>
      <c r="AK134">
        <v>1.366894071260514</v>
      </c>
      <c r="AL134">
        <v>0.58201000837837635</v>
      </c>
      <c r="AM134">
        <v>-2.9298067048949009E-2</v>
      </c>
      <c r="AN134">
        <v>3.3362420613984103E-2</v>
      </c>
      <c r="AO134">
        <v>-0.58744786236913304</v>
      </c>
      <c r="AP134">
        <v>-0.98323300187702567</v>
      </c>
      <c r="AQ134">
        <v>1.9052497423687671</v>
      </c>
    </row>
    <row r="135" spans="1:43" x14ac:dyDescent="0.3">
      <c r="A135">
        <v>961</v>
      </c>
      <c r="B135">
        <v>2025</v>
      </c>
      <c r="C135" t="s">
        <v>199</v>
      </c>
      <c r="D135">
        <v>18</v>
      </c>
      <c r="E135">
        <v>15.920367655745689</v>
      </c>
      <c r="F135">
        <v>2.0796323442543119</v>
      </c>
      <c r="G135">
        <v>1.0468863031931579</v>
      </c>
      <c r="H135">
        <v>-0.2335549722977622</v>
      </c>
      <c r="I135">
        <v>-0.45494156952091919</v>
      </c>
      <c r="J135">
        <v>0.28865982446668481</v>
      </c>
      <c r="K135">
        <v>0.30213081591089108</v>
      </c>
      <c r="L135">
        <v>0.7979272403522919</v>
      </c>
      <c r="M135">
        <v>0.58403369867642796</v>
      </c>
      <c r="N135">
        <v>-0.23652390148568581</v>
      </c>
      <c r="O135">
        <v>0.63314735504145947</v>
      </c>
      <c r="P135">
        <v>-2.4084596674271568</v>
      </c>
      <c r="Q135">
        <v>1.9052497423687671</v>
      </c>
      <c r="R135">
        <v>1.0468863031931579</v>
      </c>
      <c r="S135">
        <v>9.2569804564363469</v>
      </c>
      <c r="T135">
        <v>0.15551986573479051</v>
      </c>
      <c r="U135">
        <v>9.1014605907015564</v>
      </c>
      <c r="V135">
        <v>-0.2335549722977622</v>
      </c>
      <c r="W135">
        <v>4.6758098629890217</v>
      </c>
      <c r="X135">
        <v>8.4774446653113067E-2</v>
      </c>
      <c r="Y135">
        <v>4.5910354163359086</v>
      </c>
      <c r="Z135">
        <v>-0.45494156952091919</v>
      </c>
      <c r="AA135">
        <v>-0.28865982446668481</v>
      </c>
      <c r="AB135">
        <v>-0.36105429762281449</v>
      </c>
      <c r="AC135">
        <v>-0.24320733419896781</v>
      </c>
      <c r="AD135">
        <v>1.0018897951755701</v>
      </c>
      <c r="AE135">
        <v>0.82655218355306137</v>
      </c>
      <c r="AF135">
        <v>0.8884167740757708</v>
      </c>
      <c r="AG135">
        <v>0.59721446890606444</v>
      </c>
      <c r="AH135">
        <v>0.92903566876775501</v>
      </c>
      <c r="AI135">
        <v>0.54445455163552958</v>
      </c>
      <c r="AJ135">
        <v>-0.17306899033979431</v>
      </c>
      <c r="AK135">
        <v>1.3476713597179539</v>
      </c>
      <c r="AL135">
        <v>0.57749872665112445</v>
      </c>
      <c r="AM135">
        <v>0.23652390148568581</v>
      </c>
      <c r="AN135">
        <v>0.63314735504145947</v>
      </c>
      <c r="AO135">
        <v>-1.0358292336599839</v>
      </c>
      <c r="AP135">
        <v>-3.7810901011943301</v>
      </c>
      <c r="AQ135">
        <v>1.9052497423687671</v>
      </c>
    </row>
    <row r="136" spans="1:43" x14ac:dyDescent="0.3">
      <c r="A136">
        <v>962</v>
      </c>
      <c r="B136">
        <v>2025</v>
      </c>
      <c r="C136" t="s">
        <v>200</v>
      </c>
      <c r="D136">
        <v>11</v>
      </c>
      <c r="E136">
        <v>10.80310437312616</v>
      </c>
      <c r="F136">
        <v>0.1968956268738449</v>
      </c>
      <c r="G136">
        <v>7.5371242772520219E-2</v>
      </c>
      <c r="H136">
        <v>-0.984778476961372</v>
      </c>
      <c r="I136">
        <v>-0.38054509952002169</v>
      </c>
      <c r="J136">
        <v>1.006804533729524E-2</v>
      </c>
      <c r="K136">
        <v>0.30213081591089108</v>
      </c>
      <c r="L136">
        <v>-0.19629783689792549</v>
      </c>
      <c r="M136">
        <v>-7.1944451939993286E-3</v>
      </c>
      <c r="N136">
        <v>0.14417827606762729</v>
      </c>
      <c r="O136">
        <v>-0.16722105435236201</v>
      </c>
      <c r="P136">
        <v>0.46754161578894732</v>
      </c>
      <c r="Q136">
        <v>-0.52486557418804092</v>
      </c>
      <c r="R136">
        <v>7.5371242772520219E-2</v>
      </c>
      <c r="S136">
        <v>9.2569804564363469</v>
      </c>
      <c r="T136">
        <v>0.15551986573479051</v>
      </c>
      <c r="U136">
        <v>9.1014605907015564</v>
      </c>
      <c r="V136">
        <v>-0.984778476961372</v>
      </c>
      <c r="W136">
        <v>4.6758098629890217</v>
      </c>
      <c r="X136">
        <v>8.4774446653113067E-2</v>
      </c>
      <c r="Y136">
        <v>4.5910354163359086</v>
      </c>
      <c r="Z136">
        <v>-0.38054509952002169</v>
      </c>
      <c r="AA136">
        <v>-1.006804533729524E-2</v>
      </c>
      <c r="AB136">
        <v>-0.36105429762281449</v>
      </c>
      <c r="AC136">
        <v>-0.24320733419896781</v>
      </c>
      <c r="AD136">
        <v>-7.1169806515716028E-2</v>
      </c>
      <c r="AE136">
        <v>0.14653637675838951</v>
      </c>
      <c r="AF136">
        <v>-0.38793477423099021</v>
      </c>
      <c r="AG136">
        <v>-1.774442558764389E-2</v>
      </c>
      <c r="AH136">
        <v>-0.36840967771154243</v>
      </c>
      <c r="AI136">
        <v>-0.4790647141000498</v>
      </c>
      <c r="AJ136">
        <v>-0.56586047938820216</v>
      </c>
      <c r="AK136">
        <v>0.37102561190319511</v>
      </c>
      <c r="AL136">
        <v>0.1732515319030091</v>
      </c>
      <c r="AM136">
        <v>-0.14417827606762729</v>
      </c>
      <c r="AN136">
        <v>-0.16722105435236201</v>
      </c>
      <c r="AO136">
        <v>0.72318172285373272</v>
      </c>
      <c r="AP136">
        <v>0.2119015087241618</v>
      </c>
      <c r="AQ136">
        <v>-0.52486557418804092</v>
      </c>
    </row>
    <row r="137" spans="1:43" x14ac:dyDescent="0.3">
      <c r="A137">
        <v>963</v>
      </c>
      <c r="B137">
        <v>2025</v>
      </c>
      <c r="C137" t="s">
        <v>201</v>
      </c>
      <c r="D137">
        <v>8</v>
      </c>
      <c r="E137">
        <v>10.790745299664151</v>
      </c>
      <c r="F137">
        <v>-2.7907452996641449</v>
      </c>
      <c r="G137">
        <v>1.9811647906312919E-2</v>
      </c>
      <c r="H137">
        <v>-0.68690095789416017</v>
      </c>
      <c r="I137">
        <v>-0.19459758441801339</v>
      </c>
      <c r="J137">
        <v>0.20167859442621849</v>
      </c>
      <c r="K137">
        <v>0.30213081591089108</v>
      </c>
      <c r="L137">
        <v>-0.69455986396594771</v>
      </c>
      <c r="M137">
        <v>0.56903143854851235</v>
      </c>
      <c r="N137">
        <v>0.76128086439238751</v>
      </c>
      <c r="O137">
        <v>-0.24970699986617859</v>
      </c>
      <c r="P137">
        <v>0.53573075295888639</v>
      </c>
      <c r="Q137">
        <v>-0.52486557418804092</v>
      </c>
      <c r="R137">
        <v>1.9811647906312919E-2</v>
      </c>
      <c r="S137">
        <v>9.2569804564363469</v>
      </c>
      <c r="T137">
        <v>0.15551986573479051</v>
      </c>
      <c r="U137">
        <v>9.1014605907015564</v>
      </c>
      <c r="V137">
        <v>-0.68690095789416017</v>
      </c>
      <c r="W137">
        <v>4.6758098629890217</v>
      </c>
      <c r="X137">
        <v>8.4774446653113067E-2</v>
      </c>
      <c r="Y137">
        <v>4.5910354163359086</v>
      </c>
      <c r="Z137">
        <v>-0.19459758441801339</v>
      </c>
      <c r="AA137">
        <v>-0.20167859442621849</v>
      </c>
      <c r="AB137">
        <v>-0.36105429762281449</v>
      </c>
      <c r="AC137">
        <v>-0.24320733419896781</v>
      </c>
      <c r="AD137">
        <v>-0.58291495417213413</v>
      </c>
      <c r="AE137">
        <v>-0.64390290898484448</v>
      </c>
      <c r="AF137">
        <v>-1.074054607317823</v>
      </c>
      <c r="AG137">
        <v>-0.73016527460822722</v>
      </c>
      <c r="AH137">
        <v>-0.46995932104620158</v>
      </c>
      <c r="AI137">
        <v>-0.66636211766645614</v>
      </c>
      <c r="AJ137">
        <v>9.9008156310618226E-2</v>
      </c>
      <c r="AK137">
        <v>1.046708047669614</v>
      </c>
      <c r="AL137">
        <v>0.56137811166530449</v>
      </c>
      <c r="AM137">
        <v>-0.76128086439238751</v>
      </c>
      <c r="AN137">
        <v>-0.24970699986617859</v>
      </c>
      <c r="AO137">
        <v>0.68434579522061689</v>
      </c>
      <c r="AP137">
        <v>0.38711571069715589</v>
      </c>
      <c r="AQ137">
        <v>-0.52486557418804092</v>
      </c>
    </row>
    <row r="138" spans="1:43" x14ac:dyDescent="0.3">
      <c r="A138">
        <v>964</v>
      </c>
      <c r="B138">
        <v>2025</v>
      </c>
      <c r="C138" t="s">
        <v>202</v>
      </c>
      <c r="D138">
        <v>16.333333333333329</v>
      </c>
      <c r="E138">
        <v>16.632656615149109</v>
      </c>
      <c r="F138">
        <v>-0.29932328181578072</v>
      </c>
      <c r="G138">
        <v>0.84409752556950546</v>
      </c>
      <c r="H138">
        <v>1.1101123470265091</v>
      </c>
      <c r="I138">
        <v>-0.17901100003402251</v>
      </c>
      <c r="J138">
        <v>-9.9846160905987844E-2</v>
      </c>
      <c r="K138">
        <v>0.30213081591089108</v>
      </c>
      <c r="L138">
        <v>0.54553041120900636</v>
      </c>
      <c r="M138">
        <v>0.19001086218313221</v>
      </c>
      <c r="N138">
        <v>-5.4688117198563688E-2</v>
      </c>
      <c r="O138">
        <v>0.14364971161372411</v>
      </c>
      <c r="P138">
        <v>0.36223813617428391</v>
      </c>
      <c r="Q138">
        <v>-0.52486557418804092</v>
      </c>
      <c r="R138">
        <v>0.84409752556950546</v>
      </c>
      <c r="S138">
        <v>9.2569804564363469</v>
      </c>
      <c r="T138">
        <v>0.15551986573479051</v>
      </c>
      <c r="U138">
        <v>9.1014605907015564</v>
      </c>
      <c r="V138">
        <v>1.1101123470265091</v>
      </c>
      <c r="W138">
        <v>4.6758098629890217</v>
      </c>
      <c r="X138">
        <v>8.4774446653113067E-2</v>
      </c>
      <c r="Y138">
        <v>4.5910354163359086</v>
      </c>
      <c r="Z138">
        <v>-0.17901100003402251</v>
      </c>
      <c r="AA138">
        <v>9.9846160905987844E-2</v>
      </c>
      <c r="AB138">
        <v>-0.36105429762281449</v>
      </c>
      <c r="AC138">
        <v>-0.24320733419896781</v>
      </c>
      <c r="AD138">
        <v>0.66910612368208322</v>
      </c>
      <c r="AE138">
        <v>0.55909738176687651</v>
      </c>
      <c r="AF138">
        <v>0.41512991974651797</v>
      </c>
      <c r="AG138">
        <v>0.46733611238237532</v>
      </c>
      <c r="AH138">
        <v>0.49595560997376192</v>
      </c>
      <c r="AI138">
        <v>0.66655731970242349</v>
      </c>
      <c r="AJ138">
        <v>-0.75646734845175911</v>
      </c>
      <c r="AK138">
        <v>1.125166411090111</v>
      </c>
      <c r="AL138">
        <v>0.20133352391104531</v>
      </c>
      <c r="AM138">
        <v>5.4688117198563688E-2</v>
      </c>
      <c r="AN138">
        <v>0.14364971161372411</v>
      </c>
      <c r="AO138">
        <v>0.44878541408596823</v>
      </c>
      <c r="AP138">
        <v>0.27569085826259948</v>
      </c>
      <c r="AQ138">
        <v>-0.52486557418804092</v>
      </c>
    </row>
    <row r="139" spans="1:43" x14ac:dyDescent="0.3">
      <c r="A139">
        <v>968</v>
      </c>
      <c r="B139">
        <v>2025</v>
      </c>
      <c r="C139" t="s">
        <v>203</v>
      </c>
      <c r="D139">
        <v>13</v>
      </c>
      <c r="E139">
        <v>13.805773980857991</v>
      </c>
      <c r="F139">
        <v>-0.80577398085799068</v>
      </c>
      <c r="G139">
        <v>0.66236237261281783</v>
      </c>
      <c r="H139">
        <v>0.64015638648936835</v>
      </c>
      <c r="I139">
        <v>-0.52117363817782136</v>
      </c>
      <c r="J139">
        <v>-0.28325273348308821</v>
      </c>
      <c r="K139">
        <v>0.30213081591089108</v>
      </c>
      <c r="L139">
        <v>0.13682121744442749</v>
      </c>
      <c r="M139">
        <v>-0.31114522713807352</v>
      </c>
      <c r="N139">
        <v>-8.7721386490754408E-2</v>
      </c>
      <c r="O139">
        <v>-0.68979583347916362</v>
      </c>
      <c r="P139">
        <v>0.27671153655076253</v>
      </c>
      <c r="Q139">
        <v>-0.52486557418804092</v>
      </c>
      <c r="R139">
        <v>0.66236237261281783</v>
      </c>
      <c r="S139">
        <v>9.2569804564363469</v>
      </c>
      <c r="T139">
        <v>0.15551986573479051</v>
      </c>
      <c r="U139">
        <v>9.1014605907015564</v>
      </c>
      <c r="V139">
        <v>0.64015638648936835</v>
      </c>
      <c r="W139">
        <v>4.6758098629890217</v>
      </c>
      <c r="X139">
        <v>8.4774446653113067E-2</v>
      </c>
      <c r="Y139">
        <v>4.5910354163359086</v>
      </c>
      <c r="Z139">
        <v>-0.52117363817782136</v>
      </c>
      <c r="AA139">
        <v>0.28325273348308821</v>
      </c>
      <c r="AB139">
        <v>-0.36105429762281449</v>
      </c>
      <c r="AC139">
        <v>-0.24320733419896781</v>
      </c>
      <c r="AD139">
        <v>0.27104150447565373</v>
      </c>
      <c r="AE139">
        <v>0.15023785687309441</v>
      </c>
      <c r="AF139">
        <v>0.1246504144440575</v>
      </c>
      <c r="AG139">
        <v>0.1177116425651161</v>
      </c>
      <c r="AH139">
        <v>0.27409630841173133</v>
      </c>
      <c r="AI139">
        <v>-0.1168104221030876</v>
      </c>
      <c r="AJ139">
        <v>-1.0522262583502731</v>
      </c>
      <c r="AK139">
        <v>0.23135157481497201</v>
      </c>
      <c r="AL139">
        <v>-0.11256099787891929</v>
      </c>
      <c r="AM139">
        <v>8.7721386490754408E-2</v>
      </c>
      <c r="AN139">
        <v>-0.68979583347916362</v>
      </c>
      <c r="AO139">
        <v>0.26830422980050478</v>
      </c>
      <c r="AP139">
        <v>0.28511884330102022</v>
      </c>
      <c r="AQ139">
        <v>-0.52486557418804092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K139"/>
  <sheetViews>
    <sheetView topLeftCell="O1" workbookViewId="0">
      <selection activeCell="E1" sqref="E1"/>
    </sheetView>
  </sheetViews>
  <sheetFormatPr defaultRowHeight="14.4" x14ac:dyDescent="0.3"/>
  <sheetData>
    <row r="1" spans="1:37" x14ac:dyDescent="0.3">
      <c r="A1" t="s">
        <v>210</v>
      </c>
      <c r="B1" t="s">
        <v>211</v>
      </c>
      <c r="C1" t="s">
        <v>0</v>
      </c>
      <c r="D1" t="s">
        <v>212</v>
      </c>
      <c r="E1" t="s">
        <v>226</v>
      </c>
      <c r="F1" t="s">
        <v>257</v>
      </c>
      <c r="G1" t="s">
        <v>230</v>
      </c>
      <c r="H1" t="s">
        <v>258</v>
      </c>
      <c r="I1" t="s">
        <v>259</v>
      </c>
      <c r="J1" t="s">
        <v>260</v>
      </c>
      <c r="K1" t="s">
        <v>261</v>
      </c>
      <c r="L1" t="s">
        <v>245</v>
      </c>
      <c r="M1" t="s">
        <v>247</v>
      </c>
      <c r="N1" t="s">
        <v>262</v>
      </c>
      <c r="O1" t="s">
        <v>263</v>
      </c>
      <c r="P1" t="s">
        <v>264</v>
      </c>
      <c r="Q1" t="s">
        <v>246</v>
      </c>
      <c r="R1" t="s">
        <v>265</v>
      </c>
      <c r="S1" t="s">
        <v>234</v>
      </c>
      <c r="T1" t="s">
        <v>235</v>
      </c>
      <c r="U1" t="s">
        <v>244</v>
      </c>
      <c r="V1" t="s">
        <v>248</v>
      </c>
      <c r="W1" t="s">
        <v>250</v>
      </c>
      <c r="X1" t="s">
        <v>266</v>
      </c>
      <c r="Y1" t="s">
        <v>267</v>
      </c>
      <c r="Z1" t="s">
        <v>249</v>
      </c>
      <c r="AA1" t="s">
        <v>238</v>
      </c>
      <c r="AB1" t="s">
        <v>239</v>
      </c>
      <c r="AC1" t="s">
        <v>240</v>
      </c>
      <c r="AD1" t="s">
        <v>241</v>
      </c>
      <c r="AE1" t="s">
        <v>242</v>
      </c>
      <c r="AF1" t="s">
        <v>243</v>
      </c>
      <c r="AG1" t="s">
        <v>251</v>
      </c>
      <c r="AH1" t="s">
        <v>268</v>
      </c>
      <c r="AI1" t="s">
        <v>236</v>
      </c>
      <c r="AJ1" t="s">
        <v>269</v>
      </c>
      <c r="AK1" t="s">
        <v>237</v>
      </c>
    </row>
    <row r="2" spans="1:37" x14ac:dyDescent="0.3">
      <c r="A2">
        <v>111</v>
      </c>
      <c r="B2">
        <v>2025</v>
      </c>
      <c r="C2" t="s">
        <v>10</v>
      </c>
      <c r="D2">
        <v>21</v>
      </c>
      <c r="E2">
        <v>89598.86</v>
      </c>
      <c r="F2">
        <v>89598.86</v>
      </c>
      <c r="G2">
        <v>30615.74</v>
      </c>
      <c r="H2">
        <v>30615.74</v>
      </c>
      <c r="I2">
        <v>2.0169999999999999</v>
      </c>
      <c r="J2">
        <v>2.6480000000000001</v>
      </c>
      <c r="K2">
        <v>-7.3650000000000002</v>
      </c>
      <c r="L2">
        <v>30.42</v>
      </c>
      <c r="M2">
        <v>125.05</v>
      </c>
      <c r="N2">
        <v>-3.988</v>
      </c>
      <c r="O2">
        <v>-3.8</v>
      </c>
      <c r="P2">
        <v>3.5649999999999999</v>
      </c>
      <c r="Q2">
        <v>11.71926364234057</v>
      </c>
      <c r="R2">
        <v>4.1107823800131493</v>
      </c>
      <c r="S2">
        <v>2.2471000000000001</v>
      </c>
      <c r="T2">
        <v>3.3069000000000002</v>
      </c>
      <c r="U2">
        <v>-8.4116</v>
      </c>
      <c r="V2">
        <v>-3.6000999999999999</v>
      </c>
      <c r="W2">
        <v>0.13997024999999999</v>
      </c>
      <c r="X2">
        <v>769.91239734887904</v>
      </c>
      <c r="Y2">
        <v>100.0695626200109</v>
      </c>
      <c r="Z2">
        <v>0.12997525817819139</v>
      </c>
      <c r="AA2">
        <v>0.87751900000000005</v>
      </c>
      <c r="AB2">
        <v>2.9425E-2</v>
      </c>
      <c r="AC2">
        <v>1.217201</v>
      </c>
      <c r="AD2">
        <v>1.3937330000000001</v>
      </c>
      <c r="AE2">
        <v>1.3276779999999999</v>
      </c>
      <c r="AF2">
        <v>1.1234329999999999</v>
      </c>
      <c r="AG2">
        <v>1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112</v>
      </c>
      <c r="B3">
        <v>2025</v>
      </c>
      <c r="C3" t="s">
        <v>15</v>
      </c>
      <c r="D3">
        <v>19.333333333333329</v>
      </c>
      <c r="E3">
        <v>56660.87</v>
      </c>
      <c r="F3">
        <v>63759.05</v>
      </c>
      <c r="G3">
        <v>3958.78</v>
      </c>
      <c r="H3">
        <v>4454.7160000000003</v>
      </c>
      <c r="I3">
        <v>1.3080000000000001</v>
      </c>
      <c r="J3">
        <v>3.35</v>
      </c>
      <c r="K3">
        <v>-4.3360000000000003</v>
      </c>
      <c r="L3">
        <v>39.353999999999999</v>
      </c>
      <c r="M3">
        <v>103.361</v>
      </c>
      <c r="N3">
        <v>-3.0910000000000002</v>
      </c>
      <c r="O3">
        <v>-1.8149999999999999</v>
      </c>
      <c r="P3">
        <v>2.5209999999999999</v>
      </c>
      <c r="Q3">
        <v>6.4059561925090218</v>
      </c>
      <c r="R3">
        <v>2.626442038928698</v>
      </c>
      <c r="S3">
        <v>1.1598999999999999</v>
      </c>
      <c r="T3">
        <v>3.4348999999999998</v>
      </c>
      <c r="U3">
        <v>-5.3441999999999998</v>
      </c>
      <c r="V3">
        <v>-2.5108000000000001</v>
      </c>
      <c r="W3">
        <v>1.7160200000000001</v>
      </c>
      <c r="X3">
        <v>87.590578982623924</v>
      </c>
      <c r="Y3">
        <v>272.38361810390211</v>
      </c>
      <c r="Z3">
        <v>3.109736472434292</v>
      </c>
      <c r="AA3">
        <v>1.2616240000000001</v>
      </c>
      <c r="AB3">
        <v>0.51493599999999995</v>
      </c>
      <c r="AC3">
        <v>1.161143</v>
      </c>
      <c r="AD3">
        <v>1.536567</v>
      </c>
      <c r="AE3">
        <v>1.398366</v>
      </c>
      <c r="AF3">
        <v>1.4809140000000001</v>
      </c>
      <c r="AG3">
        <v>1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122</v>
      </c>
      <c r="B4">
        <v>2025</v>
      </c>
      <c r="C4" t="s">
        <v>18</v>
      </c>
      <c r="D4">
        <v>20.666666666666671</v>
      </c>
      <c r="E4">
        <v>61694.03</v>
      </c>
      <c r="F4">
        <v>74852.289999999994</v>
      </c>
      <c r="G4">
        <v>566.45600000000002</v>
      </c>
      <c r="H4">
        <v>687.27099999999996</v>
      </c>
      <c r="I4">
        <v>0.27</v>
      </c>
      <c r="J4">
        <v>3.6259999999999999</v>
      </c>
      <c r="K4">
        <v>-4.2480000000000002</v>
      </c>
      <c r="L4">
        <v>51.875999999999998</v>
      </c>
      <c r="M4">
        <v>82.025000000000006</v>
      </c>
      <c r="N4">
        <v>1.7929999999999999</v>
      </c>
      <c r="O4">
        <v>-3.0089999999999999</v>
      </c>
      <c r="P4">
        <v>1.2390000000000001</v>
      </c>
      <c r="Q4">
        <v>2.3883876937312061</v>
      </c>
      <c r="R4">
        <v>1.5811743388079269</v>
      </c>
      <c r="S4">
        <v>0.67009999999999992</v>
      </c>
      <c r="T4">
        <v>3.5142000000000002</v>
      </c>
      <c r="U4">
        <v>-4.3472</v>
      </c>
      <c r="V4">
        <v>1.9193</v>
      </c>
      <c r="W4">
        <v>0.28766599999999998</v>
      </c>
      <c r="X4">
        <v>167.90897207989121</v>
      </c>
      <c r="Y4">
        <v>167.3307306411599</v>
      </c>
      <c r="Z4">
        <v>0.99655622072145</v>
      </c>
      <c r="AA4">
        <v>1.4112480000000001</v>
      </c>
      <c r="AB4">
        <v>0.727989</v>
      </c>
      <c r="AC4">
        <v>1.326681</v>
      </c>
      <c r="AD4">
        <v>1.36137</v>
      </c>
      <c r="AE4">
        <v>1.7465649999999999</v>
      </c>
      <c r="AF4">
        <v>1.133653</v>
      </c>
      <c r="AG4">
        <v>1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124</v>
      </c>
      <c r="B5">
        <v>2025</v>
      </c>
      <c r="C5" t="s">
        <v>20</v>
      </c>
      <c r="D5">
        <v>19</v>
      </c>
      <c r="E5">
        <v>60417.88</v>
      </c>
      <c r="F5">
        <v>75882.37</v>
      </c>
      <c r="G5">
        <v>716.98</v>
      </c>
      <c r="H5">
        <v>900.49699999999996</v>
      </c>
      <c r="I5">
        <v>1.0649999999999999</v>
      </c>
      <c r="J5">
        <v>0.28999999999999998</v>
      </c>
      <c r="K5">
        <v>-5.5279999999999996</v>
      </c>
      <c r="L5">
        <v>49.72</v>
      </c>
      <c r="M5">
        <v>107.502</v>
      </c>
      <c r="N5">
        <v>-0.90900000000000003</v>
      </c>
      <c r="O5">
        <v>-3.72</v>
      </c>
      <c r="P5">
        <v>1.8079999999999989</v>
      </c>
      <c r="Q5">
        <v>3.6363636363636349</v>
      </c>
      <c r="R5">
        <v>2.1621480289621879</v>
      </c>
      <c r="S5">
        <v>1.3661000000000001</v>
      </c>
      <c r="T5">
        <v>3.0247000000000002</v>
      </c>
      <c r="U5">
        <v>-5.5292000000000003</v>
      </c>
      <c r="V5">
        <v>-0.38679999999999998</v>
      </c>
      <c r="W5">
        <v>0.2</v>
      </c>
      <c r="X5">
        <v>254.3516796718861</v>
      </c>
      <c r="Y5">
        <v>244.2101393181859</v>
      </c>
      <c r="Z5">
        <v>0.96012788133822113</v>
      </c>
      <c r="AA5">
        <v>1.3257289999999999</v>
      </c>
      <c r="AB5">
        <v>0.40385300000000002</v>
      </c>
      <c r="AC5">
        <v>1.0370220000000001</v>
      </c>
      <c r="AD5">
        <v>1.1682250000000001</v>
      </c>
      <c r="AE5">
        <v>1.2953749999999999</v>
      </c>
      <c r="AF5">
        <v>1.3368439999999999</v>
      </c>
      <c r="AG5">
        <v>1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128</v>
      </c>
      <c r="B6">
        <v>2025</v>
      </c>
      <c r="C6" t="s">
        <v>23</v>
      </c>
      <c r="D6">
        <v>22</v>
      </c>
      <c r="E6">
        <v>76580.72</v>
      </c>
      <c r="F6">
        <v>84762.880000000005</v>
      </c>
      <c r="G6">
        <v>459.61200000000002</v>
      </c>
      <c r="H6">
        <v>508.71800000000002</v>
      </c>
      <c r="I6">
        <v>1.84</v>
      </c>
      <c r="J6">
        <v>1.7969999999999999</v>
      </c>
      <c r="K6">
        <v>1.8</v>
      </c>
      <c r="L6">
        <v>50.768000000000001</v>
      </c>
      <c r="M6">
        <v>29.629000000000001</v>
      </c>
      <c r="N6">
        <v>12.234999999999999</v>
      </c>
      <c r="O6">
        <v>1</v>
      </c>
      <c r="P6">
        <v>-0.8</v>
      </c>
      <c r="Q6">
        <v>-1.5757957768673181</v>
      </c>
      <c r="R6">
        <v>0.58361566341002213</v>
      </c>
      <c r="S6">
        <v>1.8012999999999999</v>
      </c>
      <c r="T6">
        <v>2.5613999999999999</v>
      </c>
      <c r="U6">
        <v>1.7198</v>
      </c>
      <c r="V6">
        <v>10.792</v>
      </c>
      <c r="W6">
        <v>9.1000000000000014</v>
      </c>
      <c r="X6">
        <v>5.6749906787126383</v>
      </c>
      <c r="Y6">
        <v>152.46041668455379</v>
      </c>
      <c r="Z6">
        <v>26.865315789230369</v>
      </c>
      <c r="AA6">
        <v>1.6646989999999999</v>
      </c>
      <c r="AB6">
        <v>0.85084800000000005</v>
      </c>
      <c r="AC6">
        <v>2.0156489999999998</v>
      </c>
      <c r="AD6">
        <v>1.83952</v>
      </c>
      <c r="AE6">
        <v>1.908936</v>
      </c>
      <c r="AF6">
        <v>2.3760530000000002</v>
      </c>
      <c r="AG6">
        <v>1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132</v>
      </c>
      <c r="B7">
        <v>2025</v>
      </c>
      <c r="C7" t="s">
        <v>26</v>
      </c>
      <c r="D7">
        <v>18.666666666666671</v>
      </c>
      <c r="E7">
        <v>48981.97</v>
      </c>
      <c r="F7">
        <v>66060.53</v>
      </c>
      <c r="G7">
        <v>3361.5569999999998</v>
      </c>
      <c r="H7">
        <v>4533.6329999999998</v>
      </c>
      <c r="I7">
        <v>0.67100000000000004</v>
      </c>
      <c r="J7">
        <v>1.4610000000000001</v>
      </c>
      <c r="K7">
        <v>-5.4409999999999998</v>
      </c>
      <c r="L7">
        <v>51.881999999999998</v>
      </c>
      <c r="M7">
        <v>116.505</v>
      </c>
      <c r="N7">
        <v>-7.5999999999999998E-2</v>
      </c>
      <c r="O7">
        <v>-3.3940000000000001</v>
      </c>
      <c r="P7">
        <v>2.0470000000000002</v>
      </c>
      <c r="Q7">
        <v>3.9454916926872521</v>
      </c>
      <c r="R7">
        <v>2.245576500520412</v>
      </c>
      <c r="S7">
        <v>0.99940000000000018</v>
      </c>
      <c r="T7">
        <v>2.5541</v>
      </c>
      <c r="U7">
        <v>-6.1504000000000003</v>
      </c>
      <c r="V7">
        <v>-0.48589999999999978</v>
      </c>
      <c r="W7">
        <v>0.64148699999999992</v>
      </c>
      <c r="X7">
        <v>150.1645963753889</v>
      </c>
      <c r="Y7">
        <v>261.99892815789991</v>
      </c>
      <c r="Z7">
        <v>1.74474499637013</v>
      </c>
      <c r="AA7">
        <v>1.154601</v>
      </c>
      <c r="AB7">
        <v>0.343698</v>
      </c>
      <c r="AC7">
        <v>1.1446259999999999</v>
      </c>
      <c r="AD7">
        <v>1.153505</v>
      </c>
      <c r="AE7">
        <v>1.180571</v>
      </c>
      <c r="AF7">
        <v>1.184822</v>
      </c>
      <c r="AG7">
        <v>1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134</v>
      </c>
      <c r="B8">
        <v>2025</v>
      </c>
      <c r="C8" t="s">
        <v>28</v>
      </c>
      <c r="D8">
        <v>22</v>
      </c>
      <c r="E8">
        <v>59925.32</v>
      </c>
      <c r="F8">
        <v>73553.3</v>
      </c>
      <c r="G8">
        <v>5013.5739999999996</v>
      </c>
      <c r="H8">
        <v>6153.741</v>
      </c>
      <c r="I8">
        <v>0.191</v>
      </c>
      <c r="J8">
        <v>1.7490000000000001</v>
      </c>
      <c r="K8">
        <v>-2.5230000000000001</v>
      </c>
      <c r="L8">
        <v>47.923000000000002</v>
      </c>
      <c r="M8">
        <v>64.421000000000006</v>
      </c>
      <c r="N8">
        <v>5.4189999999999996</v>
      </c>
      <c r="O8">
        <v>-1.609</v>
      </c>
      <c r="P8">
        <v>0.91400000000000015</v>
      </c>
      <c r="Q8">
        <v>1.9072261753229141</v>
      </c>
      <c r="R8">
        <v>1.344260584687937</v>
      </c>
      <c r="S8">
        <v>0.50160000000000005</v>
      </c>
      <c r="T8">
        <v>3.1089000000000002</v>
      </c>
      <c r="U8">
        <v>-3.2631999999999999</v>
      </c>
      <c r="V8">
        <v>5.2374999999999998</v>
      </c>
      <c r="W8">
        <v>0.33994550000000001</v>
      </c>
      <c r="X8">
        <v>211.7260328003091</v>
      </c>
      <c r="Y8">
        <v>156.58171850985221</v>
      </c>
      <c r="Z8">
        <v>0.7395487292653018</v>
      </c>
      <c r="AA8">
        <v>1.4613860000000001</v>
      </c>
      <c r="AB8">
        <v>0.58698899999999998</v>
      </c>
      <c r="AC8">
        <v>1.1854169999999999</v>
      </c>
      <c r="AD8">
        <v>1.4569749999999999</v>
      </c>
      <c r="AE8">
        <v>1.5512079999999999</v>
      </c>
      <c r="AF8">
        <v>1.664166</v>
      </c>
      <c r="AG8">
        <v>1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136</v>
      </c>
      <c r="B9">
        <v>2025</v>
      </c>
      <c r="C9" t="s">
        <v>30</v>
      </c>
      <c r="D9">
        <v>14.33333333333333</v>
      </c>
      <c r="E9">
        <v>43161.2</v>
      </c>
      <c r="F9">
        <v>63125.68</v>
      </c>
      <c r="G9">
        <v>2543.6770000000001</v>
      </c>
      <c r="H9">
        <v>3720.2710000000002</v>
      </c>
      <c r="I9">
        <v>0.54600000000000004</v>
      </c>
      <c r="J9">
        <v>1.5309999999999999</v>
      </c>
      <c r="K9">
        <v>-3.302</v>
      </c>
      <c r="L9">
        <v>47.381</v>
      </c>
      <c r="M9">
        <v>136.83699999999999</v>
      </c>
      <c r="N9">
        <v>0.97</v>
      </c>
      <c r="O9">
        <v>0.52</v>
      </c>
      <c r="P9">
        <v>3.8220000000000001</v>
      </c>
      <c r="Q9">
        <v>8.0665245562567289</v>
      </c>
      <c r="R9">
        <v>2.888014182900319</v>
      </c>
      <c r="S9">
        <v>0.96009999999999973</v>
      </c>
      <c r="T9">
        <v>2.8296000000000001</v>
      </c>
      <c r="U9">
        <v>-5.0606999999999998</v>
      </c>
      <c r="V9">
        <v>1.2157</v>
      </c>
      <c r="W9">
        <v>1.07652975</v>
      </c>
      <c r="X9">
        <v>57.603884034266187</v>
      </c>
      <c r="Y9">
        <v>125.501822009568</v>
      </c>
      <c r="Z9">
        <v>2.17870416402672</v>
      </c>
      <c r="AA9">
        <v>1.1155310000000001</v>
      </c>
      <c r="AB9">
        <v>0.58332099999999998</v>
      </c>
      <c r="AC9">
        <v>0.61103700000000005</v>
      </c>
      <c r="AD9">
        <v>0.64403200000000005</v>
      </c>
      <c r="AE9">
        <v>0.39035900000000001</v>
      </c>
      <c r="AF9">
        <v>0.55012899999999998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137</v>
      </c>
      <c r="B10">
        <v>2025</v>
      </c>
      <c r="C10" t="s">
        <v>33</v>
      </c>
      <c r="D10">
        <v>22</v>
      </c>
      <c r="E10">
        <v>146818.03</v>
      </c>
      <c r="F10">
        <v>152394.65</v>
      </c>
      <c r="G10">
        <v>100.642</v>
      </c>
      <c r="H10">
        <v>104.465</v>
      </c>
      <c r="I10">
        <v>1.177</v>
      </c>
      <c r="J10">
        <v>1.208</v>
      </c>
      <c r="K10">
        <v>-1.056</v>
      </c>
      <c r="L10">
        <v>47.542000000000002</v>
      </c>
      <c r="M10">
        <v>27.120999999999999</v>
      </c>
      <c r="N10">
        <v>12.163</v>
      </c>
      <c r="O10">
        <v>-1.1970000000000001</v>
      </c>
      <c r="P10">
        <v>-0.14099999999999999</v>
      </c>
      <c r="Q10">
        <v>-0.2965798662235497</v>
      </c>
      <c r="R10">
        <v>0.57046401076942488</v>
      </c>
      <c r="S10">
        <v>1.5626</v>
      </c>
      <c r="T10">
        <v>2.6787999999999998</v>
      </c>
      <c r="U10">
        <v>-1.01</v>
      </c>
      <c r="V10">
        <v>9.0604999999999993</v>
      </c>
      <c r="W10">
        <v>1.3685067489296341</v>
      </c>
      <c r="X10">
        <v>25405.68911917098</v>
      </c>
      <c r="Y10">
        <v>5191.9166463718093</v>
      </c>
      <c r="Z10">
        <v>0.20436039432026351</v>
      </c>
      <c r="AA10">
        <v>1.632663</v>
      </c>
      <c r="AB10">
        <v>1.0540020000000001</v>
      </c>
      <c r="AC10">
        <v>1.9142129999999999</v>
      </c>
      <c r="AD10">
        <v>1.929063</v>
      </c>
      <c r="AE10">
        <v>1.752435</v>
      </c>
      <c r="AF10">
        <v>1.9266589999999999</v>
      </c>
      <c r="AG10">
        <v>1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138</v>
      </c>
      <c r="B11">
        <v>2025</v>
      </c>
      <c r="C11" t="s">
        <v>36</v>
      </c>
      <c r="D11">
        <v>22</v>
      </c>
      <c r="E11">
        <v>73173.72</v>
      </c>
      <c r="F11">
        <v>84035.22</v>
      </c>
      <c r="G11">
        <v>1320.635</v>
      </c>
      <c r="H11">
        <v>1516.663</v>
      </c>
      <c r="I11">
        <v>1.4330000000000001</v>
      </c>
      <c r="J11">
        <v>2.4649999999999999</v>
      </c>
      <c r="K11">
        <v>-2.1110000000000002</v>
      </c>
      <c r="L11">
        <v>43.220999999999997</v>
      </c>
      <c r="M11">
        <v>44.036999999999999</v>
      </c>
      <c r="N11">
        <v>9.5310000000000006</v>
      </c>
      <c r="O11">
        <v>-1.5129999999999999</v>
      </c>
      <c r="P11">
        <v>0.59800000000000031</v>
      </c>
      <c r="Q11">
        <v>1.38358668239976</v>
      </c>
      <c r="R11">
        <v>1.0188797112514749</v>
      </c>
      <c r="S11">
        <v>1.4593</v>
      </c>
      <c r="T11">
        <v>3.4561999999999999</v>
      </c>
      <c r="U11">
        <v>-1.9184000000000001</v>
      </c>
      <c r="V11">
        <v>8.7957000000000001</v>
      </c>
      <c r="W11">
        <v>0.12186675</v>
      </c>
      <c r="X11">
        <v>705.54014991339841</v>
      </c>
      <c r="Y11">
        <v>361.60769828238369</v>
      </c>
      <c r="Z11">
        <v>0.51252603884664716</v>
      </c>
      <c r="AA11">
        <v>1.5562640000000001</v>
      </c>
      <c r="AB11">
        <v>0.65828200000000003</v>
      </c>
      <c r="AC11">
        <v>1.625532</v>
      </c>
      <c r="AD11">
        <v>1.7909660000000001</v>
      </c>
      <c r="AE11">
        <v>1.642504</v>
      </c>
      <c r="AF11">
        <v>1.8671</v>
      </c>
      <c r="AG11">
        <v>1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142</v>
      </c>
      <c r="B12">
        <v>2025</v>
      </c>
      <c r="C12" t="s">
        <v>38</v>
      </c>
      <c r="D12">
        <v>22</v>
      </c>
      <c r="E12">
        <v>91883.69</v>
      </c>
      <c r="F12">
        <v>106694.12</v>
      </c>
      <c r="G12">
        <v>517.10199999999998</v>
      </c>
      <c r="H12">
        <v>600.452</v>
      </c>
      <c r="I12">
        <v>1.181</v>
      </c>
      <c r="J12">
        <v>2.2000000000000002</v>
      </c>
      <c r="K12">
        <v>12.736000000000001</v>
      </c>
      <c r="L12">
        <v>61.676000000000002</v>
      </c>
      <c r="M12">
        <v>42.72</v>
      </c>
      <c r="N12">
        <v>16.189</v>
      </c>
      <c r="O12">
        <v>9.6839999999999993</v>
      </c>
      <c r="P12">
        <v>-3.0520000000000009</v>
      </c>
      <c r="Q12">
        <v>-4.94844023607238</v>
      </c>
      <c r="R12">
        <v>0.69265192295220179</v>
      </c>
      <c r="S12">
        <v>1.5077</v>
      </c>
      <c r="T12">
        <v>2.9803999999999999</v>
      </c>
      <c r="U12">
        <v>11.536199999999999</v>
      </c>
      <c r="V12">
        <v>15.4701</v>
      </c>
      <c r="W12">
        <v>9.35741975</v>
      </c>
      <c r="X12">
        <v>9.5447214879675055</v>
      </c>
      <c r="Y12">
        <v>165.8377327464105</v>
      </c>
      <c r="Z12">
        <v>17.374811088565849</v>
      </c>
      <c r="AA12">
        <v>1.7772539999999999</v>
      </c>
      <c r="AB12">
        <v>0.89285700000000001</v>
      </c>
      <c r="AC12">
        <v>1.7999350000000001</v>
      </c>
      <c r="AD12">
        <v>1.597523</v>
      </c>
      <c r="AE12">
        <v>1.833982</v>
      </c>
      <c r="AF12">
        <v>2.1135220000000001</v>
      </c>
      <c r="AG12">
        <v>1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144</v>
      </c>
      <c r="B13">
        <v>2025</v>
      </c>
      <c r="C13" t="s">
        <v>40</v>
      </c>
      <c r="D13">
        <v>22</v>
      </c>
      <c r="E13">
        <v>62036.06</v>
      </c>
      <c r="F13">
        <v>73069.509999999995</v>
      </c>
      <c r="G13">
        <v>662.31799999999998</v>
      </c>
      <c r="H13">
        <v>780.11500000000001</v>
      </c>
      <c r="I13">
        <v>0.75</v>
      </c>
      <c r="J13">
        <v>1.6</v>
      </c>
      <c r="K13">
        <v>-1.3720000000000001</v>
      </c>
      <c r="L13">
        <v>47.658999999999999</v>
      </c>
      <c r="M13">
        <v>34.162999999999997</v>
      </c>
      <c r="N13">
        <v>5.8380000000000001</v>
      </c>
      <c r="O13">
        <v>-1.3979999999999999</v>
      </c>
      <c r="P13">
        <v>-2.5999999999999801E-2</v>
      </c>
      <c r="Q13">
        <v>-5.4554229001867023E-2</v>
      </c>
      <c r="R13">
        <v>0.71682158668876805</v>
      </c>
      <c r="S13">
        <v>1.2996000000000001</v>
      </c>
      <c r="T13">
        <v>2.8746999999999998</v>
      </c>
      <c r="U13">
        <v>-0.86939999999999995</v>
      </c>
      <c r="V13">
        <v>5.4819999999999993</v>
      </c>
      <c r="W13">
        <v>2.6039620000000001</v>
      </c>
      <c r="X13">
        <v>26.516696505020629</v>
      </c>
      <c r="Y13">
        <v>181.36887614984349</v>
      </c>
      <c r="Z13">
        <v>6.8397990720866524</v>
      </c>
      <c r="AA13">
        <v>1.574832</v>
      </c>
      <c r="AB13">
        <v>0.75836499999999996</v>
      </c>
      <c r="AC13">
        <v>1.601383</v>
      </c>
      <c r="AD13">
        <v>1.7180169999999999</v>
      </c>
      <c r="AE13">
        <v>1.604023</v>
      </c>
      <c r="AF13">
        <v>2.0282460000000002</v>
      </c>
      <c r="AG13">
        <v>1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146</v>
      </c>
      <c r="B14">
        <v>2025</v>
      </c>
      <c r="C14" t="s">
        <v>42</v>
      </c>
      <c r="D14">
        <v>22</v>
      </c>
      <c r="E14">
        <v>111046.89</v>
      </c>
      <c r="F14">
        <v>97659.28</v>
      </c>
      <c r="G14">
        <v>1002.6660000000001</v>
      </c>
      <c r="H14">
        <v>881.78700000000003</v>
      </c>
      <c r="I14">
        <v>0.94599999999999995</v>
      </c>
      <c r="J14">
        <v>0.14599999999999999</v>
      </c>
      <c r="K14">
        <v>0.26100000000000001</v>
      </c>
      <c r="L14">
        <v>32.334000000000003</v>
      </c>
      <c r="M14">
        <v>36.878</v>
      </c>
      <c r="N14">
        <v>6.9969999999999999</v>
      </c>
      <c r="O14">
        <v>0.35799999999999998</v>
      </c>
      <c r="P14">
        <v>9.6999999999999975E-2</v>
      </c>
      <c r="Q14">
        <v>0.29999381456052437</v>
      </c>
      <c r="R14">
        <v>1.140533184882786</v>
      </c>
      <c r="S14">
        <v>1.4824999999999999</v>
      </c>
      <c r="T14">
        <v>0.89680000000000004</v>
      </c>
      <c r="U14">
        <v>-7.1500000000000008E-2</v>
      </c>
      <c r="V14">
        <v>6.6905000000000001</v>
      </c>
      <c r="W14">
        <v>36.02675</v>
      </c>
      <c r="X14">
        <v>2.640064041816137</v>
      </c>
      <c r="Y14">
        <v>226.43400948097911</v>
      </c>
      <c r="Z14">
        <v>85.768377544815934</v>
      </c>
      <c r="AA14">
        <v>1.665027</v>
      </c>
      <c r="AB14">
        <v>1.0714440000000001</v>
      </c>
      <c r="AC14">
        <v>2.1349269999999998</v>
      </c>
      <c r="AD14">
        <v>1.7293799999999999</v>
      </c>
      <c r="AE14">
        <v>1.7617259999999999</v>
      </c>
      <c r="AF14">
        <v>2.0219990000000001</v>
      </c>
      <c r="AG14">
        <v>1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156</v>
      </c>
      <c r="B15">
        <v>2025</v>
      </c>
      <c r="C15" t="s">
        <v>43</v>
      </c>
      <c r="D15">
        <v>21.666666666666671</v>
      </c>
      <c r="E15">
        <v>54934.84</v>
      </c>
      <c r="F15">
        <v>65500.25</v>
      </c>
      <c r="G15">
        <v>2283.5990000000002</v>
      </c>
      <c r="H15">
        <v>2722.7950000000001</v>
      </c>
      <c r="I15">
        <v>1.153</v>
      </c>
      <c r="J15">
        <v>1.984</v>
      </c>
      <c r="K15">
        <v>-2.2200000000000002</v>
      </c>
      <c r="L15">
        <v>42.447000000000003</v>
      </c>
      <c r="M15">
        <v>113.937</v>
      </c>
      <c r="N15">
        <v>-1.4139999999999999</v>
      </c>
      <c r="O15">
        <v>-1.861</v>
      </c>
      <c r="P15">
        <v>0.35900000000000021</v>
      </c>
      <c r="Q15">
        <v>0.84576059556623595</v>
      </c>
      <c r="R15">
        <v>2.6842179659339882</v>
      </c>
      <c r="S15">
        <v>1.6175999999999999</v>
      </c>
      <c r="T15">
        <v>2.7155999999999998</v>
      </c>
      <c r="U15">
        <v>-2.5882999999999998</v>
      </c>
      <c r="V15">
        <v>-0.92089999999999994</v>
      </c>
      <c r="W15">
        <v>1.8814062499999999</v>
      </c>
      <c r="X15">
        <v>37.099980168113383</v>
      </c>
      <c r="Y15">
        <v>133.89801497527179</v>
      </c>
      <c r="Z15">
        <v>3.609112845034733</v>
      </c>
      <c r="AA15">
        <v>1.479646</v>
      </c>
      <c r="AB15">
        <v>0.82242099999999996</v>
      </c>
      <c r="AC15">
        <v>1.5168029999999999</v>
      </c>
      <c r="AD15">
        <v>1.6447099999999999</v>
      </c>
      <c r="AE15">
        <v>1.473006</v>
      </c>
      <c r="AF15">
        <v>1.6715009999999999</v>
      </c>
      <c r="AG15">
        <v>1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158</v>
      </c>
      <c r="B16">
        <v>2025</v>
      </c>
      <c r="C16" t="s">
        <v>46</v>
      </c>
      <c r="D16">
        <v>17.666666666666671</v>
      </c>
      <c r="E16">
        <v>34713.25</v>
      </c>
      <c r="F16">
        <v>54815.32</v>
      </c>
      <c r="G16">
        <v>4279.83</v>
      </c>
      <c r="H16">
        <v>6758.23</v>
      </c>
      <c r="I16">
        <v>1.0760000000000001</v>
      </c>
      <c r="J16">
        <v>2.83</v>
      </c>
      <c r="K16">
        <v>-1.2589999999999999</v>
      </c>
      <c r="L16">
        <v>37.384</v>
      </c>
      <c r="M16">
        <v>229.572</v>
      </c>
      <c r="N16">
        <v>3.9009999999999998</v>
      </c>
      <c r="O16">
        <v>-0.86099999999999999</v>
      </c>
      <c r="P16">
        <v>0.39799999999999991</v>
      </c>
      <c r="Q16">
        <v>1.0646265782152791</v>
      </c>
      <c r="R16">
        <v>6.1409158998502029</v>
      </c>
      <c r="S16">
        <v>0.4255000000000001</v>
      </c>
      <c r="T16">
        <v>2.0103</v>
      </c>
      <c r="U16">
        <v>-3.5903999999999998</v>
      </c>
      <c r="V16">
        <v>3.5691999999999999</v>
      </c>
      <c r="W16">
        <v>19.460090000000001</v>
      </c>
      <c r="X16">
        <v>3.1575414224339928</v>
      </c>
      <c r="Y16">
        <v>90.398347669778403</v>
      </c>
      <c r="Z16">
        <v>28.629346562964411</v>
      </c>
      <c r="AA16">
        <v>1.105505</v>
      </c>
      <c r="AB16">
        <v>0.95113599999999998</v>
      </c>
      <c r="AC16">
        <v>1.631265</v>
      </c>
      <c r="AD16">
        <v>1.4693259999999999</v>
      </c>
      <c r="AE16">
        <v>1.535539</v>
      </c>
      <c r="AF16">
        <v>1.395661</v>
      </c>
      <c r="AG16">
        <v>1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172</v>
      </c>
      <c r="B17">
        <v>2025</v>
      </c>
      <c r="C17" t="s">
        <v>48</v>
      </c>
      <c r="D17">
        <v>20.666666666666671</v>
      </c>
      <c r="E17">
        <v>56083.74</v>
      </c>
      <c r="F17">
        <v>66512.47</v>
      </c>
      <c r="G17">
        <v>314.72399999999999</v>
      </c>
      <c r="H17">
        <v>373.24599999999998</v>
      </c>
      <c r="I17">
        <v>0.50700000000000001</v>
      </c>
      <c r="J17">
        <v>1.966</v>
      </c>
      <c r="K17">
        <v>-4.5590000000000002</v>
      </c>
      <c r="L17">
        <v>53.731000000000002</v>
      </c>
      <c r="M17">
        <v>86.784000000000006</v>
      </c>
      <c r="N17">
        <v>0.13200000000000001</v>
      </c>
      <c r="O17">
        <v>-4.1719999999999997</v>
      </c>
      <c r="P17">
        <v>0.38700000000000051</v>
      </c>
      <c r="Q17">
        <v>0.72025460162662236</v>
      </c>
      <c r="R17">
        <v>1.6151569857251871</v>
      </c>
      <c r="S17">
        <v>0.61119999999999997</v>
      </c>
      <c r="T17">
        <v>2.5015999999999998</v>
      </c>
      <c r="U17">
        <v>-3.4904999999999999</v>
      </c>
      <c r="V17">
        <v>-0.34</v>
      </c>
      <c r="W17">
        <v>1.40194</v>
      </c>
      <c r="X17">
        <v>71.232732586458837</v>
      </c>
      <c r="Y17">
        <v>193.71335168642389</v>
      </c>
      <c r="Z17">
        <v>2.719442939400142</v>
      </c>
      <c r="AA17">
        <v>1.632636</v>
      </c>
      <c r="AB17">
        <v>0.71398700000000004</v>
      </c>
      <c r="AC17">
        <v>1.738607</v>
      </c>
      <c r="AD17">
        <v>1.7651490000000001</v>
      </c>
      <c r="AE17">
        <v>1.9670460000000001</v>
      </c>
      <c r="AF17">
        <v>2.221517</v>
      </c>
      <c r="AG17">
        <v>1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174</v>
      </c>
      <c r="B18">
        <v>2025</v>
      </c>
      <c r="C18" t="s">
        <v>50</v>
      </c>
      <c r="D18">
        <v>13.33333333333333</v>
      </c>
      <c r="E18">
        <v>27169.69</v>
      </c>
      <c r="F18">
        <v>44985.38</v>
      </c>
      <c r="G18">
        <v>282.01900000000001</v>
      </c>
      <c r="H18">
        <v>466.94499999999999</v>
      </c>
      <c r="I18">
        <v>1.964</v>
      </c>
      <c r="J18">
        <v>2.8180000000000001</v>
      </c>
      <c r="K18">
        <v>-8.9999999999999993E-3</v>
      </c>
      <c r="L18">
        <v>49.817999999999998</v>
      </c>
      <c r="M18">
        <v>146.691</v>
      </c>
      <c r="N18">
        <v>-5.7629999999999999</v>
      </c>
      <c r="O18">
        <v>3.1509999999999998</v>
      </c>
      <c r="P18">
        <v>3.16</v>
      </c>
      <c r="Q18">
        <v>6.3430888433899391</v>
      </c>
      <c r="R18">
        <v>2.9445381187522579</v>
      </c>
      <c r="S18">
        <v>1.8443000000000001</v>
      </c>
      <c r="T18">
        <v>2.8079999999999998</v>
      </c>
      <c r="U18">
        <v>-2.5554000000000001</v>
      </c>
      <c r="V18">
        <v>-6.1760999999999999</v>
      </c>
      <c r="W18">
        <v>0.51582725000000007</v>
      </c>
      <c r="X18">
        <v>159.16467567580261</v>
      </c>
      <c r="Y18">
        <v>238.67258902301279</v>
      </c>
      <c r="Z18">
        <v>1.499532405727747</v>
      </c>
      <c r="AA18">
        <v>1.012167</v>
      </c>
      <c r="AB18">
        <v>0.23974400000000001</v>
      </c>
      <c r="AC18">
        <v>0.148003</v>
      </c>
      <c r="AD18">
        <v>0.57893499999999998</v>
      </c>
      <c r="AE18">
        <v>0.21315899999999999</v>
      </c>
      <c r="AF18">
        <v>9.7847000000000003E-2</v>
      </c>
      <c r="AG18">
        <v>1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176</v>
      </c>
      <c r="B19">
        <v>2025</v>
      </c>
      <c r="C19" t="s">
        <v>52</v>
      </c>
      <c r="D19">
        <v>17.666666666666671</v>
      </c>
      <c r="E19">
        <v>98149.92</v>
      </c>
      <c r="F19">
        <v>80466.38</v>
      </c>
      <c r="G19">
        <v>38.386000000000003</v>
      </c>
      <c r="H19">
        <v>31.47</v>
      </c>
      <c r="I19">
        <v>1.427</v>
      </c>
      <c r="J19">
        <v>4.2919999999999998</v>
      </c>
      <c r="K19">
        <v>-1.1379999999999999</v>
      </c>
      <c r="L19">
        <v>43.616999999999997</v>
      </c>
      <c r="M19">
        <v>47.421999999999997</v>
      </c>
      <c r="N19">
        <v>-3.5680000000000001</v>
      </c>
      <c r="O19">
        <v>0.84499999999999997</v>
      </c>
      <c r="P19">
        <v>1.9830000000000001</v>
      </c>
      <c r="Q19">
        <v>4.5463924616548592</v>
      </c>
      <c r="R19">
        <v>1.0872366279203061</v>
      </c>
      <c r="S19">
        <v>2.2599</v>
      </c>
      <c r="T19">
        <v>4.5045999999999999</v>
      </c>
      <c r="U19">
        <v>-2.9512999999999998</v>
      </c>
      <c r="V19">
        <v>-1.0568</v>
      </c>
      <c r="W19">
        <v>7.3109999999999999</v>
      </c>
      <c r="X19">
        <v>3.274501570507522</v>
      </c>
      <c r="Y19">
        <v>52.478433658329813</v>
      </c>
      <c r="Z19">
        <v>16.02638830012717</v>
      </c>
      <c r="AA19">
        <v>1.445902</v>
      </c>
      <c r="AB19">
        <v>1.214404</v>
      </c>
      <c r="AC19">
        <v>1.555121</v>
      </c>
      <c r="AD19">
        <v>1.2844439999999999</v>
      </c>
      <c r="AE19">
        <v>1.7211179999999999</v>
      </c>
      <c r="AF19">
        <v>1.5513060000000001</v>
      </c>
      <c r="AG19">
        <v>0</v>
      </c>
      <c r="AH19">
        <v>1</v>
      </c>
      <c r="AI19">
        <v>0</v>
      </c>
      <c r="AJ19">
        <v>0</v>
      </c>
      <c r="AK19">
        <v>0</v>
      </c>
    </row>
    <row r="20" spans="1:37" x14ac:dyDescent="0.3">
      <c r="A20">
        <v>178</v>
      </c>
      <c r="B20">
        <v>2025</v>
      </c>
      <c r="C20" t="s">
        <v>53</v>
      </c>
      <c r="D20">
        <v>19.666666666666671</v>
      </c>
      <c r="E20">
        <v>129131.78</v>
      </c>
      <c r="F20">
        <v>147878.19</v>
      </c>
      <c r="G20">
        <v>708.77099999999996</v>
      </c>
      <c r="H20">
        <v>811.66499999999996</v>
      </c>
      <c r="I20">
        <v>9.1129999999999995</v>
      </c>
      <c r="J20">
        <v>1.631</v>
      </c>
      <c r="K20">
        <v>1.0469999999999999</v>
      </c>
      <c r="L20">
        <v>22.966999999999999</v>
      </c>
      <c r="M20">
        <v>32.996000000000002</v>
      </c>
      <c r="N20">
        <v>11.114000000000001</v>
      </c>
      <c r="O20">
        <v>1.3919999999999999</v>
      </c>
      <c r="P20">
        <v>0.34499999999999997</v>
      </c>
      <c r="Q20">
        <v>1.502155266251578</v>
      </c>
      <c r="R20">
        <v>1.4366700047894809</v>
      </c>
      <c r="S20">
        <v>4.8575999999999997</v>
      </c>
      <c r="T20">
        <v>2.6116999999999999</v>
      </c>
      <c r="U20">
        <v>0.55389999999999995</v>
      </c>
      <c r="V20">
        <v>9.1896000000000022</v>
      </c>
      <c r="W20">
        <v>0.34375</v>
      </c>
      <c r="X20">
        <v>713.29250955913585</v>
      </c>
      <c r="Y20">
        <v>486.59421420720668</v>
      </c>
      <c r="Z20">
        <v>0.68218046269398736</v>
      </c>
      <c r="AA20">
        <v>1.4834560000000001</v>
      </c>
      <c r="AB20">
        <v>0.90191200000000005</v>
      </c>
      <c r="AC20">
        <v>1.5911459999999999</v>
      </c>
      <c r="AD20">
        <v>1.7493639999999999</v>
      </c>
      <c r="AE20">
        <v>1.6335839999999999</v>
      </c>
      <c r="AF20">
        <v>1.5752889999999999</v>
      </c>
      <c r="AG20">
        <v>1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181</v>
      </c>
      <c r="B21">
        <v>2025</v>
      </c>
      <c r="C21" t="s">
        <v>54</v>
      </c>
      <c r="D21">
        <v>17</v>
      </c>
      <c r="E21">
        <v>49277.47</v>
      </c>
      <c r="F21">
        <v>78710.89</v>
      </c>
      <c r="G21">
        <v>27.745000000000001</v>
      </c>
      <c r="H21">
        <v>44.317</v>
      </c>
      <c r="I21">
        <v>3.9</v>
      </c>
      <c r="J21">
        <v>2.2370000000000001</v>
      </c>
      <c r="K21">
        <v>-3.19</v>
      </c>
      <c r="L21">
        <v>32.472999999999999</v>
      </c>
      <c r="M21">
        <v>46.886000000000003</v>
      </c>
      <c r="N21">
        <v>5.1210000000000004</v>
      </c>
      <c r="O21">
        <v>-1.9330000000000001</v>
      </c>
      <c r="P21">
        <v>1.2569999999999999</v>
      </c>
      <c r="Q21">
        <v>3.87090813906938</v>
      </c>
      <c r="R21">
        <v>1.4438456563914639</v>
      </c>
      <c r="S21">
        <v>4.9657999999999998</v>
      </c>
      <c r="T21">
        <v>2.5886</v>
      </c>
      <c r="U21">
        <v>-4.2858999999999998</v>
      </c>
      <c r="V21">
        <v>5.7079999999999993</v>
      </c>
      <c r="W21">
        <v>2.20322</v>
      </c>
      <c r="X21">
        <v>56.222295805739513</v>
      </c>
      <c r="Y21">
        <v>450.53422961259508</v>
      </c>
      <c r="Z21">
        <v>8.0134441889262344</v>
      </c>
      <c r="AA21">
        <v>0.91365499999999999</v>
      </c>
      <c r="AB21">
        <v>0.85812200000000005</v>
      </c>
      <c r="AC21">
        <v>0.39733499999999999</v>
      </c>
      <c r="AD21">
        <v>0.68735900000000005</v>
      </c>
      <c r="AE21">
        <v>0.70232799999999995</v>
      </c>
      <c r="AF21">
        <v>0.109747</v>
      </c>
      <c r="AG21">
        <v>1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182</v>
      </c>
      <c r="B22">
        <v>2025</v>
      </c>
      <c r="C22" t="s">
        <v>56</v>
      </c>
      <c r="D22">
        <v>17</v>
      </c>
      <c r="E22">
        <v>31414.53</v>
      </c>
      <c r="F22">
        <v>49753.19</v>
      </c>
      <c r="G22">
        <v>337.93599999999998</v>
      </c>
      <c r="H22">
        <v>535.21</v>
      </c>
      <c r="I22">
        <v>1.87</v>
      </c>
      <c r="J22">
        <v>2.1480000000000001</v>
      </c>
      <c r="K22">
        <v>0.152</v>
      </c>
      <c r="L22">
        <v>43.85</v>
      </c>
      <c r="M22">
        <v>90.944999999999993</v>
      </c>
      <c r="N22">
        <v>1.8120000000000001</v>
      </c>
      <c r="O22">
        <v>2.04</v>
      </c>
      <c r="P22">
        <v>1.8879999999999999</v>
      </c>
      <c r="Q22">
        <v>4.3055872291904222</v>
      </c>
      <c r="R22">
        <v>2.07400228050171</v>
      </c>
      <c r="S22">
        <v>1.7633000000000001</v>
      </c>
      <c r="T22">
        <v>2.7932000000000001</v>
      </c>
      <c r="U22">
        <v>-0.82480000000000009</v>
      </c>
      <c r="V22">
        <v>0.73440000000000016</v>
      </c>
      <c r="W22">
        <v>0.40212075000000003</v>
      </c>
      <c r="X22">
        <v>79.46804485415521</v>
      </c>
      <c r="Y22">
        <v>149.74642993763661</v>
      </c>
      <c r="Z22">
        <v>1.8843603137897851</v>
      </c>
      <c r="AA22">
        <v>1.2112830000000001</v>
      </c>
      <c r="AB22">
        <v>0.71257800000000004</v>
      </c>
      <c r="AC22">
        <v>0.98755000000000004</v>
      </c>
      <c r="AD22">
        <v>0.75535699999999995</v>
      </c>
      <c r="AE22">
        <v>1.0676650000000001</v>
      </c>
      <c r="AF22">
        <v>0.69631200000000004</v>
      </c>
      <c r="AG22">
        <v>1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184</v>
      </c>
      <c r="B23">
        <v>2025</v>
      </c>
      <c r="C23" t="s">
        <v>57</v>
      </c>
      <c r="D23">
        <v>17</v>
      </c>
      <c r="E23">
        <v>38039.879999999997</v>
      </c>
      <c r="F23">
        <v>56887.93</v>
      </c>
      <c r="G23">
        <v>1891.3710000000001</v>
      </c>
      <c r="H23">
        <v>2828.51</v>
      </c>
      <c r="I23">
        <v>2.9079999999999999</v>
      </c>
      <c r="J23">
        <v>2.09</v>
      </c>
      <c r="K23">
        <v>-2.7229999999999999</v>
      </c>
      <c r="L23">
        <v>42.22</v>
      </c>
      <c r="M23">
        <v>100.40300000000001</v>
      </c>
      <c r="N23">
        <v>2.653</v>
      </c>
      <c r="O23">
        <v>-0.57799999999999996</v>
      </c>
      <c r="P23">
        <v>2.145</v>
      </c>
      <c r="Q23">
        <v>5.0805305542396972</v>
      </c>
      <c r="R23">
        <v>2.378090952155377</v>
      </c>
      <c r="S23">
        <v>1.7824</v>
      </c>
      <c r="T23">
        <v>2.8052000000000001</v>
      </c>
      <c r="U23">
        <v>-3.9943</v>
      </c>
      <c r="V23">
        <v>2.0053999999999998</v>
      </c>
      <c r="W23">
        <v>1.6380995</v>
      </c>
      <c r="X23">
        <v>44.328128829131927</v>
      </c>
      <c r="Y23">
        <v>168.65027796720739</v>
      </c>
      <c r="Z23">
        <v>3.8045882472795101</v>
      </c>
      <c r="AA23">
        <v>1.1947300000000001</v>
      </c>
      <c r="AB23">
        <v>0.28729199999999999</v>
      </c>
      <c r="AC23">
        <v>0.75206600000000001</v>
      </c>
      <c r="AD23">
        <v>0.69376400000000005</v>
      </c>
      <c r="AE23">
        <v>0.82288600000000001</v>
      </c>
      <c r="AF23">
        <v>0.62936899999999996</v>
      </c>
      <c r="AG23">
        <v>1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186</v>
      </c>
      <c r="B24">
        <v>2025</v>
      </c>
      <c r="C24" t="s">
        <v>59</v>
      </c>
      <c r="D24">
        <v>10</v>
      </c>
      <c r="E24">
        <v>18197.580000000002</v>
      </c>
      <c r="F24">
        <v>43786.2</v>
      </c>
      <c r="G24">
        <v>1565.471</v>
      </c>
      <c r="H24">
        <v>3766.7660000000001</v>
      </c>
      <c r="I24">
        <v>3.4940000000000002</v>
      </c>
      <c r="J24">
        <v>31.007999999999999</v>
      </c>
      <c r="K24">
        <v>-3.6890000000000001</v>
      </c>
      <c r="L24">
        <v>28.859000000000002</v>
      </c>
      <c r="M24">
        <v>24.292000000000002</v>
      </c>
      <c r="N24">
        <v>-1.4390000000000001</v>
      </c>
      <c r="O24">
        <v>-0.873</v>
      </c>
      <c r="P24">
        <v>2.8159999999999998</v>
      </c>
      <c r="Q24">
        <v>9.7577878651373915</v>
      </c>
      <c r="R24">
        <v>0.84174780830936624</v>
      </c>
      <c r="S24">
        <v>4.5952000000000002</v>
      </c>
      <c r="T24">
        <v>32.410500000000013</v>
      </c>
      <c r="U24">
        <v>-3.7444000000000002</v>
      </c>
      <c r="V24">
        <v>-2.0825</v>
      </c>
      <c r="W24">
        <v>2.68236425</v>
      </c>
      <c r="X24">
        <v>6.3397175882876304</v>
      </c>
      <c r="Y24">
        <v>33.7912398472251</v>
      </c>
      <c r="Z24">
        <v>5.3300859820085744</v>
      </c>
      <c r="AA24">
        <v>-0.86057700000000004</v>
      </c>
      <c r="AB24">
        <v>-1.01108</v>
      </c>
      <c r="AC24">
        <v>-0.24791199999999999</v>
      </c>
      <c r="AD24">
        <v>-0.22950999999999999</v>
      </c>
      <c r="AE24">
        <v>-0.51197300000000001</v>
      </c>
      <c r="AF24">
        <v>-0.50248899999999996</v>
      </c>
      <c r="AG24">
        <v>0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>
        <v>193</v>
      </c>
      <c r="B25">
        <v>2025</v>
      </c>
      <c r="C25" t="s">
        <v>63</v>
      </c>
      <c r="D25">
        <v>22</v>
      </c>
      <c r="E25">
        <v>65946.02</v>
      </c>
      <c r="F25">
        <v>71430.89</v>
      </c>
      <c r="G25">
        <v>1829.508</v>
      </c>
      <c r="H25">
        <v>1981.672</v>
      </c>
      <c r="I25">
        <v>1.8089999999999999</v>
      </c>
      <c r="J25">
        <v>3.2149999999999999</v>
      </c>
      <c r="K25">
        <v>-2.73</v>
      </c>
      <c r="L25">
        <v>36.593000000000004</v>
      </c>
      <c r="M25">
        <v>51.036999999999999</v>
      </c>
      <c r="N25">
        <v>-1.849</v>
      </c>
      <c r="O25">
        <v>-1.7130000000000001</v>
      </c>
      <c r="P25">
        <v>1.0169999999999999</v>
      </c>
      <c r="Q25">
        <v>2.7792200694121818</v>
      </c>
      <c r="R25">
        <v>1.394720301697046</v>
      </c>
      <c r="S25">
        <v>2.1269999999999998</v>
      </c>
      <c r="T25">
        <v>3.2541000000000002</v>
      </c>
      <c r="U25">
        <v>-3.1187999999999998</v>
      </c>
      <c r="V25">
        <v>-0.69380000000000008</v>
      </c>
      <c r="W25">
        <v>1.6780234999999999</v>
      </c>
      <c r="X25">
        <v>36.047049062862072</v>
      </c>
      <c r="Y25">
        <v>91.694875604854502</v>
      </c>
      <c r="Z25">
        <v>2.5437553971463451</v>
      </c>
      <c r="AA25">
        <v>1.506602</v>
      </c>
      <c r="AB25">
        <v>0.91705700000000001</v>
      </c>
      <c r="AC25">
        <v>1.58988</v>
      </c>
      <c r="AD25">
        <v>1.9422060000000001</v>
      </c>
      <c r="AE25">
        <v>1.5231840000000001</v>
      </c>
      <c r="AF25">
        <v>1.7812049999999999</v>
      </c>
      <c r="AG25">
        <v>1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196</v>
      </c>
      <c r="B26">
        <v>2025</v>
      </c>
      <c r="C26" t="s">
        <v>65</v>
      </c>
      <c r="D26">
        <v>21.333333333333329</v>
      </c>
      <c r="E26">
        <v>49383.39</v>
      </c>
      <c r="F26">
        <v>55781.2</v>
      </c>
      <c r="G26">
        <v>262.90899999999999</v>
      </c>
      <c r="H26">
        <v>296.97000000000003</v>
      </c>
      <c r="I26">
        <v>0.83499999999999996</v>
      </c>
      <c r="J26">
        <v>2.7989999999999999</v>
      </c>
      <c r="K26">
        <v>-4.0620000000000003</v>
      </c>
      <c r="L26">
        <v>37.392000000000003</v>
      </c>
      <c r="M26">
        <v>53.234999999999999</v>
      </c>
      <c r="N26">
        <v>-4.7060000000000004</v>
      </c>
      <c r="O26">
        <v>-2.4910000000000001</v>
      </c>
      <c r="P26">
        <v>1.571</v>
      </c>
      <c r="Q26">
        <v>4.2014334617030382</v>
      </c>
      <c r="R26">
        <v>1.423700256739409</v>
      </c>
      <c r="S26">
        <v>1.8424</v>
      </c>
      <c r="T26">
        <v>3.2242000000000011</v>
      </c>
      <c r="U26">
        <v>-3.1249000000000011</v>
      </c>
      <c r="V26">
        <v>-5.0168000000000008</v>
      </c>
      <c r="W26">
        <v>6.2456727499999998</v>
      </c>
      <c r="X26">
        <v>9.8406600407747202</v>
      </c>
      <c r="Y26">
        <v>88.906145715004172</v>
      </c>
      <c r="Z26">
        <v>9.0345713952745097</v>
      </c>
      <c r="AA26">
        <v>1.687783</v>
      </c>
      <c r="AB26">
        <v>1.3585700000000001</v>
      </c>
      <c r="AC26">
        <v>1.5299769999999999</v>
      </c>
      <c r="AD26">
        <v>1.910228</v>
      </c>
      <c r="AE26">
        <v>1.705708</v>
      </c>
      <c r="AF26">
        <v>2.084095</v>
      </c>
      <c r="AG26">
        <v>1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199</v>
      </c>
      <c r="B27">
        <v>2025</v>
      </c>
      <c r="C27" t="s">
        <v>67</v>
      </c>
      <c r="D27">
        <v>10.33333333333333</v>
      </c>
      <c r="E27">
        <v>6666.71</v>
      </c>
      <c r="F27">
        <v>16049.82</v>
      </c>
      <c r="G27">
        <v>426.38299999999998</v>
      </c>
      <c r="H27">
        <v>1026.5</v>
      </c>
      <c r="I27">
        <v>1.149</v>
      </c>
      <c r="J27">
        <v>3.97</v>
      </c>
      <c r="K27">
        <v>-5.9859999999999998</v>
      </c>
      <c r="L27">
        <v>27.645</v>
      </c>
      <c r="M27">
        <v>77.340999999999994</v>
      </c>
      <c r="N27">
        <v>-0.89800000000000002</v>
      </c>
      <c r="O27">
        <v>-0.70899999999999996</v>
      </c>
      <c r="P27">
        <v>5.2770000000000001</v>
      </c>
      <c r="Q27">
        <v>19.088442756375471</v>
      </c>
      <c r="R27">
        <v>2.7976487610779519</v>
      </c>
      <c r="S27">
        <v>0.94379999999999986</v>
      </c>
      <c r="T27">
        <v>4.0897999999999994</v>
      </c>
      <c r="U27">
        <v>-5.7486999999999986</v>
      </c>
      <c r="V27">
        <v>-0.37449999999999989</v>
      </c>
      <c r="W27">
        <v>5.6332787500000006</v>
      </c>
      <c r="X27">
        <v>3.776732310006178</v>
      </c>
      <c r="Y27">
        <v>43.259912562925138</v>
      </c>
      <c r="Z27">
        <v>11.45432321171165</v>
      </c>
      <c r="AA27">
        <v>0.744892</v>
      </c>
      <c r="AB27">
        <v>-0.66564199999999996</v>
      </c>
      <c r="AC27">
        <v>-0.25694699999999998</v>
      </c>
      <c r="AD27">
        <v>-0.22369800000000001</v>
      </c>
      <c r="AE27">
        <v>8.6235000000000006E-2</v>
      </c>
      <c r="AF27">
        <v>-0.28466999999999998</v>
      </c>
      <c r="AG27">
        <v>0</v>
      </c>
      <c r="AH27">
        <v>1</v>
      </c>
      <c r="AI27">
        <v>0</v>
      </c>
      <c r="AJ27">
        <v>0</v>
      </c>
      <c r="AK27">
        <v>0</v>
      </c>
    </row>
    <row r="28" spans="1:37" x14ac:dyDescent="0.3">
      <c r="A28">
        <v>213</v>
      </c>
      <c r="B28">
        <v>2025</v>
      </c>
      <c r="C28" t="s">
        <v>69</v>
      </c>
      <c r="D28">
        <v>5.6666666666666679</v>
      </c>
      <c r="E28">
        <v>14358.85</v>
      </c>
      <c r="F28">
        <v>31311.01</v>
      </c>
      <c r="G28">
        <v>683.37099999999998</v>
      </c>
      <c r="H28">
        <v>1490.164</v>
      </c>
      <c r="I28">
        <v>4.4649999999999999</v>
      </c>
      <c r="J28">
        <v>28</v>
      </c>
      <c r="K28">
        <v>0.38800000000000001</v>
      </c>
      <c r="L28">
        <v>32.180999999999997</v>
      </c>
      <c r="M28">
        <v>78.840999999999994</v>
      </c>
      <c r="N28">
        <v>-1.1830000000000001</v>
      </c>
      <c r="O28">
        <v>1.77</v>
      </c>
      <c r="P28">
        <v>1.3819999999999999</v>
      </c>
      <c r="Q28">
        <v>4.294459463658681</v>
      </c>
      <c r="R28">
        <v>2.449923868120941</v>
      </c>
      <c r="S28">
        <v>2.3256000000000001</v>
      </c>
      <c r="T28">
        <v>57.15740000000001</v>
      </c>
      <c r="U28">
        <v>-1.8345</v>
      </c>
      <c r="V28">
        <v>-0.27339999999999998</v>
      </c>
      <c r="W28">
        <v>6.1877734999999996</v>
      </c>
      <c r="X28">
        <v>6.9794272724091773</v>
      </c>
      <c r="Y28">
        <v>37.907081605695083</v>
      </c>
      <c r="Z28">
        <v>5.4312596329426626</v>
      </c>
      <c r="AA28">
        <v>0.53392200000000001</v>
      </c>
      <c r="AB28">
        <v>-0.12751799999999999</v>
      </c>
      <c r="AC28">
        <v>-0.37751699999999999</v>
      </c>
      <c r="AD28">
        <v>-0.48253499999999999</v>
      </c>
      <c r="AE28">
        <v>-0.410827</v>
      </c>
      <c r="AF28">
        <v>-0.36088399999999998</v>
      </c>
      <c r="AG28">
        <v>0</v>
      </c>
      <c r="AH28">
        <v>1</v>
      </c>
      <c r="AI28">
        <v>1</v>
      </c>
      <c r="AJ28">
        <v>1</v>
      </c>
      <c r="AK28">
        <v>0.44664771992900421</v>
      </c>
    </row>
    <row r="29" spans="1:37" x14ac:dyDescent="0.3">
      <c r="A29">
        <v>218</v>
      </c>
      <c r="B29">
        <v>2025</v>
      </c>
      <c r="C29" t="s">
        <v>73</v>
      </c>
      <c r="D29">
        <v>3.6666666666666679</v>
      </c>
      <c r="E29">
        <v>4585.1840000000002</v>
      </c>
      <c r="F29">
        <v>11439.02</v>
      </c>
      <c r="G29">
        <v>57.085999999999999</v>
      </c>
      <c r="H29">
        <v>142.416</v>
      </c>
      <c r="I29">
        <v>0.6</v>
      </c>
      <c r="J29">
        <v>26.172000000000001</v>
      </c>
      <c r="K29">
        <v>-13.117000000000001</v>
      </c>
      <c r="L29">
        <v>25.073</v>
      </c>
      <c r="M29">
        <v>93.706000000000003</v>
      </c>
      <c r="N29">
        <v>-3.3530000000000002</v>
      </c>
      <c r="O29">
        <v>-9.9339999999999993</v>
      </c>
      <c r="P29">
        <v>3.183000000000002</v>
      </c>
      <c r="Q29">
        <v>12.694930802058</v>
      </c>
      <c r="R29">
        <v>3.737327005144977</v>
      </c>
      <c r="S29">
        <v>0.89857142857142858</v>
      </c>
      <c r="T29">
        <v>8.5318571428571435</v>
      </c>
      <c r="U29">
        <v>-11.042</v>
      </c>
      <c r="V29">
        <v>-0.77514285714285713</v>
      </c>
      <c r="W29">
        <v>2.7036999999999999E-2</v>
      </c>
      <c r="X29">
        <v>905.14300000000003</v>
      </c>
      <c r="Y29">
        <v>31.36758386470752</v>
      </c>
      <c r="Z29">
        <v>3.4654837815359017E-2</v>
      </c>
      <c r="AA29">
        <v>-0.26519100000000001</v>
      </c>
      <c r="AB29">
        <v>-0.31318400000000002</v>
      </c>
      <c r="AC29">
        <v>-0.63948099999999997</v>
      </c>
      <c r="AD29">
        <v>-1.177119</v>
      </c>
      <c r="AE29">
        <v>-1.219338</v>
      </c>
      <c r="AF29">
        <v>-0.83830099999999996</v>
      </c>
      <c r="AG29">
        <v>0</v>
      </c>
      <c r="AH29">
        <v>1</v>
      </c>
      <c r="AI29">
        <v>0</v>
      </c>
      <c r="AJ29">
        <v>0</v>
      </c>
      <c r="AK29">
        <v>0</v>
      </c>
    </row>
    <row r="30" spans="1:37" x14ac:dyDescent="0.3">
      <c r="A30">
        <v>223</v>
      </c>
      <c r="B30">
        <v>2025</v>
      </c>
      <c r="C30" t="s">
        <v>75</v>
      </c>
      <c r="D30">
        <v>11.33333333333333</v>
      </c>
      <c r="E30">
        <v>10577.86</v>
      </c>
      <c r="F30">
        <v>23309.63</v>
      </c>
      <c r="G30">
        <v>2256.91</v>
      </c>
      <c r="H30">
        <v>4973.3850000000002</v>
      </c>
      <c r="I30">
        <v>2.4</v>
      </c>
      <c r="J30">
        <v>4.9119999999999999</v>
      </c>
      <c r="K30">
        <v>-8.4039999999999999</v>
      </c>
      <c r="L30">
        <v>39.585000000000001</v>
      </c>
      <c r="M30">
        <v>91.424000000000007</v>
      </c>
      <c r="N30">
        <v>-2.5070000000000001</v>
      </c>
      <c r="O30">
        <v>-0.61</v>
      </c>
      <c r="P30">
        <v>7.7939999999999996</v>
      </c>
      <c r="Q30">
        <v>19.689276241000378</v>
      </c>
      <c r="R30">
        <v>2.3095617026651509</v>
      </c>
      <c r="S30">
        <v>2.2458</v>
      </c>
      <c r="T30">
        <v>4.726</v>
      </c>
      <c r="U30">
        <v>-6.4013999999999998</v>
      </c>
      <c r="V30">
        <v>-2.1118999999999999</v>
      </c>
      <c r="W30">
        <v>12.81237</v>
      </c>
      <c r="X30">
        <v>2.0663439029580761</v>
      </c>
      <c r="Y30">
        <v>28.255806592750641</v>
      </c>
      <c r="Z30">
        <v>13.67430007768843</v>
      </c>
      <c r="AA30">
        <v>0.38285400000000003</v>
      </c>
      <c r="AB30">
        <v>-0.40856799999999999</v>
      </c>
      <c r="AC30">
        <v>-0.54676400000000003</v>
      </c>
      <c r="AD30">
        <v>-0.29647800000000002</v>
      </c>
      <c r="AE30">
        <v>-0.30880299999999999</v>
      </c>
      <c r="AF30">
        <v>-0.50364299999999995</v>
      </c>
      <c r="AG30">
        <v>0</v>
      </c>
      <c r="AH30">
        <v>1</v>
      </c>
      <c r="AI30">
        <v>0</v>
      </c>
      <c r="AJ30">
        <v>0</v>
      </c>
      <c r="AK30">
        <v>0</v>
      </c>
    </row>
    <row r="31" spans="1:37" x14ac:dyDescent="0.3">
      <c r="A31">
        <v>228</v>
      </c>
      <c r="B31">
        <v>2025</v>
      </c>
      <c r="C31" t="s">
        <v>76</v>
      </c>
      <c r="D31">
        <v>16.666666666666671</v>
      </c>
      <c r="E31">
        <v>17180.939999999999</v>
      </c>
      <c r="F31">
        <v>35286.47</v>
      </c>
      <c r="G31">
        <v>347.17399999999998</v>
      </c>
      <c r="H31">
        <v>713.03200000000004</v>
      </c>
      <c r="I31">
        <v>2.5150000000000001</v>
      </c>
      <c r="J31">
        <v>3.7</v>
      </c>
      <c r="K31">
        <v>-2.0550000000000002</v>
      </c>
      <c r="L31">
        <v>24.722999999999999</v>
      </c>
      <c r="M31">
        <v>42.737000000000002</v>
      </c>
      <c r="N31">
        <v>-2.516</v>
      </c>
      <c r="O31">
        <v>-1.2869999999999999</v>
      </c>
      <c r="P31">
        <v>0.76800000000000024</v>
      </c>
      <c r="Q31">
        <v>3.1064191238927328</v>
      </c>
      <c r="R31">
        <v>1.728633256481819</v>
      </c>
      <c r="S31">
        <v>2.192699999999999</v>
      </c>
      <c r="T31">
        <v>4.7098000000000004</v>
      </c>
      <c r="U31">
        <v>-2.4748000000000001</v>
      </c>
      <c r="V31">
        <v>-3.482499999999999</v>
      </c>
      <c r="W31">
        <v>6.9003662499999994</v>
      </c>
      <c r="X31">
        <v>6.1342687330215089</v>
      </c>
      <c r="Y31">
        <v>79.926004964049312</v>
      </c>
      <c r="Z31">
        <v>13.029426724296901</v>
      </c>
      <c r="AA31">
        <v>1.017949</v>
      </c>
      <c r="AB31">
        <v>0.13616</v>
      </c>
      <c r="AC31">
        <v>0.71755599999999997</v>
      </c>
      <c r="AD31">
        <v>0.925732</v>
      </c>
      <c r="AE31">
        <v>0.62509400000000004</v>
      </c>
      <c r="AF31">
        <v>0.96860400000000002</v>
      </c>
      <c r="AG31">
        <v>0</v>
      </c>
      <c r="AH31">
        <v>1</v>
      </c>
      <c r="AI31">
        <v>0</v>
      </c>
      <c r="AJ31">
        <v>0</v>
      </c>
      <c r="AK31">
        <v>0</v>
      </c>
    </row>
    <row r="32" spans="1:37" x14ac:dyDescent="0.3">
      <c r="A32">
        <v>233</v>
      </c>
      <c r="B32">
        <v>2025</v>
      </c>
      <c r="C32" t="s">
        <v>78</v>
      </c>
      <c r="D32">
        <v>12</v>
      </c>
      <c r="E32">
        <v>8249.2199999999993</v>
      </c>
      <c r="F32">
        <v>22396</v>
      </c>
      <c r="G32">
        <v>438.12099999999998</v>
      </c>
      <c r="H32">
        <v>1189.4649999999999</v>
      </c>
      <c r="I32">
        <v>2.5230000000000001</v>
      </c>
      <c r="J32">
        <v>4.4349999999999996</v>
      </c>
      <c r="K32">
        <v>-6.907</v>
      </c>
      <c r="L32">
        <v>27.547999999999998</v>
      </c>
      <c r="M32">
        <v>58.866999999999997</v>
      </c>
      <c r="N32">
        <v>-2.2970000000000002</v>
      </c>
      <c r="O32">
        <v>-2.5680000000000001</v>
      </c>
      <c r="P32">
        <v>4.3390000000000004</v>
      </c>
      <c r="Q32">
        <v>15.75068970524176</v>
      </c>
      <c r="R32">
        <v>2.136888340351387</v>
      </c>
      <c r="S32">
        <v>2.6107999999999998</v>
      </c>
      <c r="T32">
        <v>5.1684999999999999</v>
      </c>
      <c r="U32">
        <v>-5.1627999999999989</v>
      </c>
      <c r="V32">
        <v>-3.3165</v>
      </c>
      <c r="W32">
        <v>11.571999999999999</v>
      </c>
      <c r="X32">
        <v>4.217191645447909</v>
      </c>
      <c r="Y32">
        <v>50.898234348539937</v>
      </c>
      <c r="Z32">
        <v>12.069224884166729</v>
      </c>
      <c r="AA32">
        <v>0.20521400000000001</v>
      </c>
      <c r="AB32">
        <v>-0.71731299999999998</v>
      </c>
      <c r="AC32">
        <v>-7.5878000000000001E-2</v>
      </c>
      <c r="AD32">
        <v>0.101034</v>
      </c>
      <c r="AE32">
        <v>-0.45827299999999999</v>
      </c>
      <c r="AF32">
        <v>-0.30919099999999999</v>
      </c>
      <c r="AG32">
        <v>0</v>
      </c>
      <c r="AH32">
        <v>1</v>
      </c>
      <c r="AI32">
        <v>0</v>
      </c>
      <c r="AJ32">
        <v>0</v>
      </c>
      <c r="AK32">
        <v>0</v>
      </c>
    </row>
    <row r="33" spans="1:37" x14ac:dyDescent="0.3">
      <c r="A33">
        <v>238</v>
      </c>
      <c r="B33">
        <v>2025</v>
      </c>
      <c r="C33" t="s">
        <v>80</v>
      </c>
      <c r="D33">
        <v>10.66666666666667</v>
      </c>
      <c r="E33">
        <v>19104.05</v>
      </c>
      <c r="F33">
        <v>31485.040000000001</v>
      </c>
      <c r="G33">
        <v>102.637</v>
      </c>
      <c r="H33">
        <v>169.154</v>
      </c>
      <c r="I33">
        <v>3.593</v>
      </c>
      <c r="J33">
        <v>0.14699999999999999</v>
      </c>
      <c r="K33">
        <v>-3.198</v>
      </c>
      <c r="L33">
        <v>14.736000000000001</v>
      </c>
      <c r="M33">
        <v>59.655000000000001</v>
      </c>
      <c r="N33">
        <v>-1.891</v>
      </c>
      <c r="O33">
        <v>1.286</v>
      </c>
      <c r="P33">
        <v>4.484</v>
      </c>
      <c r="Q33">
        <v>30.428881650380021</v>
      </c>
      <c r="R33">
        <v>4.0482491856677516</v>
      </c>
      <c r="S33">
        <v>3.5186999999999999</v>
      </c>
      <c r="T33">
        <v>2.3104</v>
      </c>
      <c r="U33">
        <v>-3.7057000000000002</v>
      </c>
      <c r="V33">
        <v>-1.9711000000000001</v>
      </c>
      <c r="W33">
        <v>6.79</v>
      </c>
      <c r="X33">
        <v>2.8323181655320671</v>
      </c>
      <c r="Y33">
        <v>38.943188759926691</v>
      </c>
      <c r="Z33">
        <v>13.74958125603484</v>
      </c>
      <c r="AA33">
        <v>1.069906</v>
      </c>
      <c r="AB33">
        <v>0.98418700000000003</v>
      </c>
      <c r="AC33">
        <v>0.26019599999999998</v>
      </c>
      <c r="AD33">
        <v>0.54354800000000003</v>
      </c>
      <c r="AE33">
        <v>0.38931700000000002</v>
      </c>
      <c r="AF33">
        <v>0.65374900000000002</v>
      </c>
      <c r="AG33">
        <v>0</v>
      </c>
      <c r="AH33">
        <v>1</v>
      </c>
      <c r="AI33">
        <v>0</v>
      </c>
      <c r="AJ33">
        <v>0</v>
      </c>
      <c r="AK33">
        <v>0</v>
      </c>
    </row>
    <row r="34" spans="1:37" x14ac:dyDescent="0.3">
      <c r="A34">
        <v>243</v>
      </c>
      <c r="B34">
        <v>2025</v>
      </c>
      <c r="C34" t="s">
        <v>81</v>
      </c>
      <c r="D34">
        <v>10.66666666666667</v>
      </c>
      <c r="E34">
        <v>11919.42</v>
      </c>
      <c r="F34">
        <v>30537.61</v>
      </c>
      <c r="G34">
        <v>129.74799999999999</v>
      </c>
      <c r="H34">
        <v>332.41500000000002</v>
      </c>
      <c r="I34">
        <v>2.9620000000000002</v>
      </c>
      <c r="J34">
        <v>3.7440000000000002</v>
      </c>
      <c r="K34">
        <v>-3.4140000000000001</v>
      </c>
      <c r="L34">
        <v>15.997</v>
      </c>
      <c r="M34">
        <v>59.956000000000003</v>
      </c>
      <c r="N34">
        <v>-2.4929999999999999</v>
      </c>
      <c r="O34">
        <v>0.224</v>
      </c>
      <c r="P34">
        <v>3.6379999999999999</v>
      </c>
      <c r="Q34">
        <v>22.74176408076514</v>
      </c>
      <c r="R34">
        <v>3.7479527411389642</v>
      </c>
      <c r="S34">
        <v>4.0871000000000013</v>
      </c>
      <c r="T34">
        <v>4.8450000000000006</v>
      </c>
      <c r="U34">
        <v>-3.5015000000000009</v>
      </c>
      <c r="V34">
        <v>-2.9986000000000002</v>
      </c>
      <c r="W34">
        <v>5.2973179999999997</v>
      </c>
      <c r="X34">
        <v>3.836880232681545</v>
      </c>
      <c r="Y34">
        <v>40.062404103962933</v>
      </c>
      <c r="Z34">
        <v>10.4414007408211</v>
      </c>
      <c r="AA34">
        <v>0.32588699999999998</v>
      </c>
      <c r="AB34">
        <v>0.239014</v>
      </c>
      <c r="AC34">
        <v>0.12803400000000001</v>
      </c>
      <c r="AD34">
        <v>0.17118700000000001</v>
      </c>
      <c r="AE34">
        <v>-0.12859200000000001</v>
      </c>
      <c r="AF34">
        <v>-0.44947500000000001</v>
      </c>
      <c r="AG34">
        <v>0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>
        <v>248</v>
      </c>
      <c r="B35">
        <v>2025</v>
      </c>
      <c r="C35" t="s">
        <v>83</v>
      </c>
      <c r="D35">
        <v>5.6666666666666679</v>
      </c>
      <c r="E35">
        <v>7210.11</v>
      </c>
      <c r="F35">
        <v>16805.02</v>
      </c>
      <c r="G35">
        <v>130.529</v>
      </c>
      <c r="H35">
        <v>304.23200000000003</v>
      </c>
      <c r="I35">
        <v>3.24</v>
      </c>
      <c r="J35">
        <v>3.5739999999999998</v>
      </c>
      <c r="K35">
        <v>-1.276</v>
      </c>
      <c r="L35">
        <v>36.795999999999999</v>
      </c>
      <c r="M35">
        <v>53.753999999999998</v>
      </c>
      <c r="N35">
        <v>4.9080000000000004</v>
      </c>
      <c r="O35">
        <v>-0.17499999999999999</v>
      </c>
      <c r="P35">
        <v>1.101</v>
      </c>
      <c r="Q35">
        <v>2.9921730622893792</v>
      </c>
      <c r="R35">
        <v>1.4608653114468959</v>
      </c>
      <c r="S35">
        <v>1.9072</v>
      </c>
      <c r="T35">
        <v>1.6482000000000001</v>
      </c>
      <c r="U35">
        <v>-6.3799999999999857E-2</v>
      </c>
      <c r="V35">
        <v>3.1652999999999998</v>
      </c>
      <c r="W35">
        <v>2.1628780000000001</v>
      </c>
      <c r="X35">
        <v>10.752153987167739</v>
      </c>
      <c r="Y35">
        <v>46.575135787567888</v>
      </c>
      <c r="Z35">
        <v>4.3317028237461486</v>
      </c>
      <c r="AA35">
        <v>-6.1911000000000001E-2</v>
      </c>
      <c r="AB35">
        <v>-0.33814</v>
      </c>
      <c r="AC35">
        <v>-0.49424499999999999</v>
      </c>
      <c r="AD35">
        <v>-0.71820099999999998</v>
      </c>
      <c r="AE35">
        <v>-0.95779099999999995</v>
      </c>
      <c r="AF35">
        <v>-0.64733700000000005</v>
      </c>
      <c r="AG35">
        <v>0</v>
      </c>
      <c r="AH35">
        <v>1</v>
      </c>
      <c r="AI35">
        <v>1</v>
      </c>
      <c r="AJ35">
        <v>1</v>
      </c>
      <c r="AK35">
        <v>0.44664771992900421</v>
      </c>
    </row>
    <row r="36" spans="1:37" x14ac:dyDescent="0.3">
      <c r="A36">
        <v>253</v>
      </c>
      <c r="B36">
        <v>2025</v>
      </c>
      <c r="C36" t="s">
        <v>84</v>
      </c>
      <c r="D36">
        <v>7</v>
      </c>
      <c r="E36">
        <v>5743.6859999999997</v>
      </c>
      <c r="F36">
        <v>13876.77</v>
      </c>
      <c r="G36">
        <v>36.587000000000003</v>
      </c>
      <c r="H36">
        <v>88.394000000000005</v>
      </c>
      <c r="I36">
        <v>2.5</v>
      </c>
      <c r="J36">
        <v>0.7</v>
      </c>
      <c r="K36">
        <v>-2.7559999999999998</v>
      </c>
      <c r="L36">
        <v>27.742999999999999</v>
      </c>
      <c r="M36">
        <v>87.622</v>
      </c>
      <c r="N36">
        <v>-0.79700000000000004</v>
      </c>
      <c r="O36">
        <v>2.0499999999999998</v>
      </c>
      <c r="P36">
        <v>4.8059999999999992</v>
      </c>
      <c r="Q36">
        <v>17.32328875752442</v>
      </c>
      <c r="R36">
        <v>3.1583462495043801</v>
      </c>
      <c r="S36">
        <v>2.7010000000000001</v>
      </c>
      <c r="T36">
        <v>2.2164999999999999</v>
      </c>
      <c r="U36">
        <v>-3.609</v>
      </c>
      <c r="V36">
        <v>-1.9609000000000001</v>
      </c>
      <c r="W36">
        <v>3.2521529999999998</v>
      </c>
      <c r="X36">
        <v>5.7968732590529246</v>
      </c>
      <c r="Y36">
        <v>68.550452923414767</v>
      </c>
      <c r="Z36">
        <v>11.825418611034859</v>
      </c>
      <c r="AA36">
        <v>-0.474437</v>
      </c>
      <c r="AB36">
        <v>2.3319999999999999E-3</v>
      </c>
      <c r="AC36">
        <v>5.0438999999999998E-2</v>
      </c>
      <c r="AD36">
        <v>-0.30790499999999998</v>
      </c>
      <c r="AE36">
        <v>-0.36935699999999999</v>
      </c>
      <c r="AF36">
        <v>-0.56131500000000001</v>
      </c>
      <c r="AG36">
        <v>0</v>
      </c>
      <c r="AH36">
        <v>1</v>
      </c>
      <c r="AI36">
        <v>1</v>
      </c>
      <c r="AJ36">
        <v>1</v>
      </c>
      <c r="AK36">
        <v>0.61656529091383006</v>
      </c>
    </row>
    <row r="37" spans="1:37" x14ac:dyDescent="0.3">
      <c r="A37">
        <v>258</v>
      </c>
      <c r="B37">
        <v>2025</v>
      </c>
      <c r="C37" t="s">
        <v>86</v>
      </c>
      <c r="D37">
        <v>12</v>
      </c>
      <c r="E37">
        <v>6478.1850000000004</v>
      </c>
      <c r="F37">
        <v>15100.09</v>
      </c>
      <c r="G37">
        <v>120.85</v>
      </c>
      <c r="H37">
        <v>281.69</v>
      </c>
      <c r="I37">
        <v>3.83</v>
      </c>
      <c r="J37">
        <v>2.1859999999999999</v>
      </c>
      <c r="K37">
        <v>-2.6070000000000002</v>
      </c>
      <c r="L37">
        <v>12.401</v>
      </c>
      <c r="M37">
        <v>26.975000000000001</v>
      </c>
      <c r="N37">
        <v>3.9</v>
      </c>
      <c r="O37">
        <v>-0.92600000000000005</v>
      </c>
      <c r="P37">
        <v>1.681</v>
      </c>
      <c r="Q37">
        <v>13.555358438835579</v>
      </c>
      <c r="R37">
        <v>2.1752278042093378</v>
      </c>
      <c r="S37">
        <v>3.6065999999999989</v>
      </c>
      <c r="T37">
        <v>4.1360000000000001</v>
      </c>
      <c r="U37">
        <v>-2.3738999999999999</v>
      </c>
      <c r="V37">
        <v>2.3149000000000002</v>
      </c>
      <c r="W37">
        <v>9.1394289999999998</v>
      </c>
      <c r="X37">
        <v>1.1598337233649469</v>
      </c>
      <c r="Y37">
        <v>23.615523510971791</v>
      </c>
      <c r="Z37">
        <v>20.361128526645771</v>
      </c>
      <c r="AA37">
        <v>-0.53369900000000003</v>
      </c>
      <c r="AB37">
        <v>-0.244365</v>
      </c>
      <c r="AC37">
        <v>-0.89716700000000005</v>
      </c>
      <c r="AD37">
        <v>-0.29035499999999997</v>
      </c>
      <c r="AE37">
        <v>-1.075277</v>
      </c>
      <c r="AF37">
        <v>-1.121613</v>
      </c>
      <c r="AG37">
        <v>0</v>
      </c>
      <c r="AH37">
        <v>1</v>
      </c>
      <c r="AI37">
        <v>0</v>
      </c>
      <c r="AJ37">
        <v>0</v>
      </c>
      <c r="AK37">
        <v>0</v>
      </c>
    </row>
    <row r="38" spans="1:37" x14ac:dyDescent="0.3">
      <c r="A38">
        <v>268</v>
      </c>
      <c r="B38">
        <v>2025</v>
      </c>
      <c r="C38" t="s">
        <v>87</v>
      </c>
      <c r="D38">
        <v>9.5</v>
      </c>
      <c r="E38">
        <v>3636.6210000000001</v>
      </c>
      <c r="F38">
        <v>7955.75</v>
      </c>
      <c r="G38">
        <v>39.445</v>
      </c>
      <c r="H38">
        <v>86.292000000000002</v>
      </c>
      <c r="I38">
        <v>3.8</v>
      </c>
      <c r="J38">
        <v>4.9400000000000004</v>
      </c>
      <c r="K38">
        <v>-1.607</v>
      </c>
      <c r="L38">
        <v>24.26</v>
      </c>
      <c r="M38">
        <v>45.091000000000001</v>
      </c>
      <c r="N38">
        <v>-0.41199999999999998</v>
      </c>
      <c r="O38">
        <v>-0.98799999999999999</v>
      </c>
      <c r="P38">
        <v>0.61899999999999999</v>
      </c>
      <c r="Q38">
        <v>2.5515251442704039</v>
      </c>
      <c r="R38">
        <v>1.858656224237428</v>
      </c>
      <c r="S38">
        <v>3.3374000000000001</v>
      </c>
      <c r="T38">
        <v>4.9111999999999991</v>
      </c>
      <c r="U38">
        <v>-1.6651</v>
      </c>
      <c r="V38">
        <v>-3.0981999999999998</v>
      </c>
      <c r="W38">
        <v>6.4000019999999997</v>
      </c>
      <c r="X38">
        <v>1.9527700304259641</v>
      </c>
      <c r="Y38">
        <v>40.224186556640731</v>
      </c>
      <c r="Z38">
        <v>20.59852718441531</v>
      </c>
      <c r="AA38">
        <v>-0.45370199999999999</v>
      </c>
      <c r="AB38">
        <v>-0.45921699999999999</v>
      </c>
      <c r="AC38">
        <v>-0.79522300000000001</v>
      </c>
      <c r="AD38">
        <v>-0.55088700000000002</v>
      </c>
      <c r="AE38">
        <v>-1.095008</v>
      </c>
      <c r="AF38">
        <v>-1.111958</v>
      </c>
      <c r="AG38">
        <v>0</v>
      </c>
      <c r="AH38">
        <v>1</v>
      </c>
      <c r="AI38">
        <v>0</v>
      </c>
      <c r="AJ38">
        <v>0</v>
      </c>
      <c r="AK38">
        <v>0</v>
      </c>
    </row>
    <row r="39" spans="1:37" x14ac:dyDescent="0.3">
      <c r="A39">
        <v>273</v>
      </c>
      <c r="B39">
        <v>2025</v>
      </c>
      <c r="C39" t="s">
        <v>89</v>
      </c>
      <c r="D39">
        <v>13.66666666666667</v>
      </c>
      <c r="E39">
        <v>13966.98</v>
      </c>
      <c r="F39">
        <v>25770.39</v>
      </c>
      <c r="G39">
        <v>1862.74</v>
      </c>
      <c r="H39">
        <v>3436.93</v>
      </c>
      <c r="I39">
        <v>0.99</v>
      </c>
      <c r="J39">
        <v>3.7069999999999999</v>
      </c>
      <c r="K39">
        <v>-4.3230000000000004</v>
      </c>
      <c r="L39">
        <v>24.207000000000001</v>
      </c>
      <c r="M39">
        <v>58.854999999999997</v>
      </c>
      <c r="N39">
        <v>-0.249</v>
      </c>
      <c r="O39">
        <v>1.49</v>
      </c>
      <c r="P39">
        <v>5.8130000000000006</v>
      </c>
      <c r="Q39">
        <v>24.013715041103811</v>
      </c>
      <c r="R39">
        <v>2.4313215185690091</v>
      </c>
      <c r="S39">
        <v>1.4985999999999999</v>
      </c>
      <c r="T39">
        <v>4.2901999999999996</v>
      </c>
      <c r="U39">
        <v>-4.0340999999999996</v>
      </c>
      <c r="V39">
        <v>-0.308</v>
      </c>
      <c r="W39">
        <v>3.9452400000000001</v>
      </c>
      <c r="X39">
        <v>2.9394198976855148</v>
      </c>
      <c r="Y39">
        <v>33.268209925319063</v>
      </c>
      <c r="Z39">
        <v>11.31795084857195</v>
      </c>
      <c r="AA39">
        <v>-0.11508599999999999</v>
      </c>
      <c r="AB39">
        <v>-0.63076100000000002</v>
      </c>
      <c r="AC39">
        <v>-0.19836100000000001</v>
      </c>
      <c r="AD39">
        <v>-0.171988</v>
      </c>
      <c r="AE39">
        <v>-0.80639400000000006</v>
      </c>
      <c r="AF39">
        <v>-1.0205789999999999</v>
      </c>
      <c r="AG39">
        <v>0</v>
      </c>
      <c r="AH39">
        <v>1</v>
      </c>
      <c r="AI39">
        <v>0</v>
      </c>
      <c r="AJ39">
        <v>0</v>
      </c>
      <c r="AK39">
        <v>0</v>
      </c>
    </row>
    <row r="40" spans="1:37" x14ac:dyDescent="0.3">
      <c r="A40">
        <v>278</v>
      </c>
      <c r="B40">
        <v>2025</v>
      </c>
      <c r="C40" t="s">
        <v>90</v>
      </c>
      <c r="D40">
        <v>8.3333333333333339</v>
      </c>
      <c r="E40">
        <v>2952.674</v>
      </c>
      <c r="F40">
        <v>9081.75</v>
      </c>
      <c r="G40">
        <v>20.689</v>
      </c>
      <c r="H40">
        <v>63.636000000000003</v>
      </c>
      <c r="I40">
        <v>2.9940000000000002</v>
      </c>
      <c r="J40">
        <v>2</v>
      </c>
      <c r="K40">
        <v>2.048</v>
      </c>
      <c r="L40">
        <v>29.603000000000002</v>
      </c>
      <c r="M40">
        <v>39.277999999999999</v>
      </c>
      <c r="N40">
        <v>7.0750000000000002</v>
      </c>
      <c r="O40">
        <v>4.048</v>
      </c>
      <c r="P40">
        <v>2</v>
      </c>
      <c r="Q40">
        <v>6.7560720197277293</v>
      </c>
      <c r="R40">
        <v>1.3268249839543289</v>
      </c>
      <c r="S40">
        <v>3.5720000000000001</v>
      </c>
      <c r="T40">
        <v>4.2958000000000016</v>
      </c>
      <c r="U40">
        <v>1.1658999999999999</v>
      </c>
      <c r="V40">
        <v>1.7002999999999999</v>
      </c>
      <c r="W40">
        <v>6.9224009999999998</v>
      </c>
      <c r="X40">
        <v>2.4835180533751959</v>
      </c>
      <c r="Y40">
        <v>74.731966554867967</v>
      </c>
      <c r="Z40">
        <v>30.091171052010012</v>
      </c>
      <c r="AA40">
        <v>-1.387335</v>
      </c>
      <c r="AB40">
        <v>-0.12554999999999999</v>
      </c>
      <c r="AC40">
        <v>-1.084946</v>
      </c>
      <c r="AD40">
        <v>-0.87805900000000003</v>
      </c>
      <c r="AE40">
        <v>-1.278187</v>
      </c>
      <c r="AF40">
        <v>-1.3884399999999999</v>
      </c>
      <c r="AG40">
        <v>0</v>
      </c>
      <c r="AH40">
        <v>1</v>
      </c>
      <c r="AI40">
        <v>1</v>
      </c>
      <c r="AJ40">
        <v>1</v>
      </c>
      <c r="AK40">
        <v>6.4547795215999987E-2</v>
      </c>
    </row>
    <row r="41" spans="1:37" x14ac:dyDescent="0.3">
      <c r="A41">
        <v>283</v>
      </c>
      <c r="B41">
        <v>2025</v>
      </c>
      <c r="C41" t="s">
        <v>92</v>
      </c>
      <c r="D41">
        <v>12.66666666666667</v>
      </c>
      <c r="E41">
        <v>19802.150000000001</v>
      </c>
      <c r="F41">
        <v>43651.39</v>
      </c>
      <c r="G41">
        <v>90.408000000000001</v>
      </c>
      <c r="H41">
        <v>199.29300000000001</v>
      </c>
      <c r="I41">
        <v>4</v>
      </c>
      <c r="J41">
        <v>0.7</v>
      </c>
      <c r="K41">
        <v>-3.9889999999999999</v>
      </c>
      <c r="L41">
        <v>17.675000000000001</v>
      </c>
      <c r="M41">
        <v>59.597999999999999</v>
      </c>
      <c r="N41">
        <v>-0.90600000000000003</v>
      </c>
      <c r="O41">
        <v>-0.496</v>
      </c>
      <c r="P41">
        <v>3.4929999999999999</v>
      </c>
      <c r="Q41">
        <v>19.762376237623759</v>
      </c>
      <c r="R41">
        <v>3.3718811881188122</v>
      </c>
      <c r="S41">
        <v>3.9599000000000002</v>
      </c>
      <c r="T41">
        <v>1.3552</v>
      </c>
      <c r="U41">
        <v>-4.6931999999999992</v>
      </c>
      <c r="V41">
        <v>-1.2283999999999999</v>
      </c>
      <c r="W41">
        <v>3.4489749999999999</v>
      </c>
      <c r="X41">
        <v>21.27676615553122</v>
      </c>
      <c r="Y41">
        <v>172.2498088028286</v>
      </c>
      <c r="Z41">
        <v>8.0956761729530804</v>
      </c>
      <c r="AA41">
        <v>0.54754999999999998</v>
      </c>
      <c r="AB41">
        <v>0.21310200000000001</v>
      </c>
      <c r="AC41">
        <v>-0.20972099999999999</v>
      </c>
      <c r="AD41">
        <v>0.118783</v>
      </c>
      <c r="AE41">
        <v>-0.34598099999999998</v>
      </c>
      <c r="AF41">
        <v>-0.62809400000000004</v>
      </c>
      <c r="AG41">
        <v>0</v>
      </c>
      <c r="AH41">
        <v>1</v>
      </c>
      <c r="AI41">
        <v>0</v>
      </c>
      <c r="AJ41">
        <v>0</v>
      </c>
      <c r="AK41">
        <v>0</v>
      </c>
    </row>
    <row r="42" spans="1:37" x14ac:dyDescent="0.3">
      <c r="A42">
        <v>288</v>
      </c>
      <c r="B42">
        <v>2025</v>
      </c>
      <c r="C42" t="s">
        <v>93</v>
      </c>
      <c r="D42">
        <v>12.33333333333333</v>
      </c>
      <c r="E42">
        <v>6798.7560000000003</v>
      </c>
      <c r="F42">
        <v>19717.189999999999</v>
      </c>
      <c r="G42">
        <v>47.398000000000003</v>
      </c>
      <c r="H42">
        <v>137.459</v>
      </c>
      <c r="I42">
        <v>4.4000000000000004</v>
      </c>
      <c r="J42">
        <v>4</v>
      </c>
      <c r="K42">
        <v>-1.663</v>
      </c>
      <c r="L42">
        <v>18.635999999999999</v>
      </c>
      <c r="M42">
        <v>41.706000000000003</v>
      </c>
      <c r="N42">
        <v>-3.5339999999999998</v>
      </c>
      <c r="O42">
        <v>0.35199999999999998</v>
      </c>
      <c r="P42">
        <v>2.0150000000000001</v>
      </c>
      <c r="Q42">
        <v>10.812406095728701</v>
      </c>
      <c r="R42">
        <v>2.2379265936896329</v>
      </c>
      <c r="S42">
        <v>3.1221999999999999</v>
      </c>
      <c r="T42">
        <v>4.2511000000000001</v>
      </c>
      <c r="U42">
        <v>-2.4489000000000001</v>
      </c>
      <c r="V42">
        <v>-2.4157999999999999</v>
      </c>
      <c r="W42">
        <v>6.9097910000000002</v>
      </c>
      <c r="X42">
        <v>3.3262970735688469</v>
      </c>
      <c r="Y42">
        <v>63.261452836045947</v>
      </c>
      <c r="Z42">
        <v>19.01858175528848</v>
      </c>
      <c r="AA42">
        <v>4.2023999999999999E-2</v>
      </c>
      <c r="AB42">
        <v>8.2042000000000004E-2</v>
      </c>
      <c r="AC42">
        <v>-0.462065</v>
      </c>
      <c r="AD42">
        <v>-7.8938999999999995E-2</v>
      </c>
      <c r="AE42">
        <v>-0.582175</v>
      </c>
      <c r="AF42">
        <v>-1.057723</v>
      </c>
      <c r="AG42">
        <v>0</v>
      </c>
      <c r="AH42">
        <v>1</v>
      </c>
      <c r="AI42">
        <v>0</v>
      </c>
      <c r="AJ42">
        <v>0</v>
      </c>
      <c r="AK42">
        <v>0</v>
      </c>
    </row>
    <row r="43" spans="1:37" x14ac:dyDescent="0.3">
      <c r="A43">
        <v>293</v>
      </c>
      <c r="B43">
        <v>2025</v>
      </c>
      <c r="C43" t="s">
        <v>94</v>
      </c>
      <c r="D43">
        <v>14</v>
      </c>
      <c r="E43">
        <v>9255.7219999999998</v>
      </c>
      <c r="F43">
        <v>18980.189999999999</v>
      </c>
      <c r="G43">
        <v>318.48</v>
      </c>
      <c r="H43">
        <v>653.08900000000006</v>
      </c>
      <c r="I43">
        <v>2.93</v>
      </c>
      <c r="J43">
        <v>2.0419999999999998</v>
      </c>
      <c r="K43">
        <v>-2.4209999999999998</v>
      </c>
      <c r="L43">
        <v>19.399000000000001</v>
      </c>
      <c r="M43">
        <v>32.125999999999998</v>
      </c>
      <c r="N43">
        <v>1.762</v>
      </c>
      <c r="O43">
        <v>-0.878</v>
      </c>
      <c r="P43">
        <v>1.5429999999999999</v>
      </c>
      <c r="Q43">
        <v>7.9540182483633162</v>
      </c>
      <c r="R43">
        <v>1.6560647456054429</v>
      </c>
      <c r="S43">
        <v>2.1254</v>
      </c>
      <c r="T43">
        <v>3.2177000000000011</v>
      </c>
      <c r="U43">
        <v>-2.7576999999999998</v>
      </c>
      <c r="V43">
        <v>-8.3100000000000021E-2</v>
      </c>
      <c r="W43">
        <v>16.64472</v>
      </c>
      <c r="X43">
        <v>1.2542259059079051</v>
      </c>
      <c r="Y43">
        <v>32.851888300741848</v>
      </c>
      <c r="Z43">
        <v>26.19295945490866</v>
      </c>
      <c r="AA43">
        <v>6.0481E-2</v>
      </c>
      <c r="AB43">
        <v>-0.52178599999999997</v>
      </c>
      <c r="AC43">
        <v>-0.491873</v>
      </c>
      <c r="AD43">
        <v>0.29220499999999999</v>
      </c>
      <c r="AE43">
        <v>-0.53813299999999997</v>
      </c>
      <c r="AF43">
        <v>-0.72104100000000004</v>
      </c>
      <c r="AG43">
        <v>0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>
        <v>298</v>
      </c>
      <c r="B44">
        <v>2025</v>
      </c>
      <c r="C44" t="s">
        <v>96</v>
      </c>
      <c r="D44">
        <v>14.66666666666667</v>
      </c>
      <c r="E44">
        <v>24379.61</v>
      </c>
      <c r="F44">
        <v>37190.129999999997</v>
      </c>
      <c r="G44">
        <v>84.986000000000004</v>
      </c>
      <c r="H44">
        <v>129.642</v>
      </c>
      <c r="I44">
        <v>2.4710000000000001</v>
      </c>
      <c r="J44">
        <v>3.95</v>
      </c>
      <c r="K44">
        <v>-3.2919999999999998</v>
      </c>
      <c r="L44">
        <v>28.925000000000001</v>
      </c>
      <c r="M44">
        <v>66.611000000000004</v>
      </c>
      <c r="N44">
        <v>-1.371</v>
      </c>
      <c r="O44">
        <v>-0.98799999999999999</v>
      </c>
      <c r="P44">
        <v>2.3039999999999998</v>
      </c>
      <c r="Q44">
        <v>7.9654278305963686</v>
      </c>
      <c r="R44">
        <v>2.3028867761452032</v>
      </c>
      <c r="S44">
        <v>1.8492999999999999</v>
      </c>
      <c r="T44">
        <v>5.8213999999999997</v>
      </c>
      <c r="U44">
        <v>-3.1379000000000001</v>
      </c>
      <c r="V44">
        <v>-1.9220999999999999</v>
      </c>
      <c r="W44">
        <v>13.04701</v>
      </c>
      <c r="X44">
        <v>3.3406211630762361</v>
      </c>
      <c r="Y44">
        <v>69.757190471750889</v>
      </c>
      <c r="Z44">
        <v>20.881502890173412</v>
      </c>
      <c r="AA44">
        <v>1.2837940000000001</v>
      </c>
      <c r="AB44">
        <v>0.96488700000000005</v>
      </c>
      <c r="AC44">
        <v>0.85024999999999995</v>
      </c>
      <c r="AD44">
        <v>0.67511100000000002</v>
      </c>
      <c r="AE44">
        <v>0.71766300000000005</v>
      </c>
      <c r="AF44">
        <v>1.573947</v>
      </c>
      <c r="AG44">
        <v>0</v>
      </c>
      <c r="AH44">
        <v>1</v>
      </c>
      <c r="AI44">
        <v>1</v>
      </c>
      <c r="AJ44">
        <v>1</v>
      </c>
      <c r="AK44">
        <v>2.8830125559670679E-2</v>
      </c>
    </row>
    <row r="45" spans="1:37" x14ac:dyDescent="0.3">
      <c r="A45">
        <v>299</v>
      </c>
      <c r="B45">
        <v>2025</v>
      </c>
      <c r="C45" t="s">
        <v>97</v>
      </c>
      <c r="D45">
        <v>1</v>
      </c>
      <c r="E45">
        <v>3102.94</v>
      </c>
      <c r="F45">
        <v>8785.4500000000007</v>
      </c>
      <c r="G45">
        <v>82.766999999999996</v>
      </c>
      <c r="H45">
        <v>234.34</v>
      </c>
      <c r="I45">
        <v>0.5</v>
      </c>
      <c r="J45">
        <v>548.6</v>
      </c>
      <c r="K45">
        <v>-3.6</v>
      </c>
      <c r="L45">
        <v>13.983000000000001</v>
      </c>
      <c r="M45">
        <v>164.32400000000001</v>
      </c>
      <c r="N45">
        <v>4.25</v>
      </c>
      <c r="O45">
        <v>-2.9319999999999999</v>
      </c>
      <c r="P45">
        <v>0.66800000000000015</v>
      </c>
      <c r="Q45">
        <v>4.7772294929557324</v>
      </c>
      <c r="R45">
        <v>11.75169849102482</v>
      </c>
      <c r="S45">
        <v>-2.0344285714285708</v>
      </c>
      <c r="T45">
        <v>756.4000000000002</v>
      </c>
      <c r="U45">
        <v>-3.5875714285714291</v>
      </c>
      <c r="V45">
        <v>2.4745714285714291</v>
      </c>
      <c r="W45">
        <v>15.2543025</v>
      </c>
      <c r="X45">
        <v>12.889130563828131</v>
      </c>
      <c r="Y45">
        <v>50.540984945703869</v>
      </c>
      <c r="Z45">
        <v>3.9212097895525519</v>
      </c>
      <c r="AA45">
        <v>-1.5313209999999999</v>
      </c>
      <c r="AB45">
        <v>-1.189028</v>
      </c>
      <c r="AC45">
        <v>-1.5992010000000001</v>
      </c>
      <c r="AD45">
        <v>-2.0262479999999998</v>
      </c>
      <c r="AE45">
        <v>-2.1515339999999998</v>
      </c>
      <c r="AF45">
        <v>-1.690005</v>
      </c>
      <c r="AG45">
        <v>0</v>
      </c>
      <c r="AH45">
        <v>1</v>
      </c>
      <c r="AI45">
        <v>1</v>
      </c>
      <c r="AJ45">
        <v>1</v>
      </c>
      <c r="AK45">
        <v>0.27538748137402541</v>
      </c>
    </row>
    <row r="46" spans="1:37" x14ac:dyDescent="0.3">
      <c r="A46">
        <v>316</v>
      </c>
      <c r="B46">
        <v>2025</v>
      </c>
      <c r="C46" t="s">
        <v>99</v>
      </c>
      <c r="D46">
        <v>8.3333333333333339</v>
      </c>
      <c r="E46">
        <v>25926.58</v>
      </c>
      <c r="F46">
        <v>23183.919999999998</v>
      </c>
      <c r="G46">
        <v>7.5590000000000002</v>
      </c>
      <c r="H46">
        <v>6.76</v>
      </c>
      <c r="I46">
        <v>2.7</v>
      </c>
      <c r="J46">
        <v>3.343</v>
      </c>
      <c r="K46">
        <v>-0.34</v>
      </c>
      <c r="L46">
        <v>27.411999999999999</v>
      </c>
      <c r="M46">
        <v>99.778000000000006</v>
      </c>
      <c r="N46">
        <v>-6.282</v>
      </c>
      <c r="O46">
        <v>4.4260000000000002</v>
      </c>
      <c r="P46">
        <v>4.766</v>
      </c>
      <c r="Q46">
        <v>17.38654603823143</v>
      </c>
      <c r="R46">
        <v>3.639938712972421</v>
      </c>
      <c r="S46">
        <v>2.1417999999999999</v>
      </c>
      <c r="T46">
        <v>2.3081999999999998</v>
      </c>
      <c r="U46">
        <v>-1.252</v>
      </c>
      <c r="V46">
        <v>-6.645999999999999</v>
      </c>
      <c r="W46">
        <v>7.898066</v>
      </c>
      <c r="X46">
        <v>1.053984513274336</v>
      </c>
      <c r="Y46">
        <v>25.183084445619141</v>
      </c>
      <c r="Z46">
        <v>23.893220562970789</v>
      </c>
      <c r="AA46">
        <v>1.1621919999999999</v>
      </c>
      <c r="AB46">
        <v>1.1871290000000001</v>
      </c>
      <c r="AC46">
        <v>0.38044299999999998</v>
      </c>
      <c r="AD46">
        <v>0.503108</v>
      </c>
      <c r="AE46">
        <v>0.41419499999999998</v>
      </c>
      <c r="AF46">
        <v>1.3445860000000001</v>
      </c>
      <c r="AG46">
        <v>0</v>
      </c>
      <c r="AH46">
        <v>1</v>
      </c>
      <c r="AI46">
        <v>1</v>
      </c>
      <c r="AJ46">
        <v>1</v>
      </c>
      <c r="AK46">
        <v>0.32355727553541302</v>
      </c>
    </row>
    <row r="47" spans="1:37" x14ac:dyDescent="0.3">
      <c r="A47">
        <v>339</v>
      </c>
      <c r="B47">
        <v>2025</v>
      </c>
      <c r="C47" t="s">
        <v>100</v>
      </c>
      <c r="D47">
        <v>6.5</v>
      </c>
      <c r="E47">
        <v>7896.84</v>
      </c>
      <c r="F47">
        <v>14920.77</v>
      </c>
      <c r="G47">
        <v>3.2970000000000002</v>
      </c>
      <c r="H47">
        <v>6.2290000000000001</v>
      </c>
      <c r="I47">
        <v>1.4890000000000001</v>
      </c>
      <c r="J47">
        <v>1.4670000000000001</v>
      </c>
      <c r="K47">
        <v>-1.1299999999999999</v>
      </c>
      <c r="L47">
        <v>26.251000000000001</v>
      </c>
      <c r="M47">
        <v>64.715999999999994</v>
      </c>
      <c r="N47">
        <v>-1.7250000000000001</v>
      </c>
      <c r="O47">
        <v>1.3149999999999999</v>
      </c>
      <c r="P47">
        <v>2.4449999999999998</v>
      </c>
      <c r="Q47">
        <v>9.3139308978705557</v>
      </c>
      <c r="R47">
        <v>2.465277513237591</v>
      </c>
      <c r="S47">
        <v>2.7902999999999989</v>
      </c>
      <c r="T47">
        <v>2.4818000000000011</v>
      </c>
      <c r="U47">
        <v>-2.4318</v>
      </c>
      <c r="V47">
        <v>-3.1105</v>
      </c>
      <c r="W47">
        <v>4.0995039999999996</v>
      </c>
      <c r="X47">
        <v>3.4659581589958162</v>
      </c>
      <c r="Y47">
        <v>46.589651293588297</v>
      </c>
      <c r="Z47">
        <v>13.44206974128234</v>
      </c>
      <c r="AA47">
        <v>0.53900499999999996</v>
      </c>
      <c r="AB47">
        <v>0.58532600000000001</v>
      </c>
      <c r="AC47">
        <v>-0.37631199999999998</v>
      </c>
      <c r="AD47">
        <v>-0.43058299999999999</v>
      </c>
      <c r="AE47">
        <v>-0.63561199999999995</v>
      </c>
      <c r="AF47">
        <v>-0.22611400000000001</v>
      </c>
      <c r="AG47">
        <v>0</v>
      </c>
      <c r="AH47">
        <v>1</v>
      </c>
      <c r="AI47">
        <v>1</v>
      </c>
      <c r="AJ47">
        <v>1</v>
      </c>
      <c r="AK47">
        <v>0.52477374303029434</v>
      </c>
    </row>
    <row r="48" spans="1:37" x14ac:dyDescent="0.3">
      <c r="A48">
        <v>343</v>
      </c>
      <c r="B48">
        <v>2025</v>
      </c>
      <c r="C48" t="s">
        <v>101</v>
      </c>
      <c r="D48">
        <v>10</v>
      </c>
      <c r="E48">
        <v>8404.9120000000003</v>
      </c>
      <c r="F48">
        <v>13924.09</v>
      </c>
      <c r="G48">
        <v>23.137</v>
      </c>
      <c r="H48">
        <v>38.331000000000003</v>
      </c>
      <c r="I48">
        <v>2.1</v>
      </c>
      <c r="J48">
        <v>4.5</v>
      </c>
      <c r="K48">
        <v>7.0000000000000001E-3</v>
      </c>
      <c r="L48">
        <v>29.815999999999999</v>
      </c>
      <c r="M48">
        <v>59.228000000000002</v>
      </c>
      <c r="N48">
        <v>1.8440000000000001</v>
      </c>
      <c r="O48">
        <v>4.7649999999999997</v>
      </c>
      <c r="P48">
        <v>4.758</v>
      </c>
      <c r="Q48">
        <v>15.95787496646096</v>
      </c>
      <c r="R48">
        <v>1.9864502280654679</v>
      </c>
      <c r="S48">
        <v>1.4347000000000001</v>
      </c>
      <c r="T48">
        <v>5.8231000000000002</v>
      </c>
      <c r="U48">
        <v>-0.4284</v>
      </c>
      <c r="V48">
        <v>0.6835</v>
      </c>
      <c r="W48">
        <v>10.26629</v>
      </c>
      <c r="X48">
        <v>2.7702777298602719</v>
      </c>
      <c r="Y48">
        <v>76.461934009427225</v>
      </c>
      <c r="Z48">
        <v>27.600818930628961</v>
      </c>
      <c r="AA48">
        <v>0.56428599999999995</v>
      </c>
      <c r="AB48">
        <v>0.38483699999999998</v>
      </c>
      <c r="AC48">
        <v>0.40728999999999999</v>
      </c>
      <c r="AD48">
        <v>9.8032999999999995E-2</v>
      </c>
      <c r="AE48">
        <v>-0.17451700000000001</v>
      </c>
      <c r="AF48">
        <v>-0.112083</v>
      </c>
      <c r="AG48">
        <v>0</v>
      </c>
      <c r="AH48">
        <v>1</v>
      </c>
      <c r="AI48">
        <v>1</v>
      </c>
      <c r="AJ48">
        <v>1</v>
      </c>
      <c r="AK48">
        <v>0.14451611938433279</v>
      </c>
    </row>
    <row r="49" spans="1:37" x14ac:dyDescent="0.3">
      <c r="A49">
        <v>366</v>
      </c>
      <c r="B49">
        <v>2025</v>
      </c>
      <c r="C49" t="s">
        <v>102</v>
      </c>
      <c r="D49">
        <v>4.3333333333333321</v>
      </c>
      <c r="E49">
        <v>6843.4709999999995</v>
      </c>
      <c r="F49">
        <v>22303.23</v>
      </c>
      <c r="G49">
        <v>4.4960000000000004</v>
      </c>
      <c r="H49">
        <v>14.654</v>
      </c>
      <c r="I49">
        <v>2.734</v>
      </c>
      <c r="J49">
        <v>10.569000000000001</v>
      </c>
      <c r="K49">
        <v>-9.6240000000000006</v>
      </c>
      <c r="L49">
        <v>27.751999999999999</v>
      </c>
      <c r="M49">
        <v>89.078999999999994</v>
      </c>
      <c r="N49">
        <v>-33.445</v>
      </c>
      <c r="O49">
        <v>-5.7649999999999997</v>
      </c>
      <c r="P49">
        <v>3.8590000000000009</v>
      </c>
      <c r="Q49">
        <v>13.905304122225431</v>
      </c>
      <c r="R49">
        <v>3.209822715479965</v>
      </c>
      <c r="S49">
        <v>7.5224999999999991</v>
      </c>
      <c r="T49">
        <v>25.269799999999989</v>
      </c>
      <c r="U49">
        <v>-2.8532999999999999</v>
      </c>
      <c r="V49">
        <v>-10.5183</v>
      </c>
      <c r="W49">
        <v>12.636039999999999</v>
      </c>
      <c r="X49">
        <v>3.124460431654676</v>
      </c>
      <c r="Y49">
        <v>91.857021996615913</v>
      </c>
      <c r="Z49">
        <v>29.39932318104907</v>
      </c>
      <c r="AA49">
        <v>0.35322500000000001</v>
      </c>
      <c r="AB49">
        <v>0.41273799999999999</v>
      </c>
      <c r="AC49">
        <v>-0.96723800000000004</v>
      </c>
      <c r="AD49">
        <v>-0.72805600000000004</v>
      </c>
      <c r="AE49">
        <v>-6.2257E-2</v>
      </c>
      <c r="AF49">
        <v>-0.40435199999999999</v>
      </c>
      <c r="AG49">
        <v>0</v>
      </c>
      <c r="AH49">
        <v>1</v>
      </c>
      <c r="AI49">
        <v>1</v>
      </c>
      <c r="AJ49">
        <v>1</v>
      </c>
      <c r="AK49">
        <v>0.44664771992900421</v>
      </c>
    </row>
    <row r="50" spans="1:37" x14ac:dyDescent="0.3">
      <c r="A50">
        <v>369</v>
      </c>
      <c r="B50">
        <v>2025</v>
      </c>
      <c r="C50" t="s">
        <v>104</v>
      </c>
      <c r="D50">
        <v>12</v>
      </c>
      <c r="E50">
        <v>18120.73</v>
      </c>
      <c r="F50">
        <v>35899.58</v>
      </c>
      <c r="G50">
        <v>26.001999999999999</v>
      </c>
      <c r="H50">
        <v>51.512999999999998</v>
      </c>
      <c r="I50">
        <v>1.0209999999999999</v>
      </c>
      <c r="J50">
        <v>2.1859999999999999</v>
      </c>
      <c r="K50">
        <v>-5.2009999999999996</v>
      </c>
      <c r="L50">
        <v>29.88</v>
      </c>
      <c r="M50">
        <v>65.34</v>
      </c>
      <c r="N50">
        <v>4.9009999999999998</v>
      </c>
      <c r="O50">
        <v>-1.077</v>
      </c>
      <c r="P50">
        <v>4.1239999999999997</v>
      </c>
      <c r="Q50">
        <v>13.801874163319949</v>
      </c>
      <c r="R50">
        <v>2.1867469879518069</v>
      </c>
      <c r="S50">
        <v>0.61010000000000009</v>
      </c>
      <c r="T50">
        <v>2.4899</v>
      </c>
      <c r="U50">
        <v>-4.5813000000000006</v>
      </c>
      <c r="V50">
        <v>6.4607000000000001</v>
      </c>
      <c r="W50">
        <v>8.803134</v>
      </c>
      <c r="X50">
        <v>5.6066961913197506</v>
      </c>
      <c r="Y50">
        <v>98.794481208640278</v>
      </c>
      <c r="Z50">
        <v>17.620801598202021</v>
      </c>
      <c r="AA50">
        <v>0.62070899999999996</v>
      </c>
      <c r="AB50">
        <v>0.401362</v>
      </c>
      <c r="AC50">
        <v>-4.3643000000000001E-2</v>
      </c>
      <c r="AD50">
        <v>-0.13073499999999999</v>
      </c>
      <c r="AE50">
        <v>-0.283586</v>
      </c>
      <c r="AF50">
        <v>-0.37414900000000001</v>
      </c>
      <c r="AG50">
        <v>0</v>
      </c>
      <c r="AH50">
        <v>1</v>
      </c>
      <c r="AI50">
        <v>0</v>
      </c>
      <c r="AJ50">
        <v>0</v>
      </c>
      <c r="AK50">
        <v>0</v>
      </c>
    </row>
    <row r="51" spans="1:37" x14ac:dyDescent="0.3">
      <c r="A51">
        <v>419</v>
      </c>
      <c r="B51">
        <v>2025</v>
      </c>
      <c r="C51" t="s">
        <v>105</v>
      </c>
      <c r="D51">
        <v>8.6666666666666661</v>
      </c>
      <c r="E51">
        <v>29252.84</v>
      </c>
      <c r="F51">
        <v>69270.720000000001</v>
      </c>
      <c r="G51">
        <v>47.390999999999998</v>
      </c>
      <c r="H51">
        <v>112.221</v>
      </c>
      <c r="I51">
        <v>2.867</v>
      </c>
      <c r="J51">
        <v>0.5</v>
      </c>
      <c r="K51">
        <v>-10.696</v>
      </c>
      <c r="L51">
        <v>17.983000000000001</v>
      </c>
      <c r="M51">
        <v>142.48599999999999</v>
      </c>
      <c r="N51">
        <v>3.544</v>
      </c>
      <c r="O51">
        <v>-4.1180000000000003</v>
      </c>
      <c r="P51">
        <v>6.5779999999999994</v>
      </c>
      <c r="Q51">
        <v>36.578991269532331</v>
      </c>
      <c r="R51">
        <v>7.9233720736250897</v>
      </c>
      <c r="S51">
        <v>2.6852999999999998</v>
      </c>
      <c r="T51">
        <v>0.8173999999999999</v>
      </c>
      <c r="U51">
        <v>-10.325100000000001</v>
      </c>
      <c r="V51">
        <v>4.0387000000000004</v>
      </c>
      <c r="W51">
        <v>3.1452040000000001</v>
      </c>
      <c r="X51">
        <v>18.541478616055318</v>
      </c>
      <c r="Y51">
        <v>224.84249233912149</v>
      </c>
      <c r="Z51">
        <v>12.12645965270684</v>
      </c>
      <c r="AA51">
        <v>-1.3778330000000001</v>
      </c>
      <c r="AB51">
        <v>-0.37396800000000002</v>
      </c>
      <c r="AC51">
        <v>0.69719900000000001</v>
      </c>
      <c r="AD51">
        <v>1.077985</v>
      </c>
      <c r="AE51">
        <v>0.46877000000000002</v>
      </c>
      <c r="AF51">
        <v>0.177785</v>
      </c>
      <c r="AG51">
        <v>0</v>
      </c>
      <c r="AH51">
        <v>1</v>
      </c>
      <c r="AI51">
        <v>0</v>
      </c>
      <c r="AJ51">
        <v>0</v>
      </c>
      <c r="AK51">
        <v>0</v>
      </c>
    </row>
    <row r="52" spans="1:37" x14ac:dyDescent="0.3">
      <c r="A52">
        <v>423</v>
      </c>
      <c r="B52">
        <v>2025</v>
      </c>
      <c r="C52" t="s">
        <v>107</v>
      </c>
      <c r="D52">
        <v>16</v>
      </c>
      <c r="E52">
        <v>42412.82</v>
      </c>
      <c r="F52">
        <v>65304.13</v>
      </c>
      <c r="G52">
        <v>39.942999999999998</v>
      </c>
      <c r="H52">
        <v>61.500999999999998</v>
      </c>
      <c r="I52">
        <v>2.9460000000000002</v>
      </c>
      <c r="J52">
        <v>-0.4</v>
      </c>
      <c r="K52">
        <v>3.411</v>
      </c>
      <c r="L52">
        <v>44.575000000000003</v>
      </c>
      <c r="M52">
        <v>57.707999999999998</v>
      </c>
      <c r="N52">
        <v>-8.4619999999999997</v>
      </c>
      <c r="O52">
        <v>4.6920000000000002</v>
      </c>
      <c r="P52">
        <v>1.2809999999999999</v>
      </c>
      <c r="Q52">
        <v>2.8738081884464379</v>
      </c>
      <c r="R52">
        <v>1.2946270330902969</v>
      </c>
      <c r="S52">
        <v>3.6269999999999998</v>
      </c>
      <c r="T52">
        <v>2.4281000000000001</v>
      </c>
      <c r="U52">
        <v>1.5587</v>
      </c>
      <c r="V52">
        <v>-8.8765999999999998</v>
      </c>
      <c r="W52">
        <v>0.54794200000000004</v>
      </c>
      <c r="X52">
        <v>364.27672358515213</v>
      </c>
      <c r="Y52">
        <v>478.13591022443887</v>
      </c>
      <c r="Z52">
        <v>1.312562344139651</v>
      </c>
      <c r="AA52">
        <v>0.97457000000000005</v>
      </c>
      <c r="AB52">
        <v>0.40962700000000002</v>
      </c>
      <c r="AC52">
        <v>0.73773999999999995</v>
      </c>
      <c r="AD52">
        <v>0.77825800000000001</v>
      </c>
      <c r="AE52">
        <v>0.62804000000000004</v>
      </c>
      <c r="AF52">
        <v>0.33270699999999997</v>
      </c>
      <c r="AG52">
        <v>1</v>
      </c>
      <c r="AH52">
        <v>0</v>
      </c>
      <c r="AI52">
        <v>1</v>
      </c>
      <c r="AJ52">
        <v>1</v>
      </c>
      <c r="AK52">
        <v>0.14451611938433279</v>
      </c>
    </row>
    <row r="53" spans="1:37" x14ac:dyDescent="0.3">
      <c r="A53">
        <v>433</v>
      </c>
      <c r="B53">
        <v>2025</v>
      </c>
      <c r="C53" t="s">
        <v>109</v>
      </c>
      <c r="D53">
        <v>6.6666666666666679</v>
      </c>
      <c r="E53">
        <v>5831.5519999999997</v>
      </c>
      <c r="F53">
        <v>15390.57</v>
      </c>
      <c r="G53">
        <v>265.45499999999998</v>
      </c>
      <c r="H53">
        <v>700.58600000000001</v>
      </c>
      <c r="I53">
        <v>0.45200000000000001</v>
      </c>
      <c r="J53">
        <v>1.8</v>
      </c>
      <c r="K53">
        <v>-6.2949999999999999</v>
      </c>
      <c r="L53">
        <v>37.963999999999999</v>
      </c>
      <c r="M53">
        <v>53.106000000000002</v>
      </c>
      <c r="N53">
        <v>0.42099999999999999</v>
      </c>
      <c r="O53">
        <v>-4.7720000000000002</v>
      </c>
      <c r="P53">
        <v>1.5229999999999999</v>
      </c>
      <c r="Q53">
        <v>4.0116952902749956</v>
      </c>
      <c r="R53">
        <v>1.3988515435675899</v>
      </c>
      <c r="S53">
        <v>1.3142</v>
      </c>
      <c r="T53">
        <v>3.3976000000000002</v>
      </c>
      <c r="U53">
        <v>-4.3073999999999986</v>
      </c>
      <c r="V53">
        <v>2.2743000000000002</v>
      </c>
      <c r="W53">
        <v>13.9</v>
      </c>
      <c r="X53">
        <v>0.15026575738221309</v>
      </c>
      <c r="Y53">
        <v>3.172819698121963</v>
      </c>
      <c r="Z53">
        <v>21.114722032456399</v>
      </c>
      <c r="AA53">
        <v>-0.95891899999999997</v>
      </c>
      <c r="AB53">
        <v>-2.4130980000000002</v>
      </c>
      <c r="AC53">
        <v>-1.3896059999999999</v>
      </c>
      <c r="AD53">
        <v>-1.4383269999999999</v>
      </c>
      <c r="AE53">
        <v>-1.6931670000000001</v>
      </c>
      <c r="AF53">
        <v>-1.3210379999999999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 x14ac:dyDescent="0.3">
      <c r="A54">
        <v>436</v>
      </c>
      <c r="B54">
        <v>2025</v>
      </c>
      <c r="C54" t="s">
        <v>110</v>
      </c>
      <c r="D54">
        <v>16.333333333333329</v>
      </c>
      <c r="E54">
        <v>60008.97</v>
      </c>
      <c r="F54">
        <v>55766.41</v>
      </c>
      <c r="G54">
        <v>610.75199999999995</v>
      </c>
      <c r="H54">
        <v>567.57299999999998</v>
      </c>
      <c r="I54">
        <v>2.4950000000000001</v>
      </c>
      <c r="J54">
        <v>2.7829999999999999</v>
      </c>
      <c r="K54">
        <v>-6.3730000000000002</v>
      </c>
      <c r="L54">
        <v>37.417999999999999</v>
      </c>
      <c r="M54">
        <v>69.242000000000004</v>
      </c>
      <c r="N54">
        <v>2.7850000000000001</v>
      </c>
      <c r="O54">
        <v>-3.4359999999999999</v>
      </c>
      <c r="P54">
        <v>2.9369999999999998</v>
      </c>
      <c r="Q54">
        <v>7.8491635041958423</v>
      </c>
      <c r="R54">
        <v>1.85049975947405</v>
      </c>
      <c r="S54">
        <v>3.3279000000000001</v>
      </c>
      <c r="T54">
        <v>2.5028000000000001</v>
      </c>
      <c r="U54">
        <v>-5.125</v>
      </c>
      <c r="V54">
        <v>3.0236999999999998</v>
      </c>
      <c r="W54">
        <v>21.108000000000001</v>
      </c>
      <c r="X54">
        <v>0.72291144578605249</v>
      </c>
      <c r="Y54">
        <v>24.734238305705968</v>
      </c>
      <c r="Z54">
        <v>34.214755416981077</v>
      </c>
      <c r="AA54">
        <v>0.64426499999999998</v>
      </c>
      <c r="AB54">
        <v>-1.4648479999999999</v>
      </c>
      <c r="AC54">
        <v>1.14537</v>
      </c>
      <c r="AD54">
        <v>1.1217980000000001</v>
      </c>
      <c r="AE54">
        <v>0.78384600000000004</v>
      </c>
      <c r="AF54">
        <v>0.82935899999999996</v>
      </c>
      <c r="AG54">
        <v>0</v>
      </c>
      <c r="AH54">
        <v>1</v>
      </c>
      <c r="AI54">
        <v>0</v>
      </c>
      <c r="AJ54">
        <v>0</v>
      </c>
      <c r="AK54">
        <v>0</v>
      </c>
    </row>
    <row r="55" spans="1:37" x14ac:dyDescent="0.3">
      <c r="A55">
        <v>439</v>
      </c>
      <c r="B55">
        <v>2025</v>
      </c>
      <c r="C55" t="s">
        <v>112</v>
      </c>
      <c r="D55">
        <v>10</v>
      </c>
      <c r="E55">
        <v>4907.88</v>
      </c>
      <c r="F55">
        <v>11510.85</v>
      </c>
      <c r="G55">
        <v>56.156999999999996</v>
      </c>
      <c r="H55">
        <v>131.708</v>
      </c>
      <c r="I55">
        <v>2.7</v>
      </c>
      <c r="J55">
        <v>2.2370000000000001</v>
      </c>
      <c r="K55">
        <v>-7.484</v>
      </c>
      <c r="L55">
        <v>26.196999999999999</v>
      </c>
      <c r="M55">
        <v>89.703000000000003</v>
      </c>
      <c r="N55">
        <v>-5.5060000000000002</v>
      </c>
      <c r="O55">
        <v>-1.917</v>
      </c>
      <c r="P55">
        <v>5.5670000000000002</v>
      </c>
      <c r="Q55">
        <v>21.250524869259841</v>
      </c>
      <c r="R55">
        <v>3.4241707065694551</v>
      </c>
      <c r="S55">
        <v>2.5173000000000001</v>
      </c>
      <c r="T55">
        <v>2.1366999999999998</v>
      </c>
      <c r="U55">
        <v>-6.3689999999999998</v>
      </c>
      <c r="V55">
        <v>-5.7915999999999999</v>
      </c>
      <c r="W55">
        <v>8.0545840000000002</v>
      </c>
      <c r="X55">
        <v>2.622134600715837</v>
      </c>
      <c r="Y55">
        <v>80.381754083027559</v>
      </c>
      <c r="Z55">
        <v>30.65508309950356</v>
      </c>
      <c r="AA55">
        <v>-0.77470799999999995</v>
      </c>
      <c r="AB55">
        <v>-0.202734</v>
      </c>
      <c r="AC55">
        <v>0.386214</v>
      </c>
      <c r="AD55">
        <v>0.21770500000000001</v>
      </c>
      <c r="AE55">
        <v>0.257768</v>
      </c>
      <c r="AF55">
        <v>8.8659000000000002E-2</v>
      </c>
      <c r="AG55">
        <v>0</v>
      </c>
      <c r="AH55">
        <v>1</v>
      </c>
      <c r="AI55">
        <v>0</v>
      </c>
      <c r="AJ55">
        <v>0</v>
      </c>
      <c r="AK55">
        <v>0</v>
      </c>
    </row>
    <row r="56" spans="1:37" x14ac:dyDescent="0.3">
      <c r="A56">
        <v>443</v>
      </c>
      <c r="B56">
        <v>2025</v>
      </c>
      <c r="C56" t="s">
        <v>113</v>
      </c>
      <c r="D56">
        <v>18.333333333333329</v>
      </c>
      <c r="E56">
        <v>30805.16</v>
      </c>
      <c r="F56">
        <v>52866.1</v>
      </c>
      <c r="G56">
        <v>157.46899999999999</v>
      </c>
      <c r="H56">
        <v>270.23899999999998</v>
      </c>
      <c r="I56">
        <v>2.5739999999999998</v>
      </c>
      <c r="J56">
        <v>2.2069999999999999</v>
      </c>
      <c r="K56">
        <v>26.759</v>
      </c>
      <c r="L56">
        <v>77.67</v>
      </c>
      <c r="M56">
        <v>7.2859999999999996</v>
      </c>
      <c r="N56">
        <v>26.53</v>
      </c>
      <c r="O56">
        <v>-3.915</v>
      </c>
      <c r="P56">
        <v>-30.673999999999999</v>
      </c>
      <c r="Q56">
        <v>-39.492725634092963</v>
      </c>
      <c r="R56">
        <v>9.3807132741084071E-2</v>
      </c>
      <c r="S56">
        <v>1.2698</v>
      </c>
      <c r="T56">
        <v>2.6585999999999999</v>
      </c>
      <c r="U56">
        <v>22.241700000000002</v>
      </c>
      <c r="V56">
        <v>24.037099999999999</v>
      </c>
      <c r="W56">
        <v>12.61788</v>
      </c>
      <c r="X56">
        <v>1.3517610827877129</v>
      </c>
      <c r="Y56">
        <v>33.647736349815773</v>
      </c>
      <c r="Z56">
        <v>24.891777680434949</v>
      </c>
      <c r="AA56">
        <v>-0.59415700000000005</v>
      </c>
      <c r="AB56">
        <v>0.40817900000000001</v>
      </c>
      <c r="AC56">
        <v>7.5399999999999998E-3</v>
      </c>
      <c r="AD56">
        <v>0.32092199999999999</v>
      </c>
      <c r="AE56">
        <v>0.34166800000000003</v>
      </c>
      <c r="AF56">
        <v>0.20661199999999999</v>
      </c>
      <c r="AG56">
        <v>0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>
        <v>446</v>
      </c>
      <c r="B57">
        <v>2025</v>
      </c>
      <c r="C57" t="s">
        <v>114</v>
      </c>
      <c r="D57">
        <v>1.3333333333333319</v>
      </c>
      <c r="E57">
        <v>5282.1540000000005</v>
      </c>
      <c r="F57">
        <v>11815.59</v>
      </c>
      <c r="G57">
        <v>28.28</v>
      </c>
      <c r="H57">
        <v>63.26</v>
      </c>
      <c r="I57">
        <v>-7.5</v>
      </c>
      <c r="J57">
        <v>18.116</v>
      </c>
      <c r="K57">
        <v>-0.188</v>
      </c>
      <c r="L57">
        <v>16.295000000000002</v>
      </c>
      <c r="M57">
        <v>163.76</v>
      </c>
      <c r="N57">
        <v>-19.677</v>
      </c>
      <c r="O57">
        <v>0.40200000000000002</v>
      </c>
      <c r="P57">
        <v>0.59000000000000008</v>
      </c>
      <c r="Q57">
        <v>3.6207425590671991</v>
      </c>
      <c r="R57">
        <v>10.049708499539729</v>
      </c>
      <c r="S57">
        <v>-5.9562000000000008</v>
      </c>
      <c r="T57">
        <v>140.53899999999999</v>
      </c>
      <c r="U57">
        <v>-3.9382000000000001</v>
      </c>
      <c r="V57">
        <v>-21.750800000000002</v>
      </c>
      <c r="W57">
        <v>7.0343289999999996</v>
      </c>
      <c r="X57">
        <v>9.5095861011752678</v>
      </c>
      <c r="Y57">
        <v>246.75497215592679</v>
      </c>
      <c r="Z57">
        <v>25.948024396711752</v>
      </c>
      <c r="AA57">
        <v>-0.65425999999999995</v>
      </c>
      <c r="AB57">
        <v>-1.519039</v>
      </c>
      <c r="AC57">
        <v>-1.580382</v>
      </c>
      <c r="AD57">
        <v>-1.014462</v>
      </c>
      <c r="AE57">
        <v>-1.1650750000000001</v>
      </c>
      <c r="AF57">
        <v>-1.2270620000000001</v>
      </c>
      <c r="AG57">
        <v>0</v>
      </c>
      <c r="AH57">
        <v>1</v>
      </c>
      <c r="AI57">
        <v>1</v>
      </c>
      <c r="AJ57">
        <v>1</v>
      </c>
      <c r="AK57">
        <v>0.44664771992900421</v>
      </c>
    </row>
    <row r="58" spans="1:37" x14ac:dyDescent="0.3">
      <c r="A58">
        <v>449</v>
      </c>
      <c r="B58">
        <v>2025</v>
      </c>
      <c r="C58" t="s">
        <v>115</v>
      </c>
      <c r="D58">
        <v>12.66666666666667</v>
      </c>
      <c r="E58">
        <v>19118.88</v>
      </c>
      <c r="F58">
        <v>42211.199999999997</v>
      </c>
      <c r="G58">
        <v>105.19</v>
      </c>
      <c r="H58">
        <v>232.24199999999999</v>
      </c>
      <c r="I58">
        <v>2.8849999999999998</v>
      </c>
      <c r="J58">
        <v>0.53400000000000003</v>
      </c>
      <c r="K58">
        <v>0.41199999999999998</v>
      </c>
      <c r="L58">
        <v>28.861000000000001</v>
      </c>
      <c r="M58">
        <v>35.049999999999997</v>
      </c>
      <c r="N58">
        <v>-1.0229999999999999</v>
      </c>
      <c r="O58">
        <v>0.64600000000000002</v>
      </c>
      <c r="P58">
        <v>0.23400000000000001</v>
      </c>
      <c r="Q58">
        <v>0.81078271716156758</v>
      </c>
      <c r="R58">
        <v>1.214441634039015</v>
      </c>
      <c r="S58">
        <v>2.8578999999999999</v>
      </c>
      <c r="T58">
        <v>1.3557999999999999</v>
      </c>
      <c r="U58">
        <v>1.2828999999999999</v>
      </c>
      <c r="V58">
        <v>-1.1169</v>
      </c>
      <c r="W58">
        <v>5.3207409999999999</v>
      </c>
      <c r="X58">
        <v>3.476006200838262</v>
      </c>
      <c r="Y58">
        <v>55.049829053611703</v>
      </c>
      <c r="Z58">
        <v>15.837091729104531</v>
      </c>
      <c r="AA58">
        <v>-1.0044040000000001</v>
      </c>
      <c r="AB58">
        <v>0.58662400000000003</v>
      </c>
      <c r="AC58">
        <v>0.274613</v>
      </c>
      <c r="AD58">
        <v>0.43453700000000001</v>
      </c>
      <c r="AE58">
        <v>0.61281200000000002</v>
      </c>
      <c r="AF58">
        <v>0.21515799999999999</v>
      </c>
      <c r="AG58">
        <v>0</v>
      </c>
      <c r="AH58">
        <v>1</v>
      </c>
      <c r="AI58">
        <v>0</v>
      </c>
      <c r="AJ58">
        <v>0</v>
      </c>
      <c r="AK58">
        <v>0</v>
      </c>
    </row>
    <row r="59" spans="1:37" x14ac:dyDescent="0.3">
      <c r="A59">
        <v>453</v>
      </c>
      <c r="B59">
        <v>2025</v>
      </c>
      <c r="C59" t="s">
        <v>116</v>
      </c>
      <c r="D59">
        <v>20</v>
      </c>
      <c r="E59">
        <v>71441.42</v>
      </c>
      <c r="F59">
        <v>122283.22</v>
      </c>
      <c r="G59">
        <v>222.119</v>
      </c>
      <c r="H59">
        <v>380.19099999999997</v>
      </c>
      <c r="I59">
        <v>2.8820000000000001</v>
      </c>
      <c r="J59">
        <v>0.13600000000000001</v>
      </c>
      <c r="K59">
        <v>-0.32300000000000001</v>
      </c>
      <c r="L59">
        <v>26.524000000000001</v>
      </c>
      <c r="M59">
        <v>40.616</v>
      </c>
      <c r="N59">
        <v>10.834</v>
      </c>
      <c r="O59">
        <v>0.94499999999999995</v>
      </c>
      <c r="P59">
        <v>1.268</v>
      </c>
      <c r="Q59">
        <v>4.780576082038908</v>
      </c>
      <c r="R59">
        <v>1.531292414417132</v>
      </c>
      <c r="S59">
        <v>2.8035999999999999</v>
      </c>
      <c r="T59">
        <v>1.8069</v>
      </c>
      <c r="U59">
        <v>2.3784999999999998</v>
      </c>
      <c r="V59">
        <v>13.0185</v>
      </c>
      <c r="W59">
        <v>14.148949999999999</v>
      </c>
      <c r="X59">
        <v>3.9747478360397741</v>
      </c>
      <c r="Y59">
        <v>74.514528386231561</v>
      </c>
      <c r="Z59">
        <v>18.74698256593652</v>
      </c>
      <c r="AA59">
        <v>-0.97060000000000002</v>
      </c>
      <c r="AB59">
        <v>0.99338099999999996</v>
      </c>
      <c r="AC59">
        <v>1.1974130000000001</v>
      </c>
      <c r="AD59">
        <v>0.97704100000000005</v>
      </c>
      <c r="AE59">
        <v>0.93288499999999996</v>
      </c>
      <c r="AF59">
        <v>0.70221</v>
      </c>
      <c r="AG59">
        <v>0</v>
      </c>
      <c r="AH59">
        <v>1</v>
      </c>
      <c r="AI59">
        <v>0</v>
      </c>
      <c r="AJ59">
        <v>0</v>
      </c>
      <c r="AK59">
        <v>0</v>
      </c>
    </row>
    <row r="60" spans="1:37" x14ac:dyDescent="0.3">
      <c r="A60">
        <v>456</v>
      </c>
      <c r="B60">
        <v>2025</v>
      </c>
      <c r="C60" t="s">
        <v>117</v>
      </c>
      <c r="D60">
        <v>18.333333333333329</v>
      </c>
      <c r="E60">
        <v>35230.93</v>
      </c>
      <c r="F60">
        <v>74668.070000000007</v>
      </c>
      <c r="G60">
        <v>1268.5350000000001</v>
      </c>
      <c r="H60">
        <v>2688.52</v>
      </c>
      <c r="I60">
        <v>4.0209999999999999</v>
      </c>
      <c r="J60">
        <v>2.1</v>
      </c>
      <c r="K60">
        <v>-3.6509999999999998</v>
      </c>
      <c r="L60">
        <v>24.216000000000001</v>
      </c>
      <c r="M60">
        <v>29.212</v>
      </c>
      <c r="N60">
        <v>-2.085</v>
      </c>
      <c r="O60">
        <v>-3.3530000000000002</v>
      </c>
      <c r="P60">
        <v>0.2979999999999996</v>
      </c>
      <c r="Q60">
        <v>1.230591344565575</v>
      </c>
      <c r="R60">
        <v>1.206309877766766</v>
      </c>
      <c r="S60">
        <v>3.5139</v>
      </c>
      <c r="T60">
        <v>1.9359999999999999</v>
      </c>
      <c r="U60">
        <v>-3.2465999999999999</v>
      </c>
      <c r="V60">
        <v>0.13769999999999991</v>
      </c>
      <c r="W60">
        <v>17.396000000000001</v>
      </c>
      <c r="X60">
        <v>0.6038493633421983</v>
      </c>
      <c r="Y60">
        <v>18.651132863709609</v>
      </c>
      <c r="Z60">
        <v>30.887062231015559</v>
      </c>
      <c r="AA60">
        <v>-1.4166920000000001</v>
      </c>
      <c r="AB60">
        <v>-0.213225</v>
      </c>
      <c r="AC60">
        <v>0.79644099999999995</v>
      </c>
      <c r="AD60">
        <v>0.51707099999999995</v>
      </c>
      <c r="AE60">
        <v>0.41457100000000002</v>
      </c>
      <c r="AF60">
        <v>0.53604300000000005</v>
      </c>
      <c r="AG60">
        <v>0</v>
      </c>
      <c r="AH60">
        <v>1</v>
      </c>
      <c r="AI60">
        <v>0</v>
      </c>
      <c r="AJ60">
        <v>0</v>
      </c>
      <c r="AK60">
        <v>0</v>
      </c>
    </row>
    <row r="61" spans="1:37" x14ac:dyDescent="0.3">
      <c r="A61">
        <v>466</v>
      </c>
      <c r="B61">
        <v>2025</v>
      </c>
      <c r="C61" t="s">
        <v>118</v>
      </c>
      <c r="D61">
        <v>19.666666666666671</v>
      </c>
      <c r="E61">
        <v>51347.9</v>
      </c>
      <c r="F61">
        <v>84402.77</v>
      </c>
      <c r="G61">
        <v>569.09699999999998</v>
      </c>
      <c r="H61">
        <v>935.44899999999996</v>
      </c>
      <c r="I61">
        <v>4.7649999999999997</v>
      </c>
      <c r="J61">
        <v>1.6160000000000001</v>
      </c>
      <c r="K61">
        <v>5.085</v>
      </c>
      <c r="L61">
        <v>28.367999999999999</v>
      </c>
      <c r="M61">
        <v>33.953000000000003</v>
      </c>
      <c r="N61">
        <v>13.183</v>
      </c>
      <c r="O61">
        <v>5.8529999999999998</v>
      </c>
      <c r="P61">
        <v>0.76799999999999979</v>
      </c>
      <c r="Q61">
        <v>2.7072758037225042</v>
      </c>
      <c r="R61">
        <v>1.196876762549351</v>
      </c>
      <c r="S61">
        <v>3.4866000000000001</v>
      </c>
      <c r="T61">
        <v>1.5539000000000001</v>
      </c>
      <c r="U61">
        <v>4.7421000000000006</v>
      </c>
      <c r="V61">
        <v>11.671099999999999</v>
      </c>
      <c r="W61">
        <v>6</v>
      </c>
      <c r="X61">
        <v>2.1832949998130071</v>
      </c>
      <c r="Y61">
        <v>81.759043189182663</v>
      </c>
      <c r="Z61">
        <v>37.447547489544498</v>
      </c>
      <c r="AA61">
        <v>-1.0949409999999999</v>
      </c>
      <c r="AB61">
        <v>0.67753099999999999</v>
      </c>
      <c r="AC61">
        <v>1.604282</v>
      </c>
      <c r="AD61">
        <v>1.0423910000000001</v>
      </c>
      <c r="AE61">
        <v>0.88190000000000002</v>
      </c>
      <c r="AF61">
        <v>1.073664</v>
      </c>
      <c r="AG61">
        <v>0</v>
      </c>
      <c r="AH61">
        <v>1</v>
      </c>
      <c r="AI61">
        <v>0</v>
      </c>
      <c r="AJ61">
        <v>0</v>
      </c>
      <c r="AK61">
        <v>0</v>
      </c>
    </row>
    <row r="62" spans="1:37" x14ac:dyDescent="0.3">
      <c r="A62">
        <v>469</v>
      </c>
      <c r="B62">
        <v>2025</v>
      </c>
      <c r="C62" t="s">
        <v>119</v>
      </c>
      <c r="D62">
        <v>7.3333333333333339</v>
      </c>
      <c r="E62">
        <v>3191.08</v>
      </c>
      <c r="F62">
        <v>21758.84</v>
      </c>
      <c r="G62">
        <v>349.26400000000001</v>
      </c>
      <c r="H62">
        <v>2381.5070000000001</v>
      </c>
      <c r="I62">
        <v>4.2699999999999996</v>
      </c>
      <c r="J62">
        <v>14.919</v>
      </c>
      <c r="K62">
        <v>-12.36</v>
      </c>
      <c r="L62">
        <v>16.605</v>
      </c>
      <c r="M62">
        <v>86.97</v>
      </c>
      <c r="N62">
        <v>-5.1050000000000004</v>
      </c>
      <c r="O62">
        <v>2.456</v>
      </c>
      <c r="P62">
        <v>14.816000000000001</v>
      </c>
      <c r="Q62">
        <v>89.226136705811498</v>
      </c>
      <c r="R62">
        <v>5.2375790424570914</v>
      </c>
      <c r="S62">
        <v>4.3099999999999996</v>
      </c>
      <c r="T62">
        <v>13.226699999999999</v>
      </c>
      <c r="U62">
        <v>-7.4439000000000011</v>
      </c>
      <c r="V62">
        <v>-3.9205000000000001</v>
      </c>
      <c r="W62">
        <v>4.5830000000000002</v>
      </c>
      <c r="X62">
        <v>6.7381907857863466</v>
      </c>
      <c r="Y62">
        <v>46.253889027108407</v>
      </c>
      <c r="Z62">
        <v>6.8644374280225406</v>
      </c>
      <c r="AA62">
        <v>-1.3793899999999999</v>
      </c>
      <c r="AB62">
        <v>-0.86676399999999998</v>
      </c>
      <c r="AC62">
        <v>-0.23951700000000001</v>
      </c>
      <c r="AD62">
        <v>-0.66545600000000005</v>
      </c>
      <c r="AE62">
        <v>-0.18417800000000001</v>
      </c>
      <c r="AF62">
        <v>-0.74778999999999995</v>
      </c>
      <c r="AG62">
        <v>0</v>
      </c>
      <c r="AH62">
        <v>1</v>
      </c>
      <c r="AI62">
        <v>0</v>
      </c>
      <c r="AJ62">
        <v>0</v>
      </c>
      <c r="AK62">
        <v>0</v>
      </c>
    </row>
    <row r="63" spans="1:37" x14ac:dyDescent="0.3">
      <c r="A63">
        <v>513</v>
      </c>
      <c r="B63">
        <v>2025</v>
      </c>
      <c r="C63" t="s">
        <v>120</v>
      </c>
      <c r="D63">
        <v>8.6666666666666661</v>
      </c>
      <c r="E63">
        <v>2734.098</v>
      </c>
      <c r="F63">
        <v>10257.554</v>
      </c>
      <c r="G63">
        <v>475.01100000000002</v>
      </c>
      <c r="H63">
        <v>1782.105</v>
      </c>
      <c r="I63">
        <v>3.76</v>
      </c>
      <c r="J63">
        <v>8.484</v>
      </c>
      <c r="K63">
        <v>-3.79</v>
      </c>
      <c r="L63">
        <v>7.6589999999999998</v>
      </c>
      <c r="M63">
        <v>40.273000000000003</v>
      </c>
      <c r="N63">
        <v>3.1E-2</v>
      </c>
      <c r="O63">
        <v>-1.61</v>
      </c>
      <c r="P63">
        <v>2.1800000000000002</v>
      </c>
      <c r="Q63">
        <v>28.463245854550198</v>
      </c>
      <c r="R63">
        <v>5.2582582582582589</v>
      </c>
      <c r="S63">
        <v>5.4314999999999998</v>
      </c>
      <c r="T63">
        <v>7.1502999999999997</v>
      </c>
      <c r="U63">
        <v>-4.3151000000000002</v>
      </c>
      <c r="V63">
        <v>-1.6141000000000001</v>
      </c>
      <c r="W63">
        <v>4.7742930000000001</v>
      </c>
      <c r="X63">
        <v>4.3106678165660508</v>
      </c>
      <c r="Y63">
        <v>25.351445520100562</v>
      </c>
      <c r="Z63">
        <v>5.8810946699891948</v>
      </c>
      <c r="AA63">
        <v>-0.75388599999999995</v>
      </c>
      <c r="AB63">
        <v>-0.90865700000000005</v>
      </c>
      <c r="AC63">
        <v>-0.69733400000000001</v>
      </c>
      <c r="AD63">
        <v>-0.91415299999999999</v>
      </c>
      <c r="AE63">
        <v>-0.50265700000000002</v>
      </c>
      <c r="AF63">
        <v>-1.1208659999999999</v>
      </c>
      <c r="AG63">
        <v>0</v>
      </c>
      <c r="AH63">
        <v>1</v>
      </c>
      <c r="AI63">
        <v>0</v>
      </c>
      <c r="AJ63">
        <v>0</v>
      </c>
      <c r="AK63">
        <v>0</v>
      </c>
    </row>
    <row r="64" spans="1:37" x14ac:dyDescent="0.3">
      <c r="A64">
        <v>522</v>
      </c>
      <c r="B64">
        <v>2025</v>
      </c>
      <c r="C64" t="s">
        <v>121</v>
      </c>
      <c r="D64">
        <v>8</v>
      </c>
      <c r="E64">
        <v>2812.212</v>
      </c>
      <c r="F64">
        <v>8707.0709999999999</v>
      </c>
      <c r="G64">
        <v>48.802</v>
      </c>
      <c r="H64">
        <v>151.1</v>
      </c>
      <c r="I64">
        <v>4.774</v>
      </c>
      <c r="J64">
        <v>1.6339999999999999</v>
      </c>
      <c r="K64">
        <v>-3.698</v>
      </c>
      <c r="L64">
        <v>14.464</v>
      </c>
      <c r="M64">
        <v>27.84</v>
      </c>
      <c r="N64">
        <v>-2.476</v>
      </c>
      <c r="O64">
        <v>-3.5590000000000002</v>
      </c>
      <c r="P64">
        <v>0.13899999999999979</v>
      </c>
      <c r="Q64">
        <v>0.96100663716814017</v>
      </c>
      <c r="R64">
        <v>1.9247787610619469</v>
      </c>
      <c r="S64">
        <v>3.9281000000000001</v>
      </c>
      <c r="T64">
        <v>2.7665000000000002</v>
      </c>
      <c r="U64">
        <v>-3.117</v>
      </c>
      <c r="V64">
        <v>-6.4377000000000004</v>
      </c>
      <c r="W64">
        <v>6.6540229999999996</v>
      </c>
      <c r="X64">
        <v>1.142189012524325</v>
      </c>
      <c r="Y64">
        <v>42.534952430503942</v>
      </c>
      <c r="Z64">
        <v>37.239854318418317</v>
      </c>
      <c r="AA64">
        <v>-1.292422</v>
      </c>
      <c r="AB64">
        <v>4.4493999999999999E-2</v>
      </c>
      <c r="AC64">
        <v>-0.30587399999999998</v>
      </c>
      <c r="AD64">
        <v>-0.68461799999999995</v>
      </c>
      <c r="AE64">
        <v>-0.81912700000000005</v>
      </c>
      <c r="AF64">
        <v>-1.2992170000000001</v>
      </c>
      <c r="AG64">
        <v>0</v>
      </c>
      <c r="AH64">
        <v>1</v>
      </c>
      <c r="AI64">
        <v>0</v>
      </c>
      <c r="AJ64">
        <v>0</v>
      </c>
      <c r="AK64">
        <v>0</v>
      </c>
    </row>
    <row r="65" spans="1:37" x14ac:dyDescent="0.3">
      <c r="A65">
        <v>524</v>
      </c>
      <c r="B65">
        <v>2025</v>
      </c>
      <c r="C65" t="s">
        <v>122</v>
      </c>
      <c r="D65">
        <v>6</v>
      </c>
      <c r="E65">
        <v>4324.8720000000003</v>
      </c>
      <c r="F65">
        <v>14994.050999999999</v>
      </c>
      <c r="G65">
        <v>98.963999999999999</v>
      </c>
      <c r="H65">
        <v>343.101</v>
      </c>
      <c r="I65">
        <v>5.0090000000000003</v>
      </c>
      <c r="J65">
        <v>-1.5349999999999999</v>
      </c>
      <c r="K65">
        <v>-5.6379999999999999</v>
      </c>
      <c r="L65">
        <v>13.682</v>
      </c>
      <c r="M65">
        <v>100.84</v>
      </c>
      <c r="N65">
        <v>1.764</v>
      </c>
      <c r="O65">
        <v>2.1749999999999998</v>
      </c>
      <c r="P65">
        <v>7.8129999999999997</v>
      </c>
      <c r="Q65">
        <v>57.104224528577689</v>
      </c>
      <c r="R65">
        <v>7.3702675047507684</v>
      </c>
      <c r="S65">
        <v>-1.0176000000000001</v>
      </c>
      <c r="T65">
        <v>14.8222</v>
      </c>
      <c r="U65">
        <v>-9.8450000000000006</v>
      </c>
      <c r="V65">
        <v>-0.28019999999999989</v>
      </c>
      <c r="W65">
        <v>4.4825010000000001</v>
      </c>
      <c r="X65">
        <v>12.09699632703034</v>
      </c>
      <c r="Y65">
        <v>83.873329371928733</v>
      </c>
      <c r="Z65">
        <v>6.9334012431264913</v>
      </c>
      <c r="AA65">
        <v>-0.23114399999999999</v>
      </c>
      <c r="AB65">
        <v>-0.50854100000000002</v>
      </c>
      <c r="AC65">
        <v>-0.25227899999999998</v>
      </c>
      <c r="AD65">
        <v>-0.50776200000000005</v>
      </c>
      <c r="AE65">
        <v>-9.0676999999999994E-2</v>
      </c>
      <c r="AF65">
        <v>-0.38397700000000001</v>
      </c>
      <c r="AG65">
        <v>0</v>
      </c>
      <c r="AH65">
        <v>1</v>
      </c>
      <c r="AI65">
        <v>1</v>
      </c>
      <c r="AJ65">
        <v>1</v>
      </c>
      <c r="AK65">
        <v>0.61656529091383006</v>
      </c>
    </row>
    <row r="66" spans="1:37" x14ac:dyDescent="0.3">
      <c r="A66">
        <v>528</v>
      </c>
      <c r="B66">
        <v>2025</v>
      </c>
      <c r="C66" t="s">
        <v>123</v>
      </c>
      <c r="D66">
        <v>20</v>
      </c>
      <c r="E66">
        <v>37826.620000000003</v>
      </c>
      <c r="F66">
        <v>85126.91</v>
      </c>
      <c r="G66">
        <v>884.38699999999994</v>
      </c>
      <c r="H66">
        <v>1990.268</v>
      </c>
      <c r="I66">
        <v>3.6739999999999999</v>
      </c>
      <c r="J66">
        <v>1.9550000000000001</v>
      </c>
      <c r="K66">
        <v>-0.32300000000000001</v>
      </c>
      <c r="L66">
        <v>16.652000000000001</v>
      </c>
      <c r="M66">
        <v>23.42</v>
      </c>
      <c r="N66">
        <v>13.832000000000001</v>
      </c>
      <c r="O66">
        <v>-0.55389044808524701</v>
      </c>
      <c r="P66">
        <v>-0.230890448085247</v>
      </c>
      <c r="Q66">
        <v>-1.3865628638316541</v>
      </c>
      <c r="R66">
        <v>1.4064376651453281</v>
      </c>
      <c r="S66">
        <v>3.1884000000000001</v>
      </c>
      <c r="T66">
        <v>1.8412999999999999</v>
      </c>
      <c r="U66">
        <v>-1.0670999999999999</v>
      </c>
      <c r="V66">
        <v>13.8817</v>
      </c>
      <c r="W66">
        <v>18.3535425</v>
      </c>
      <c r="X66">
        <v>0.38078405025787249</v>
      </c>
      <c r="Y66">
        <v>26.180437127279699</v>
      </c>
      <c r="Z66">
        <v>68.754027668832066</v>
      </c>
      <c r="AA66">
        <v>1.096587</v>
      </c>
      <c r="AB66">
        <v>0.76378900000000005</v>
      </c>
      <c r="AC66">
        <v>1.477692</v>
      </c>
      <c r="AD66">
        <v>1.4516960000000001</v>
      </c>
      <c r="AE66">
        <v>1.2605329999999999</v>
      </c>
      <c r="AF66">
        <v>1.2033689999999999</v>
      </c>
      <c r="AG66">
        <v>0</v>
      </c>
      <c r="AH66">
        <v>1</v>
      </c>
      <c r="AI66">
        <v>0</v>
      </c>
      <c r="AJ66">
        <v>0</v>
      </c>
      <c r="AK66">
        <v>0</v>
      </c>
    </row>
    <row r="67" spans="1:37" x14ac:dyDescent="0.3">
      <c r="A67">
        <v>532</v>
      </c>
      <c r="B67">
        <v>2025</v>
      </c>
      <c r="C67" t="s">
        <v>124</v>
      </c>
      <c r="D67">
        <v>19.666666666666671</v>
      </c>
      <c r="E67">
        <v>56843.91</v>
      </c>
      <c r="F67">
        <v>78918.789999999994</v>
      </c>
      <c r="G67">
        <v>428.233</v>
      </c>
      <c r="H67">
        <v>594.53300000000002</v>
      </c>
      <c r="I67">
        <v>2.4380000000000002</v>
      </c>
      <c r="J67">
        <v>3.7770000000000001</v>
      </c>
      <c r="K67">
        <v>-4.8179999999999996</v>
      </c>
      <c r="L67">
        <v>18.472000000000001</v>
      </c>
      <c r="M67">
        <v>11.656000000000001</v>
      </c>
      <c r="N67">
        <v>12.539</v>
      </c>
      <c r="O67">
        <v>-6.0330000000000004</v>
      </c>
      <c r="P67">
        <v>-1.215000000000001</v>
      </c>
      <c r="Q67">
        <v>-6.577522737115638</v>
      </c>
      <c r="R67">
        <v>0.63100909484625378</v>
      </c>
      <c r="S67">
        <v>1.3048999999999999</v>
      </c>
      <c r="T67">
        <v>1.9147000000000001</v>
      </c>
      <c r="U67">
        <v>-3.6814</v>
      </c>
      <c r="V67">
        <v>11.0268</v>
      </c>
      <c r="W67">
        <v>34.898507500000001</v>
      </c>
      <c r="X67">
        <v>4.8526246854670836</v>
      </c>
      <c r="Y67">
        <v>504.19172778426622</v>
      </c>
      <c r="Z67">
        <v>103.90082902851481</v>
      </c>
      <c r="AA67">
        <v>-0.32014700000000001</v>
      </c>
      <c r="AB67">
        <v>0.67306100000000002</v>
      </c>
      <c r="AC67">
        <v>1.5548360000000001</v>
      </c>
      <c r="AD67">
        <v>1.6043320000000001</v>
      </c>
      <c r="AE67">
        <v>1.2936460000000001</v>
      </c>
      <c r="AF67">
        <v>1.6251450000000001</v>
      </c>
      <c r="AG67">
        <v>0</v>
      </c>
      <c r="AH67">
        <v>1</v>
      </c>
      <c r="AI67">
        <v>0</v>
      </c>
      <c r="AJ67">
        <v>0</v>
      </c>
      <c r="AK67">
        <v>0</v>
      </c>
    </row>
    <row r="68" spans="1:37" x14ac:dyDescent="0.3">
      <c r="A68">
        <v>534</v>
      </c>
      <c r="B68">
        <v>2025</v>
      </c>
      <c r="C68" t="s">
        <v>125</v>
      </c>
      <c r="D68">
        <v>13.33333333333333</v>
      </c>
      <c r="E68">
        <v>2818.027</v>
      </c>
      <c r="F68">
        <v>12100.965</v>
      </c>
      <c r="G68">
        <v>4125.2129999999997</v>
      </c>
      <c r="H68">
        <v>17714.186000000002</v>
      </c>
      <c r="I68">
        <v>6.6459999999999999</v>
      </c>
      <c r="J68">
        <v>3.2749999999999999</v>
      </c>
      <c r="K68">
        <v>-7.1130000000000004</v>
      </c>
      <c r="L68">
        <v>20.228000000000002</v>
      </c>
      <c r="M68">
        <v>81.361000000000004</v>
      </c>
      <c r="N68">
        <v>-1.004</v>
      </c>
      <c r="O68">
        <v>-1.764</v>
      </c>
      <c r="P68">
        <v>5.3490000000000002</v>
      </c>
      <c r="Q68">
        <v>26.443543602926631</v>
      </c>
      <c r="R68">
        <v>4.0221969547162351</v>
      </c>
      <c r="S68">
        <v>5.9397000000000002</v>
      </c>
      <c r="T68">
        <v>4.5810000000000004</v>
      </c>
      <c r="U68">
        <v>-8.1647999999999996</v>
      </c>
      <c r="V68">
        <v>-1.1164000000000001</v>
      </c>
      <c r="W68">
        <v>10.087865499999999</v>
      </c>
      <c r="X68">
        <v>1.1774543818844501</v>
      </c>
      <c r="Y68">
        <v>18.260961074090769</v>
      </c>
      <c r="Z68">
        <v>15.508848032706901</v>
      </c>
      <c r="AA68">
        <v>9.4404000000000002E-2</v>
      </c>
      <c r="AB68">
        <v>-0.635077</v>
      </c>
      <c r="AC68">
        <v>0.47510999999999998</v>
      </c>
      <c r="AD68">
        <v>-0.13697000000000001</v>
      </c>
      <c r="AE68">
        <v>0.188365</v>
      </c>
      <c r="AF68">
        <v>-0.36601499999999998</v>
      </c>
      <c r="AG68">
        <v>0</v>
      </c>
      <c r="AH68">
        <v>1</v>
      </c>
      <c r="AI68">
        <v>0</v>
      </c>
      <c r="AJ68">
        <v>0</v>
      </c>
      <c r="AK68">
        <v>0</v>
      </c>
    </row>
    <row r="69" spans="1:37" x14ac:dyDescent="0.3">
      <c r="A69">
        <v>536</v>
      </c>
      <c r="B69">
        <v>2025</v>
      </c>
      <c r="C69" t="s">
        <v>126</v>
      </c>
      <c r="D69">
        <v>14</v>
      </c>
      <c r="E69">
        <v>5074.049</v>
      </c>
      <c r="F69">
        <v>17633.89</v>
      </c>
      <c r="G69">
        <v>1443.2560000000001</v>
      </c>
      <c r="H69">
        <v>5015.7619999999997</v>
      </c>
      <c r="I69">
        <v>4.8609999999999998</v>
      </c>
      <c r="J69">
        <v>2.581</v>
      </c>
      <c r="K69">
        <v>-2.7890000000000001</v>
      </c>
      <c r="L69">
        <v>13.728</v>
      </c>
      <c r="M69">
        <v>40.828000000000003</v>
      </c>
      <c r="N69">
        <v>-1.0529999999999999</v>
      </c>
      <c r="O69">
        <v>-0.499</v>
      </c>
      <c r="P69">
        <v>2.29</v>
      </c>
      <c r="Q69">
        <v>16.681235431235429</v>
      </c>
      <c r="R69">
        <v>2.9740675990675989</v>
      </c>
      <c r="S69">
        <v>4.1853999999999996</v>
      </c>
      <c r="T69">
        <v>2.605</v>
      </c>
      <c r="U69">
        <v>-3.0407999999999999</v>
      </c>
      <c r="V69">
        <v>-0.5635</v>
      </c>
      <c r="W69">
        <v>7.5571642499999996</v>
      </c>
      <c r="X69">
        <v>3.1196372517216</v>
      </c>
      <c r="Y69">
        <v>32.101220381522459</v>
      </c>
      <c r="Z69">
        <v>10.29004906381571</v>
      </c>
      <c r="AA69">
        <v>0.138983</v>
      </c>
      <c r="AB69">
        <v>-0.40437499999999998</v>
      </c>
      <c r="AC69">
        <v>0.58032600000000001</v>
      </c>
      <c r="AD69">
        <v>0.30137900000000001</v>
      </c>
      <c r="AE69">
        <v>-0.15360399999999999</v>
      </c>
      <c r="AF69">
        <v>-0.48687200000000003</v>
      </c>
      <c r="AG69">
        <v>0</v>
      </c>
      <c r="AH69">
        <v>1</v>
      </c>
      <c r="AI69">
        <v>0</v>
      </c>
      <c r="AJ69">
        <v>0</v>
      </c>
      <c r="AK69">
        <v>0</v>
      </c>
    </row>
    <row r="70" spans="1:37" x14ac:dyDescent="0.3">
      <c r="A70">
        <v>542</v>
      </c>
      <c r="B70">
        <v>2025</v>
      </c>
      <c r="C70" t="s">
        <v>127</v>
      </c>
      <c r="D70">
        <v>19.666666666666671</v>
      </c>
      <c r="E70">
        <v>35962.339999999997</v>
      </c>
      <c r="F70">
        <v>65080.29</v>
      </c>
      <c r="G70">
        <v>1858.5719999999999</v>
      </c>
      <c r="H70">
        <v>3363.4189999999999</v>
      </c>
      <c r="I70">
        <v>0.89600000000000002</v>
      </c>
      <c r="J70">
        <v>1.88</v>
      </c>
      <c r="K70">
        <v>-1.5169999999999999</v>
      </c>
      <c r="L70">
        <v>22.59</v>
      </c>
      <c r="M70">
        <v>53.37</v>
      </c>
      <c r="N70">
        <v>4.8019999999999996</v>
      </c>
      <c r="O70">
        <v>-1.5740000000000001</v>
      </c>
      <c r="P70">
        <v>-5.7000000000000162E-2</v>
      </c>
      <c r="Q70">
        <v>-0.25232403718459567</v>
      </c>
      <c r="R70">
        <v>2.3625498007968129</v>
      </c>
      <c r="S70">
        <v>1.9262999999999999</v>
      </c>
      <c r="T70">
        <v>2.4262000000000001</v>
      </c>
      <c r="U70">
        <v>-1.1877</v>
      </c>
      <c r="V70">
        <v>3.8881999999999999</v>
      </c>
      <c r="W70">
        <v>7.7959835000000002</v>
      </c>
      <c r="X70">
        <v>1.7188258005143771</v>
      </c>
      <c r="Y70">
        <v>36.32156938039158</v>
      </c>
      <c r="Z70">
        <v>21.131617508604979</v>
      </c>
      <c r="AA70">
        <v>0.859595</v>
      </c>
      <c r="AB70">
        <v>0.60983500000000002</v>
      </c>
      <c r="AC70">
        <v>1.4048069999999999</v>
      </c>
      <c r="AD70">
        <v>1.1225229999999999</v>
      </c>
      <c r="AE70">
        <v>1.248502</v>
      </c>
      <c r="AF70">
        <v>0.89408900000000002</v>
      </c>
      <c r="AG70">
        <v>0</v>
      </c>
      <c r="AH70">
        <v>1</v>
      </c>
      <c r="AI70">
        <v>0</v>
      </c>
      <c r="AJ70">
        <v>0</v>
      </c>
      <c r="AK70">
        <v>0</v>
      </c>
    </row>
    <row r="71" spans="1:37" x14ac:dyDescent="0.3">
      <c r="A71">
        <v>544</v>
      </c>
      <c r="B71">
        <v>2025</v>
      </c>
      <c r="C71" t="s">
        <v>129</v>
      </c>
      <c r="D71">
        <v>4</v>
      </c>
      <c r="E71">
        <v>2174.3910000000001</v>
      </c>
      <c r="F71">
        <v>10212.325999999999</v>
      </c>
      <c r="G71">
        <v>16.934000000000001</v>
      </c>
      <c r="H71">
        <v>79.531000000000006</v>
      </c>
      <c r="I71">
        <v>3.4870000000000001</v>
      </c>
      <c r="J71">
        <v>4.992</v>
      </c>
      <c r="K71">
        <v>0.442</v>
      </c>
      <c r="L71">
        <v>16.920000000000002</v>
      </c>
      <c r="M71">
        <v>90.674999999999997</v>
      </c>
      <c r="N71">
        <v>5.3339999999999996</v>
      </c>
      <c r="O71">
        <v>4.0449999999999999</v>
      </c>
      <c r="P71">
        <v>3.6030000000000002</v>
      </c>
      <c r="Q71">
        <v>21.294326241134751</v>
      </c>
      <c r="R71">
        <v>5.3590425531914887</v>
      </c>
      <c r="S71">
        <v>2.5255000000000001</v>
      </c>
      <c r="T71">
        <v>12.3117</v>
      </c>
      <c r="U71">
        <v>0.20890000000000011</v>
      </c>
      <c r="V71">
        <v>1.4489000000000001</v>
      </c>
      <c r="W71">
        <v>7.0743989999999997</v>
      </c>
      <c r="X71">
        <v>5.7763588215822574</v>
      </c>
      <c r="Y71">
        <v>100.0939543420902</v>
      </c>
      <c r="Z71">
        <v>17.328209246300329</v>
      </c>
      <c r="AA71">
        <v>-1.6322540000000001</v>
      </c>
      <c r="AB71">
        <v>0.81446200000000002</v>
      </c>
      <c r="AC71">
        <v>-0.64327900000000005</v>
      </c>
      <c r="AD71">
        <v>-0.92779800000000001</v>
      </c>
      <c r="AE71">
        <v>-0.83290600000000004</v>
      </c>
      <c r="AF71">
        <v>-0.97383600000000003</v>
      </c>
      <c r="AG71">
        <v>0</v>
      </c>
      <c r="AH71">
        <v>1</v>
      </c>
      <c r="AI71">
        <v>0</v>
      </c>
      <c r="AJ71">
        <v>0</v>
      </c>
      <c r="AK71">
        <v>0</v>
      </c>
    </row>
    <row r="72" spans="1:37" x14ac:dyDescent="0.3">
      <c r="A72">
        <v>546</v>
      </c>
      <c r="B72">
        <v>2025</v>
      </c>
      <c r="C72" t="s">
        <v>130</v>
      </c>
      <c r="D72">
        <v>19.5</v>
      </c>
      <c r="E72">
        <v>74920.67</v>
      </c>
      <c r="F72">
        <v>132648.29</v>
      </c>
      <c r="G72">
        <v>52.378999999999998</v>
      </c>
      <c r="H72">
        <v>92.738</v>
      </c>
      <c r="I72">
        <v>2.593</v>
      </c>
      <c r="J72">
        <v>0.5</v>
      </c>
      <c r="K72">
        <v>4.13</v>
      </c>
      <c r="L72">
        <v>30.481000000000002</v>
      </c>
      <c r="M72">
        <v>0</v>
      </c>
      <c r="N72">
        <v>35.511000000000003</v>
      </c>
      <c r="O72">
        <v>-37.034999999999997</v>
      </c>
      <c r="P72">
        <v>0</v>
      </c>
      <c r="Q72">
        <v>0</v>
      </c>
      <c r="R72">
        <v>0</v>
      </c>
      <c r="S72">
        <v>4.8187000000000006</v>
      </c>
      <c r="T72">
        <v>1.0226999999999999</v>
      </c>
      <c r="U72">
        <v>-3.1259000000000001</v>
      </c>
      <c r="V72">
        <v>27.709199999999999</v>
      </c>
      <c r="W72">
        <v>21.917107932635691</v>
      </c>
      <c r="X72">
        <v>4.3083779004057838</v>
      </c>
      <c r="Y72">
        <v>251.03844389621011</v>
      </c>
      <c r="Z72">
        <v>58.26750802722438</v>
      </c>
      <c r="AA72">
        <v>-0.50928899999999999</v>
      </c>
      <c r="AB72">
        <v>1.071053</v>
      </c>
      <c r="AC72">
        <v>1.0899700000000001</v>
      </c>
      <c r="AD72">
        <v>1.794257</v>
      </c>
      <c r="AE72">
        <v>0.78323900000000002</v>
      </c>
      <c r="AF72">
        <v>0.84905200000000003</v>
      </c>
      <c r="AG72">
        <v>0</v>
      </c>
      <c r="AH72">
        <v>1</v>
      </c>
      <c r="AI72">
        <v>0</v>
      </c>
      <c r="AJ72">
        <v>0</v>
      </c>
      <c r="AK72">
        <v>0</v>
      </c>
    </row>
    <row r="73" spans="1:37" x14ac:dyDescent="0.3">
      <c r="A73">
        <v>548</v>
      </c>
      <c r="B73">
        <v>2025</v>
      </c>
      <c r="C73" t="s">
        <v>131</v>
      </c>
      <c r="D73">
        <v>15.66666666666667</v>
      </c>
      <c r="E73">
        <v>13900.84</v>
      </c>
      <c r="F73">
        <v>43664.71</v>
      </c>
      <c r="G73">
        <v>470.572</v>
      </c>
      <c r="H73">
        <v>1478.1389999999999</v>
      </c>
      <c r="I73">
        <v>4.5</v>
      </c>
      <c r="J73">
        <v>2.363</v>
      </c>
      <c r="K73">
        <v>-3.605</v>
      </c>
      <c r="L73">
        <v>19.760000000000002</v>
      </c>
      <c r="M73">
        <v>70.438000000000002</v>
      </c>
      <c r="N73">
        <v>1.522</v>
      </c>
      <c r="O73">
        <v>-1.5009999999999999</v>
      </c>
      <c r="P73">
        <v>2.1040000000000001</v>
      </c>
      <c r="Q73">
        <v>10.647773279352229</v>
      </c>
      <c r="R73">
        <v>3.5646761133603242</v>
      </c>
      <c r="S73">
        <v>3.6032000000000002</v>
      </c>
      <c r="T73">
        <v>1.9207000000000001</v>
      </c>
      <c r="U73">
        <v>-4.1501000000000001</v>
      </c>
      <c r="V73">
        <v>2.3321999999999998</v>
      </c>
      <c r="W73">
        <v>5.5596755</v>
      </c>
      <c r="X73">
        <v>2.736968484502968</v>
      </c>
      <c r="Y73">
        <v>66.71255597591923</v>
      </c>
      <c r="Z73">
        <v>24.37461605921056</v>
      </c>
      <c r="AA73">
        <v>8.7619000000000002E-2</v>
      </c>
      <c r="AB73">
        <v>0.168515</v>
      </c>
      <c r="AC73">
        <v>0.87536999999999998</v>
      </c>
      <c r="AD73">
        <v>0.66089399999999998</v>
      </c>
      <c r="AE73">
        <v>0.57191499999999995</v>
      </c>
      <c r="AF73">
        <v>0.29562100000000002</v>
      </c>
      <c r="AG73">
        <v>0</v>
      </c>
      <c r="AH73">
        <v>1</v>
      </c>
      <c r="AI73">
        <v>0</v>
      </c>
      <c r="AJ73">
        <v>0</v>
      </c>
      <c r="AK73">
        <v>0</v>
      </c>
    </row>
    <row r="74" spans="1:37" x14ac:dyDescent="0.3">
      <c r="A74">
        <v>556</v>
      </c>
      <c r="B74">
        <v>2025</v>
      </c>
      <c r="C74" t="s">
        <v>132</v>
      </c>
      <c r="D74">
        <v>4</v>
      </c>
      <c r="E74">
        <v>18683.901999999998</v>
      </c>
      <c r="F74">
        <v>36065.760000000002</v>
      </c>
      <c r="G74">
        <v>7.6760000000000002</v>
      </c>
      <c r="H74">
        <v>14.816000000000001</v>
      </c>
      <c r="I74">
        <v>4.7859999999999996</v>
      </c>
      <c r="J74">
        <v>3</v>
      </c>
      <c r="K74">
        <v>-9.39</v>
      </c>
      <c r="L74">
        <v>31.757999999999999</v>
      </c>
      <c r="M74">
        <v>131.81899999999999</v>
      </c>
      <c r="N74">
        <v>-12.475</v>
      </c>
      <c r="O74">
        <v>-5.8570000000000002</v>
      </c>
      <c r="P74">
        <v>3.5329999999999999</v>
      </c>
      <c r="Q74">
        <v>11.124755967000439</v>
      </c>
      <c r="R74">
        <v>4.1507336734051261</v>
      </c>
      <c r="S74">
        <v>4.7988</v>
      </c>
      <c r="T74">
        <v>1.8653</v>
      </c>
      <c r="U74">
        <v>-13.2713</v>
      </c>
      <c r="V74">
        <v>-15.2822</v>
      </c>
      <c r="W74">
        <v>2.5135719999999999</v>
      </c>
      <c r="X74">
        <v>6.6930731382978719</v>
      </c>
      <c r="Y74">
        <v>68.919498836094746</v>
      </c>
      <c r="Z74">
        <v>10.29713816239901</v>
      </c>
      <c r="AA74">
        <v>-0.13753000000000001</v>
      </c>
      <c r="AB74">
        <v>0.53012099999999995</v>
      </c>
      <c r="AC74">
        <v>-0.127973</v>
      </c>
      <c r="AD74">
        <v>-0.67203900000000005</v>
      </c>
      <c r="AE74">
        <v>-7.8602000000000005E-2</v>
      </c>
      <c r="AF74">
        <v>-0.39694299999999999</v>
      </c>
      <c r="AG74">
        <v>0</v>
      </c>
      <c r="AH74">
        <v>1</v>
      </c>
      <c r="AI74">
        <v>0</v>
      </c>
      <c r="AJ74">
        <v>0</v>
      </c>
      <c r="AK74">
        <v>0</v>
      </c>
    </row>
    <row r="75" spans="1:37" x14ac:dyDescent="0.3">
      <c r="A75">
        <v>564</v>
      </c>
      <c r="B75">
        <v>2025</v>
      </c>
      <c r="C75" t="s">
        <v>134</v>
      </c>
      <c r="D75">
        <v>6.6666666666666679</v>
      </c>
      <c r="E75">
        <v>1706.912</v>
      </c>
      <c r="F75">
        <v>6949.8990000000003</v>
      </c>
      <c r="G75">
        <v>410.495</v>
      </c>
      <c r="H75">
        <v>1671.3810000000001</v>
      </c>
      <c r="I75">
        <v>2.6760000000000002</v>
      </c>
      <c r="J75">
        <v>3.2349999999999999</v>
      </c>
      <c r="K75">
        <v>-5.335</v>
      </c>
      <c r="L75">
        <v>15.734999999999999</v>
      </c>
      <c r="M75">
        <v>71.554000000000002</v>
      </c>
      <c r="N75">
        <v>0.51500000000000001</v>
      </c>
      <c r="O75">
        <v>2.4140000000000001</v>
      </c>
      <c r="P75">
        <v>7.7490000000000014</v>
      </c>
      <c r="Q75">
        <v>49.246901811248811</v>
      </c>
      <c r="R75">
        <v>4.5474420082618368</v>
      </c>
      <c r="S75">
        <v>3.2658</v>
      </c>
      <c r="T75">
        <v>11.2226</v>
      </c>
      <c r="U75">
        <v>-5.5143000000000004</v>
      </c>
      <c r="V75">
        <v>-1.0521</v>
      </c>
      <c r="W75">
        <v>4.6936080000000002</v>
      </c>
      <c r="X75">
        <v>6.657186520065097</v>
      </c>
      <c r="Y75">
        <v>38.100912116496467</v>
      </c>
      <c r="Z75">
        <v>5.7232754410077584</v>
      </c>
      <c r="AA75">
        <v>-0.95913999999999999</v>
      </c>
      <c r="AB75">
        <v>-1.932731</v>
      </c>
      <c r="AC75">
        <v>-0.57779000000000003</v>
      </c>
      <c r="AD75">
        <v>-0.90100800000000003</v>
      </c>
      <c r="AE75">
        <v>-0.85988600000000004</v>
      </c>
      <c r="AF75">
        <v>-0.99935700000000005</v>
      </c>
      <c r="AG75">
        <v>0</v>
      </c>
      <c r="AH75">
        <v>1</v>
      </c>
      <c r="AI75">
        <v>1</v>
      </c>
      <c r="AJ75">
        <v>1</v>
      </c>
      <c r="AK75">
        <v>1.512929290198174E-2</v>
      </c>
    </row>
    <row r="76" spans="1:37" x14ac:dyDescent="0.3">
      <c r="A76">
        <v>566</v>
      </c>
      <c r="B76">
        <v>2025</v>
      </c>
      <c r="C76" t="s">
        <v>135</v>
      </c>
      <c r="D76">
        <v>14.33333333333333</v>
      </c>
      <c r="E76">
        <v>4320.5569999999998</v>
      </c>
      <c r="F76">
        <v>12920.04</v>
      </c>
      <c r="G76">
        <v>494.15800000000002</v>
      </c>
      <c r="H76">
        <v>1477.711</v>
      </c>
      <c r="I76">
        <v>5.4349999999999996</v>
      </c>
      <c r="J76">
        <v>1.5</v>
      </c>
      <c r="K76">
        <v>-3.5720000000000001</v>
      </c>
      <c r="L76">
        <v>20.422999999999998</v>
      </c>
      <c r="M76">
        <v>58.17</v>
      </c>
      <c r="N76">
        <v>-3.81</v>
      </c>
      <c r="O76">
        <v>-0.92200000000000004</v>
      </c>
      <c r="P76">
        <v>2.65</v>
      </c>
      <c r="Q76">
        <v>12.97556676296333</v>
      </c>
      <c r="R76">
        <v>2.8482593154776481</v>
      </c>
      <c r="S76">
        <v>4.4164000000000003</v>
      </c>
      <c r="T76">
        <v>3.4845000000000002</v>
      </c>
      <c r="U76">
        <v>-3.872199999999999</v>
      </c>
      <c r="V76">
        <v>-2.6055999999999999</v>
      </c>
      <c r="W76">
        <v>8.0988487500000002</v>
      </c>
      <c r="X76">
        <v>1.44471926361735</v>
      </c>
      <c r="Y76">
        <v>25.711746082877411</v>
      </c>
      <c r="Z76">
        <v>17.797053538622599</v>
      </c>
      <c r="AA76">
        <v>-1.6837999999999999E-2</v>
      </c>
      <c r="AB76">
        <v>-0.56605000000000005</v>
      </c>
      <c r="AC76">
        <v>0.15409200000000001</v>
      </c>
      <c r="AD76">
        <v>0.16425500000000001</v>
      </c>
      <c r="AE76">
        <v>-0.41814699999999999</v>
      </c>
      <c r="AF76">
        <v>-0.53764000000000001</v>
      </c>
      <c r="AG76">
        <v>0</v>
      </c>
      <c r="AH76">
        <v>1</v>
      </c>
      <c r="AI76">
        <v>0</v>
      </c>
      <c r="AJ76">
        <v>0</v>
      </c>
      <c r="AK76">
        <v>0</v>
      </c>
    </row>
    <row r="77" spans="1:37" x14ac:dyDescent="0.3">
      <c r="A77">
        <v>576</v>
      </c>
      <c r="B77">
        <v>2025</v>
      </c>
      <c r="C77" t="s">
        <v>136</v>
      </c>
      <c r="D77">
        <v>22</v>
      </c>
      <c r="E77">
        <v>94480.8</v>
      </c>
      <c r="F77">
        <v>156969.07</v>
      </c>
      <c r="G77">
        <v>574.18499999999995</v>
      </c>
      <c r="H77">
        <v>953.94299999999998</v>
      </c>
      <c r="I77">
        <v>2.226</v>
      </c>
      <c r="J77">
        <v>1.1000000000000001</v>
      </c>
      <c r="K77">
        <v>3.1080000000000001</v>
      </c>
      <c r="L77">
        <v>19.933</v>
      </c>
      <c r="M77">
        <v>175.614</v>
      </c>
      <c r="N77">
        <v>17.399999999999999</v>
      </c>
      <c r="O77">
        <v>5.8473514115882788</v>
      </c>
      <c r="P77">
        <v>2.7393514115882791</v>
      </c>
      <c r="Q77">
        <v>13.742795422607131</v>
      </c>
      <c r="R77">
        <v>8.8102142176290581</v>
      </c>
      <c r="S77">
        <v>2.7806999999999999</v>
      </c>
      <c r="T77">
        <v>2.3933</v>
      </c>
      <c r="U77">
        <v>1.5719000000000001</v>
      </c>
      <c r="V77">
        <v>17.690000000000001</v>
      </c>
      <c r="W77">
        <v>9.5103947499999997</v>
      </c>
      <c r="X77">
        <v>5.2062884930619511</v>
      </c>
      <c r="Y77">
        <v>342.06424571522052</v>
      </c>
      <c r="Z77">
        <v>65.702130446874989</v>
      </c>
      <c r="AA77">
        <v>-6.5411999999999998E-2</v>
      </c>
      <c r="AB77">
        <v>1.424204</v>
      </c>
      <c r="AC77">
        <v>2.317472</v>
      </c>
      <c r="AD77">
        <v>2.3085909999999998</v>
      </c>
      <c r="AE77">
        <v>1.7531749999999999</v>
      </c>
      <c r="AF77">
        <v>2.040184</v>
      </c>
      <c r="AG77">
        <v>0</v>
      </c>
      <c r="AH77">
        <v>1</v>
      </c>
      <c r="AI77">
        <v>0</v>
      </c>
      <c r="AJ77">
        <v>0</v>
      </c>
      <c r="AK77">
        <v>0</v>
      </c>
    </row>
    <row r="78" spans="1:37" x14ac:dyDescent="0.3">
      <c r="A78">
        <v>578</v>
      </c>
      <c r="B78">
        <v>2025</v>
      </c>
      <c r="C78" t="s">
        <v>137</v>
      </c>
      <c r="D78">
        <v>15</v>
      </c>
      <c r="E78">
        <v>7942.299</v>
      </c>
      <c r="F78">
        <v>26358.58</v>
      </c>
      <c r="G78">
        <v>558.57299999999998</v>
      </c>
      <c r="H78">
        <v>1853.771</v>
      </c>
      <c r="I78">
        <v>2</v>
      </c>
      <c r="J78">
        <v>0.59499999999999997</v>
      </c>
      <c r="K78">
        <v>-2.5950000000000002</v>
      </c>
      <c r="L78">
        <v>20.92</v>
      </c>
      <c r="M78">
        <v>64.935000000000002</v>
      </c>
      <c r="N78">
        <v>1.6619999999999999</v>
      </c>
      <c r="O78">
        <v>-1.288</v>
      </c>
      <c r="P78">
        <v>1.3069999999999999</v>
      </c>
      <c r="Q78">
        <v>6.2476099426386238</v>
      </c>
      <c r="R78">
        <v>3.103967495219885</v>
      </c>
      <c r="S78">
        <v>1.3219000000000001</v>
      </c>
      <c r="T78">
        <v>1.4492</v>
      </c>
      <c r="U78">
        <v>-3.1395</v>
      </c>
      <c r="V78">
        <v>1.137</v>
      </c>
      <c r="W78">
        <v>9.5596730000000001</v>
      </c>
      <c r="X78">
        <v>0.82273825610305396</v>
      </c>
      <c r="Y78">
        <v>35.61768449773917</v>
      </c>
      <c r="Z78">
        <v>43.29163526009394</v>
      </c>
      <c r="AA78">
        <v>-0.45037100000000002</v>
      </c>
      <c r="AB78">
        <v>-0.28030300000000002</v>
      </c>
      <c r="AC78">
        <v>0.171706</v>
      </c>
      <c r="AD78">
        <v>0.15825800000000001</v>
      </c>
      <c r="AE78">
        <v>0.24487300000000001</v>
      </c>
      <c r="AF78">
        <v>-0.48905100000000001</v>
      </c>
      <c r="AG78">
        <v>0</v>
      </c>
      <c r="AH78">
        <v>1</v>
      </c>
      <c r="AI78">
        <v>0</v>
      </c>
      <c r="AJ78">
        <v>0</v>
      </c>
      <c r="AK78">
        <v>0</v>
      </c>
    </row>
    <row r="79" spans="1:37" x14ac:dyDescent="0.3">
      <c r="A79">
        <v>582</v>
      </c>
      <c r="B79">
        <v>2025</v>
      </c>
      <c r="C79" t="s">
        <v>138</v>
      </c>
      <c r="D79">
        <v>11.66666666666667</v>
      </c>
      <c r="E79">
        <v>4744.7250000000004</v>
      </c>
      <c r="F79">
        <v>17688.249</v>
      </c>
      <c r="G79">
        <v>484.726</v>
      </c>
      <c r="H79">
        <v>1807.05</v>
      </c>
      <c r="I79">
        <v>6.4569999999999999</v>
      </c>
      <c r="J79">
        <v>3.39</v>
      </c>
      <c r="K79">
        <v>-3.2589999999999999</v>
      </c>
      <c r="L79">
        <v>18.437999999999999</v>
      </c>
      <c r="M79">
        <v>32.045000000000002</v>
      </c>
      <c r="N79">
        <v>4.0469999999999997</v>
      </c>
      <c r="O79">
        <v>-2.4079999999999999</v>
      </c>
      <c r="P79">
        <v>0.85099999999999998</v>
      </c>
      <c r="Q79">
        <v>4.6154680551035909</v>
      </c>
      <c r="R79">
        <v>1.737986766460571</v>
      </c>
      <c r="S79">
        <v>5.4824999999999999</v>
      </c>
      <c r="T79">
        <v>2.9521999999999999</v>
      </c>
      <c r="U79">
        <v>-1.8725000000000001</v>
      </c>
      <c r="V79">
        <v>2.6299000000000001</v>
      </c>
      <c r="W79">
        <v>3.1</v>
      </c>
      <c r="X79">
        <v>1.544579736950267</v>
      </c>
      <c r="Y79">
        <v>28.569297201959881</v>
      </c>
      <c r="Z79">
        <v>18.49648581974099</v>
      </c>
      <c r="AA79">
        <v>-1.241854</v>
      </c>
      <c r="AB79">
        <v>-3.6380999999999997E-2</v>
      </c>
      <c r="AC79">
        <v>0.126467</v>
      </c>
      <c r="AD79">
        <v>-0.382608</v>
      </c>
      <c r="AE79">
        <v>-8.5472000000000006E-2</v>
      </c>
      <c r="AF79">
        <v>-0.41581400000000002</v>
      </c>
      <c r="AG79">
        <v>0</v>
      </c>
      <c r="AH79">
        <v>1</v>
      </c>
      <c r="AI79">
        <v>0</v>
      </c>
      <c r="AJ79">
        <v>0</v>
      </c>
      <c r="AK79">
        <v>0</v>
      </c>
    </row>
    <row r="80" spans="1:37" x14ac:dyDescent="0.3">
      <c r="A80">
        <v>612</v>
      </c>
      <c r="B80">
        <v>2025</v>
      </c>
      <c r="C80" t="s">
        <v>139</v>
      </c>
      <c r="E80">
        <v>6095.32</v>
      </c>
      <c r="F80">
        <v>18509.45</v>
      </c>
      <c r="G80">
        <v>288.01299999999998</v>
      </c>
      <c r="H80">
        <v>874.59900000000005</v>
      </c>
      <c r="I80">
        <v>3.3570000000000002</v>
      </c>
      <c r="J80">
        <v>4.6079999999999997</v>
      </c>
      <c r="K80">
        <v>-11.542999999999999</v>
      </c>
      <c r="L80">
        <v>24.082999999999998</v>
      </c>
      <c r="M80">
        <v>54.048000000000002</v>
      </c>
      <c r="N80">
        <v>-3.6789999999999998</v>
      </c>
      <c r="O80">
        <v>-10.513</v>
      </c>
      <c r="P80">
        <v>1.0299999999999989</v>
      </c>
      <c r="Q80">
        <v>4.2768758045094026</v>
      </c>
      <c r="R80">
        <v>2.2442386745837308</v>
      </c>
      <c r="S80">
        <v>2.44</v>
      </c>
      <c r="T80">
        <v>5.107899999999999</v>
      </c>
      <c r="U80">
        <v>-9.3296000000000028</v>
      </c>
      <c r="V80">
        <v>-2.1480000000000001</v>
      </c>
      <c r="W80">
        <v>16.328367499999999</v>
      </c>
      <c r="X80">
        <v>0.1311136991293784</v>
      </c>
      <c r="Y80">
        <v>2.7670767504735352</v>
      </c>
      <c r="Z80">
        <v>21.104406090648698</v>
      </c>
      <c r="AA80">
        <v>-0.97988399999999998</v>
      </c>
      <c r="AB80">
        <v>-0.57788499999999998</v>
      </c>
      <c r="AC80">
        <v>-0.67013500000000004</v>
      </c>
      <c r="AD80">
        <v>-0.94808700000000001</v>
      </c>
      <c r="AE80">
        <v>-0.67836399999999997</v>
      </c>
      <c r="AF80">
        <v>-0.58930800000000005</v>
      </c>
      <c r="AG80">
        <v>0</v>
      </c>
      <c r="AH80">
        <v>1</v>
      </c>
      <c r="AI80">
        <v>0</v>
      </c>
      <c r="AJ80">
        <v>0</v>
      </c>
      <c r="AK80">
        <v>0</v>
      </c>
    </row>
    <row r="81" spans="1:37" x14ac:dyDescent="0.3">
      <c r="A81">
        <v>614</v>
      </c>
      <c r="B81">
        <v>2025</v>
      </c>
      <c r="C81" t="s">
        <v>140</v>
      </c>
      <c r="D81">
        <v>7</v>
      </c>
      <c r="E81">
        <v>2930.6869999999999</v>
      </c>
      <c r="F81">
        <v>10216.56</v>
      </c>
      <c r="G81">
        <v>115.167</v>
      </c>
      <c r="H81">
        <v>401.48</v>
      </c>
      <c r="I81">
        <v>2.09</v>
      </c>
      <c r="J81">
        <v>20.010000000000002</v>
      </c>
      <c r="K81">
        <v>-2.7589999999999999</v>
      </c>
      <c r="L81">
        <v>15.563000000000001</v>
      </c>
      <c r="M81">
        <v>62.366</v>
      </c>
      <c r="N81">
        <v>0.94</v>
      </c>
      <c r="O81">
        <v>1.609</v>
      </c>
      <c r="P81">
        <v>4.3680000000000003</v>
      </c>
      <c r="Q81">
        <v>28.066568142388999</v>
      </c>
      <c r="R81">
        <v>4.0073250658613384</v>
      </c>
      <c r="S81">
        <v>2.0472000000000001</v>
      </c>
      <c r="T81">
        <v>17.6968</v>
      </c>
      <c r="U81">
        <v>-1.4375</v>
      </c>
      <c r="V81">
        <v>3.2515000000000009</v>
      </c>
      <c r="W81">
        <v>11.510009999999999</v>
      </c>
      <c r="X81">
        <v>4.9078467153284668</v>
      </c>
      <c r="Y81">
        <v>47.329431851369257</v>
      </c>
      <c r="Z81">
        <v>9.6436247088865432</v>
      </c>
      <c r="AA81">
        <v>-0.73725200000000002</v>
      </c>
      <c r="AB81">
        <v>-0.341505</v>
      </c>
      <c r="AC81">
        <v>-1.00891</v>
      </c>
      <c r="AD81">
        <v>-0.76138799999999995</v>
      </c>
      <c r="AE81">
        <v>-1.0990660000000001</v>
      </c>
      <c r="AF81">
        <v>-0.60992000000000002</v>
      </c>
      <c r="AG81">
        <v>0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>
        <v>616</v>
      </c>
      <c r="B82">
        <v>2025</v>
      </c>
      <c r="C82" t="s">
        <v>142</v>
      </c>
      <c r="D82">
        <v>15</v>
      </c>
      <c r="E82">
        <v>6943.1570000000002</v>
      </c>
      <c r="F82">
        <v>19053.099999999999</v>
      </c>
      <c r="G82">
        <v>19.186</v>
      </c>
      <c r="H82">
        <v>52.65</v>
      </c>
      <c r="I82">
        <v>-0.877</v>
      </c>
      <c r="J82">
        <v>5</v>
      </c>
      <c r="K82">
        <v>-10.148</v>
      </c>
      <c r="L82">
        <v>24.085000000000001</v>
      </c>
      <c r="M82">
        <v>38.798000000000002</v>
      </c>
      <c r="N82">
        <v>-7.6</v>
      </c>
      <c r="O82">
        <v>-8.5619999999999994</v>
      </c>
      <c r="P82">
        <v>1.5860000000000001</v>
      </c>
      <c r="Q82">
        <v>6.5850114178949566</v>
      </c>
      <c r="R82">
        <v>1.610878139921113</v>
      </c>
      <c r="S82">
        <v>2.4788000000000001</v>
      </c>
      <c r="T82">
        <v>5.1560000000000006</v>
      </c>
      <c r="U82">
        <v>-6.4628999999999994</v>
      </c>
      <c r="V82">
        <v>-3.7727999999999988</v>
      </c>
      <c r="W82">
        <v>6.1849400000000001</v>
      </c>
      <c r="X82">
        <v>1.6189004492787891</v>
      </c>
      <c r="Y82">
        <v>29.081343980970178</v>
      </c>
      <c r="Z82">
        <v>17.9636394528927</v>
      </c>
      <c r="AA82">
        <v>0.50405699999999998</v>
      </c>
      <c r="AB82">
        <v>1.03844</v>
      </c>
      <c r="AC82">
        <v>0.43082799999999999</v>
      </c>
      <c r="AD82">
        <v>0.49743500000000002</v>
      </c>
      <c r="AE82">
        <v>0.39043600000000001</v>
      </c>
      <c r="AF82">
        <v>0.68579199999999996</v>
      </c>
      <c r="AG82">
        <v>0</v>
      </c>
      <c r="AH82">
        <v>1</v>
      </c>
      <c r="AI82">
        <v>0</v>
      </c>
      <c r="AJ82">
        <v>0</v>
      </c>
      <c r="AK82">
        <v>0</v>
      </c>
    </row>
    <row r="83" spans="1:37" x14ac:dyDescent="0.3">
      <c r="A83">
        <v>622</v>
      </c>
      <c r="B83">
        <v>2025</v>
      </c>
      <c r="C83" t="s">
        <v>143</v>
      </c>
      <c r="D83">
        <v>7</v>
      </c>
      <c r="E83">
        <v>2027.3989999999999</v>
      </c>
      <c r="F83">
        <v>5791.09</v>
      </c>
      <c r="G83">
        <v>60.576999999999998</v>
      </c>
      <c r="H83">
        <v>173.03399999999999</v>
      </c>
      <c r="I83">
        <v>3.7959999999999998</v>
      </c>
      <c r="J83">
        <v>3.6</v>
      </c>
      <c r="K83">
        <v>-0.83899999999999997</v>
      </c>
      <c r="L83">
        <v>15.044</v>
      </c>
      <c r="M83">
        <v>37.915999999999997</v>
      </c>
      <c r="N83">
        <v>-3.3610000000000002</v>
      </c>
      <c r="O83">
        <v>0.38600000000000001</v>
      </c>
      <c r="P83">
        <v>1.2250000000000001</v>
      </c>
      <c r="Q83">
        <v>8.1427811752193566</v>
      </c>
      <c r="R83">
        <v>2.5203403350172819</v>
      </c>
      <c r="S83">
        <v>3.5289000000000001</v>
      </c>
      <c r="T83">
        <v>3.809600000000001</v>
      </c>
      <c r="U83">
        <v>-1.4823999999999999</v>
      </c>
      <c r="V83">
        <v>-3.6387999999999998</v>
      </c>
      <c r="W83">
        <v>6.9998500000000003</v>
      </c>
      <c r="X83">
        <v>4.0494162210338676</v>
      </c>
      <c r="Y83">
        <v>32.143226034665723</v>
      </c>
      <c r="Z83">
        <v>7.9377431906614779</v>
      </c>
      <c r="AA83">
        <v>-1.066397</v>
      </c>
      <c r="AB83">
        <v>-1.400436</v>
      </c>
      <c r="AC83">
        <v>-0.90626300000000004</v>
      </c>
      <c r="AD83">
        <v>-0.91347299999999998</v>
      </c>
      <c r="AE83">
        <v>-1.038198</v>
      </c>
      <c r="AF83">
        <v>-1.16256</v>
      </c>
      <c r="AG83">
        <v>0</v>
      </c>
      <c r="AH83">
        <v>1</v>
      </c>
      <c r="AI83">
        <v>0</v>
      </c>
      <c r="AJ83">
        <v>0</v>
      </c>
      <c r="AK83">
        <v>0</v>
      </c>
    </row>
    <row r="84" spans="1:37" x14ac:dyDescent="0.3">
      <c r="A84">
        <v>624</v>
      </c>
      <c r="B84">
        <v>2025</v>
      </c>
      <c r="C84" t="s">
        <v>144</v>
      </c>
      <c r="D84">
        <v>8</v>
      </c>
      <c r="E84">
        <v>5671.0010000000002</v>
      </c>
      <c r="F84">
        <v>12335.268</v>
      </c>
      <c r="G84">
        <v>2.915</v>
      </c>
      <c r="H84">
        <v>6.34</v>
      </c>
      <c r="I84">
        <v>5.1859999999999999</v>
      </c>
      <c r="J84">
        <v>2</v>
      </c>
      <c r="K84">
        <v>-1.5840000000000001</v>
      </c>
      <c r="L84">
        <v>26.489000000000001</v>
      </c>
      <c r="M84">
        <v>106.018</v>
      </c>
      <c r="N84">
        <v>-0.872</v>
      </c>
      <c r="O84">
        <v>0.442</v>
      </c>
      <c r="P84">
        <v>2.0259999999999998</v>
      </c>
      <c r="Q84">
        <v>7.6484578504284801</v>
      </c>
      <c r="R84">
        <v>4.002340594208917</v>
      </c>
      <c r="S84">
        <v>3.8399000000000001</v>
      </c>
      <c r="T84">
        <v>2.4931000000000001</v>
      </c>
      <c r="U84">
        <v>-2.5396999999999998</v>
      </c>
      <c r="V84">
        <v>-4.2984</v>
      </c>
      <c r="W84">
        <v>7.9384579999999998</v>
      </c>
      <c r="X84">
        <v>3.0036257744733579</v>
      </c>
      <c r="Y84">
        <v>76.876815731049803</v>
      </c>
      <c r="Z84">
        <v>25.594671741198859</v>
      </c>
      <c r="AA84">
        <v>0.95810099999999998</v>
      </c>
      <c r="AB84">
        <v>0.90324599999999999</v>
      </c>
      <c r="AC84">
        <v>1.3677E-2</v>
      </c>
      <c r="AD84">
        <v>0.24290300000000001</v>
      </c>
      <c r="AE84">
        <v>0.40010600000000002</v>
      </c>
      <c r="AF84">
        <v>0.98485699999999998</v>
      </c>
      <c r="AG84">
        <v>0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>
        <v>634</v>
      </c>
      <c r="B85">
        <v>2025</v>
      </c>
      <c r="C85" t="s">
        <v>145</v>
      </c>
      <c r="D85">
        <v>5.6666666666666679</v>
      </c>
      <c r="E85">
        <v>2419.7640000000001</v>
      </c>
      <c r="F85">
        <v>6515.3580000000002</v>
      </c>
      <c r="G85">
        <v>15.695</v>
      </c>
      <c r="H85">
        <v>42.259</v>
      </c>
      <c r="I85">
        <v>2.6539999999999999</v>
      </c>
      <c r="J85">
        <v>3.4</v>
      </c>
      <c r="K85">
        <v>3.2309999999999999</v>
      </c>
      <c r="L85">
        <v>25.13</v>
      </c>
      <c r="M85">
        <v>93.144999999999996</v>
      </c>
      <c r="N85">
        <v>-5.8650000000000002</v>
      </c>
      <c r="O85">
        <v>6.6769999999999996</v>
      </c>
      <c r="P85">
        <v>3.4460000000000002</v>
      </c>
      <c r="Q85">
        <v>13.712693991245519</v>
      </c>
      <c r="R85">
        <v>3.7065260644647831</v>
      </c>
      <c r="S85">
        <v>1.6780999999999999</v>
      </c>
      <c r="T85">
        <v>3.2839999999999998</v>
      </c>
      <c r="U85">
        <v>3.802</v>
      </c>
      <c r="V85">
        <v>1.4752999999999989</v>
      </c>
      <c r="W85">
        <v>2.085175</v>
      </c>
      <c r="X85">
        <v>13.71089569126327</v>
      </c>
      <c r="Y85">
        <v>55.278017507089139</v>
      </c>
      <c r="Z85">
        <v>4.0316853655529528</v>
      </c>
      <c r="AA85">
        <v>-1.1541669999999999</v>
      </c>
      <c r="AB85">
        <v>1.9161999999999998E-2</v>
      </c>
      <c r="AC85">
        <v>-1.334287</v>
      </c>
      <c r="AD85">
        <v>-1.239406</v>
      </c>
      <c r="AE85">
        <v>-1.0205869999999999</v>
      </c>
      <c r="AF85">
        <v>-1.3452789999999999</v>
      </c>
      <c r="AG85">
        <v>0</v>
      </c>
      <c r="AH85">
        <v>1</v>
      </c>
      <c r="AI85">
        <v>1</v>
      </c>
      <c r="AJ85">
        <v>1</v>
      </c>
      <c r="AK85">
        <v>0.27538748137402541</v>
      </c>
    </row>
    <row r="86" spans="1:37" x14ac:dyDescent="0.3">
      <c r="A86">
        <v>636</v>
      </c>
      <c r="B86">
        <v>2025</v>
      </c>
      <c r="C86" t="s">
        <v>146</v>
      </c>
      <c r="D86">
        <v>7</v>
      </c>
      <c r="E86">
        <v>772.03200000000004</v>
      </c>
      <c r="F86">
        <v>1974.5050000000001</v>
      </c>
      <c r="G86">
        <v>82.262</v>
      </c>
      <c r="H86">
        <v>210.38800000000001</v>
      </c>
      <c r="I86">
        <v>5.28</v>
      </c>
      <c r="J86">
        <v>7.8550000000000004</v>
      </c>
      <c r="K86">
        <v>-2.21</v>
      </c>
      <c r="L86">
        <v>14.557</v>
      </c>
      <c r="M86">
        <v>19.07</v>
      </c>
      <c r="N86">
        <v>-3.2610000000000001</v>
      </c>
      <c r="O86">
        <v>-1.7270000000000001</v>
      </c>
      <c r="P86">
        <v>0.48299999999999987</v>
      </c>
      <c r="Q86">
        <v>3.3179913443704052</v>
      </c>
      <c r="R86">
        <v>1.310022669506079</v>
      </c>
      <c r="S86">
        <v>5.4394</v>
      </c>
      <c r="T86">
        <v>10.527200000000001</v>
      </c>
      <c r="U86">
        <v>-1.7401</v>
      </c>
      <c r="V86">
        <v>-2.9986000000000002</v>
      </c>
      <c r="W86">
        <v>2.37</v>
      </c>
      <c r="X86">
        <v>1.8533318432424379</v>
      </c>
      <c r="Y86">
        <v>16.974015694302281</v>
      </c>
      <c r="Z86">
        <v>9.158648925281474</v>
      </c>
      <c r="AA86">
        <v>-1.21333</v>
      </c>
      <c r="AB86">
        <v>-2.0448620000000002</v>
      </c>
      <c r="AC86">
        <v>-1.689066</v>
      </c>
      <c r="AD86">
        <v>-1.4085760000000001</v>
      </c>
      <c r="AE86">
        <v>-1.670736</v>
      </c>
      <c r="AF86">
        <v>-1.4805120000000001</v>
      </c>
      <c r="AG86">
        <v>0</v>
      </c>
      <c r="AH86">
        <v>1</v>
      </c>
      <c r="AI86">
        <v>0</v>
      </c>
      <c r="AJ86">
        <v>0</v>
      </c>
      <c r="AK86">
        <v>0</v>
      </c>
    </row>
    <row r="87" spans="1:37" x14ac:dyDescent="0.3">
      <c r="A87">
        <v>638</v>
      </c>
      <c r="B87">
        <v>2025</v>
      </c>
      <c r="C87" t="s">
        <v>148</v>
      </c>
      <c r="D87">
        <v>9.3333333333333339</v>
      </c>
      <c r="E87">
        <v>1635.2360000000001</v>
      </c>
      <c r="F87">
        <v>4719.2439999999997</v>
      </c>
      <c r="G87">
        <v>24.402000000000001</v>
      </c>
      <c r="H87">
        <v>70.423000000000002</v>
      </c>
      <c r="I87">
        <v>7.0410000000000004</v>
      </c>
      <c r="J87">
        <v>2.1</v>
      </c>
      <c r="K87">
        <v>-2.9</v>
      </c>
      <c r="L87">
        <v>15.569000000000001</v>
      </c>
      <c r="M87">
        <v>50.741</v>
      </c>
      <c r="N87">
        <v>-5.5460000000000003</v>
      </c>
      <c r="O87">
        <v>-1.0169999999999999</v>
      </c>
      <c r="P87">
        <v>1.883</v>
      </c>
      <c r="Q87">
        <v>12.094546855931659</v>
      </c>
      <c r="R87">
        <v>3.2591046309974949</v>
      </c>
      <c r="S87">
        <v>6.3849999999999998</v>
      </c>
      <c r="T87">
        <v>1.9023000000000001</v>
      </c>
      <c r="U87">
        <v>-3.7639</v>
      </c>
      <c r="V87">
        <v>-5.0410999999999992</v>
      </c>
      <c r="W87">
        <v>2.5201999999999999E-2</v>
      </c>
      <c r="X87">
        <v>1274.405</v>
      </c>
      <c r="Y87">
        <v>63.078947368421048</v>
      </c>
      <c r="Z87">
        <v>4.9496782709123902E-2</v>
      </c>
      <c r="AA87">
        <v>-0.21898699999999999</v>
      </c>
      <c r="AB87">
        <v>-0.34655900000000001</v>
      </c>
      <c r="AC87">
        <v>-0.21898400000000001</v>
      </c>
      <c r="AD87">
        <v>-0.29583599999999999</v>
      </c>
      <c r="AE87">
        <v>-0.50570999999999999</v>
      </c>
      <c r="AF87">
        <v>-4.9578999999999998E-2</v>
      </c>
      <c r="AG87">
        <v>0</v>
      </c>
      <c r="AH87">
        <v>1</v>
      </c>
      <c r="AI87">
        <v>0</v>
      </c>
      <c r="AJ87">
        <v>0</v>
      </c>
      <c r="AK87">
        <v>0</v>
      </c>
    </row>
    <row r="88" spans="1:37" x14ac:dyDescent="0.3">
      <c r="A88">
        <v>644</v>
      </c>
      <c r="B88">
        <v>2025</v>
      </c>
      <c r="C88" t="s">
        <v>149</v>
      </c>
      <c r="D88">
        <v>2</v>
      </c>
      <c r="E88">
        <v>994.04200000000003</v>
      </c>
      <c r="F88">
        <v>4419.777</v>
      </c>
      <c r="G88">
        <v>109.492</v>
      </c>
      <c r="H88">
        <v>486.83</v>
      </c>
      <c r="I88">
        <v>7.2240000000000002</v>
      </c>
      <c r="J88">
        <v>9.8030000000000008</v>
      </c>
      <c r="K88">
        <v>-1.5469999999999999</v>
      </c>
      <c r="L88">
        <v>10.46</v>
      </c>
      <c r="M88">
        <v>46.741999999999997</v>
      </c>
      <c r="N88">
        <v>-2.8780000000000001</v>
      </c>
      <c r="O88">
        <v>-0.46700000000000003</v>
      </c>
      <c r="P88">
        <v>1.08</v>
      </c>
      <c r="Q88">
        <v>10.325047801147219</v>
      </c>
      <c r="R88">
        <v>4.4686424474187376</v>
      </c>
      <c r="S88">
        <v>7.1742999999999997</v>
      </c>
      <c r="T88">
        <v>17.366299999999999</v>
      </c>
      <c r="U88">
        <v>-2.2591999999999999</v>
      </c>
      <c r="V88">
        <v>-3.0491999999999999</v>
      </c>
      <c r="W88">
        <v>3.0661390000000002</v>
      </c>
      <c r="X88">
        <v>8.949183531053734</v>
      </c>
      <c r="Y88">
        <v>32.178975894544912</v>
      </c>
      <c r="Z88">
        <v>3.5957443249301591</v>
      </c>
      <c r="AA88">
        <v>-1.060667</v>
      </c>
      <c r="AB88">
        <v>-1.969568</v>
      </c>
      <c r="AC88">
        <v>-0.76866199999999996</v>
      </c>
      <c r="AD88">
        <v>-1.0210790000000001</v>
      </c>
      <c r="AE88">
        <v>-0.67020299999999999</v>
      </c>
      <c r="AF88">
        <v>-0.46506199999999998</v>
      </c>
      <c r="AG88">
        <v>0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>
        <v>646</v>
      </c>
      <c r="B89">
        <v>2025</v>
      </c>
      <c r="C89" t="s">
        <v>150</v>
      </c>
      <c r="D89">
        <v>5</v>
      </c>
      <c r="E89">
        <v>9303.0400000000009</v>
      </c>
      <c r="F89">
        <v>24738.799999999999</v>
      </c>
      <c r="G89">
        <v>21.454999999999998</v>
      </c>
      <c r="H89">
        <v>57.054000000000002</v>
      </c>
      <c r="I89">
        <v>1.8740000000000001</v>
      </c>
      <c r="J89">
        <v>1.95</v>
      </c>
      <c r="K89">
        <v>-5.4059999999999997</v>
      </c>
      <c r="L89">
        <v>20.361000000000001</v>
      </c>
      <c r="M89">
        <v>76.222999999999999</v>
      </c>
      <c r="N89">
        <v>1.7749999999999999</v>
      </c>
      <c r="O89">
        <v>-1.968</v>
      </c>
      <c r="P89">
        <v>3.4380000000000002</v>
      </c>
      <c r="Q89">
        <v>16.88522174745837</v>
      </c>
      <c r="R89">
        <v>3.7435784097048281</v>
      </c>
      <c r="S89">
        <v>2.1381999999999999</v>
      </c>
      <c r="T89">
        <v>2.2216999999999998</v>
      </c>
      <c r="U89">
        <v>-4.6105</v>
      </c>
      <c r="V89">
        <v>2.1131000000000002</v>
      </c>
      <c r="W89">
        <v>3.5205519999999999</v>
      </c>
      <c r="X89">
        <v>7.4240673006583764</v>
      </c>
      <c r="Y89">
        <v>47.943594104308403</v>
      </c>
      <c r="Z89">
        <v>6.4578609221466374</v>
      </c>
      <c r="AA89">
        <v>-0.91915100000000005</v>
      </c>
      <c r="AB89">
        <v>-0.33552700000000002</v>
      </c>
      <c r="AC89">
        <v>-0.77980899999999997</v>
      </c>
      <c r="AD89">
        <v>-0.70482</v>
      </c>
      <c r="AE89">
        <v>-0.87269300000000005</v>
      </c>
      <c r="AF89">
        <v>-1.015528</v>
      </c>
      <c r="AG89">
        <v>0</v>
      </c>
      <c r="AH89">
        <v>1</v>
      </c>
      <c r="AI89">
        <v>0</v>
      </c>
      <c r="AJ89">
        <v>0</v>
      </c>
      <c r="AK89">
        <v>0</v>
      </c>
    </row>
    <row r="90" spans="1:37" x14ac:dyDescent="0.3">
      <c r="A90">
        <v>652</v>
      </c>
      <c r="B90">
        <v>2025</v>
      </c>
      <c r="C90" t="s">
        <v>151</v>
      </c>
      <c r="D90">
        <v>6.3333333333333321</v>
      </c>
      <c r="E90">
        <v>3193.0709999999999</v>
      </c>
      <c r="F90">
        <v>8410.2939999999999</v>
      </c>
      <c r="G90">
        <v>111.96299999999999</v>
      </c>
      <c r="H90">
        <v>294.90100000000001</v>
      </c>
      <c r="I90">
        <v>4.0259999999999998</v>
      </c>
      <c r="J90">
        <v>11.978</v>
      </c>
      <c r="K90">
        <v>-2.7280000000000002</v>
      </c>
      <c r="L90">
        <v>16.140999999999998</v>
      </c>
      <c r="M90">
        <v>59.081000000000003</v>
      </c>
      <c r="N90">
        <v>1.8080000000000001</v>
      </c>
      <c r="O90">
        <v>1.4530000000000001</v>
      </c>
      <c r="P90">
        <v>4.181</v>
      </c>
      <c r="Q90">
        <v>25.90297998884828</v>
      </c>
      <c r="R90">
        <v>3.6603060529087421</v>
      </c>
      <c r="S90">
        <v>4.1981999999999999</v>
      </c>
      <c r="T90">
        <v>16.824000000000002</v>
      </c>
      <c r="U90">
        <v>-6.2271000000000001</v>
      </c>
      <c r="V90">
        <v>-0.30659999999999987</v>
      </c>
      <c r="W90">
        <v>6.7070299999999996</v>
      </c>
      <c r="X90">
        <v>4.937214751426243</v>
      </c>
      <c r="Y90">
        <v>54.160278044746427</v>
      </c>
      <c r="Z90">
        <v>10.96980398292394</v>
      </c>
      <c r="AA90">
        <v>0.41035199999999999</v>
      </c>
      <c r="AB90">
        <v>-2.1621000000000001E-2</v>
      </c>
      <c r="AC90">
        <v>-9.2661999999999994E-2</v>
      </c>
      <c r="AD90">
        <v>-0.18065200000000001</v>
      </c>
      <c r="AE90">
        <v>-9.9638000000000004E-2</v>
      </c>
      <c r="AF90">
        <v>-9.9020999999999998E-2</v>
      </c>
      <c r="AG90">
        <v>0</v>
      </c>
      <c r="AH90">
        <v>1</v>
      </c>
      <c r="AI90">
        <v>1</v>
      </c>
      <c r="AJ90">
        <v>1</v>
      </c>
      <c r="AK90">
        <v>0.61656529091383006</v>
      </c>
    </row>
    <row r="91" spans="1:37" x14ac:dyDescent="0.3">
      <c r="A91">
        <v>662</v>
      </c>
      <c r="B91">
        <v>2025</v>
      </c>
      <c r="C91" t="s">
        <v>152</v>
      </c>
      <c r="D91">
        <v>10.66666666666667</v>
      </c>
      <c r="E91">
        <v>3015.643</v>
      </c>
      <c r="F91">
        <v>8112.67</v>
      </c>
      <c r="G91">
        <v>99.206999999999994</v>
      </c>
      <c r="H91">
        <v>266.88600000000002</v>
      </c>
      <c r="I91">
        <v>6.4</v>
      </c>
      <c r="J91">
        <v>1</v>
      </c>
      <c r="K91">
        <v>-3.012</v>
      </c>
      <c r="L91">
        <v>17.420000000000002</v>
      </c>
      <c r="M91">
        <v>55.595999999999997</v>
      </c>
      <c r="N91">
        <v>-2.1480000000000001</v>
      </c>
      <c r="O91">
        <v>-0.23499999999999999</v>
      </c>
      <c r="P91">
        <v>2.7770000000000001</v>
      </c>
      <c r="Q91">
        <v>15.9414466130884</v>
      </c>
      <c r="R91">
        <v>3.191504018369689</v>
      </c>
      <c r="S91">
        <v>5.9512999999999998</v>
      </c>
      <c r="T91">
        <v>2.7456999999999998</v>
      </c>
      <c r="U91">
        <v>-4.1180000000000003</v>
      </c>
      <c r="V91">
        <v>-3.8685999999999998</v>
      </c>
      <c r="W91">
        <v>6.5082319999999996</v>
      </c>
      <c r="X91">
        <v>5.4236561085972852</v>
      </c>
      <c r="Y91">
        <v>43.17379849747865</v>
      </c>
      <c r="Z91">
        <v>7.9602758052896991</v>
      </c>
      <c r="AA91">
        <v>-0.37548100000000001</v>
      </c>
      <c r="AB91">
        <v>-0.63178800000000002</v>
      </c>
      <c r="AC91">
        <v>-0.359512</v>
      </c>
      <c r="AD91">
        <v>-0.116081</v>
      </c>
      <c r="AE91">
        <v>-0.46119700000000002</v>
      </c>
      <c r="AF91">
        <v>-0.31300699999999998</v>
      </c>
      <c r="AG91">
        <v>0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>
        <v>664</v>
      </c>
      <c r="B92">
        <v>2025</v>
      </c>
      <c r="C92" t="s">
        <v>153</v>
      </c>
      <c r="D92">
        <v>7</v>
      </c>
      <c r="E92">
        <v>2549.2840000000001</v>
      </c>
      <c r="F92">
        <v>7556.076</v>
      </c>
      <c r="G92">
        <v>136.01400000000001</v>
      </c>
      <c r="H92">
        <v>403.14600000000002</v>
      </c>
      <c r="I92">
        <v>4.8150000000000004</v>
      </c>
      <c r="J92">
        <v>4.4210000000000003</v>
      </c>
      <c r="K92">
        <v>-5.9640000000000004</v>
      </c>
      <c r="L92">
        <v>17.225000000000001</v>
      </c>
      <c r="M92">
        <v>68.019000000000005</v>
      </c>
      <c r="N92">
        <v>-2.8130000000000002</v>
      </c>
      <c r="O92">
        <v>-0.51800000000000002</v>
      </c>
      <c r="P92">
        <v>5.4460000000000006</v>
      </c>
      <c r="Q92">
        <v>31.616835994194481</v>
      </c>
      <c r="R92">
        <v>3.9488534107402029</v>
      </c>
      <c r="S92">
        <v>4.7343999999999999</v>
      </c>
      <c r="T92">
        <v>5.4747000000000003</v>
      </c>
      <c r="U92">
        <v>-5.9291999999999998</v>
      </c>
      <c r="V92">
        <v>-3.5451000000000001</v>
      </c>
      <c r="W92">
        <v>5.4442199999999996</v>
      </c>
      <c r="X92">
        <v>6.4230284217673876</v>
      </c>
      <c r="Y92">
        <v>51.399583928460537</v>
      </c>
      <c r="Z92">
        <v>8.0023908588461783</v>
      </c>
      <c r="AA92">
        <v>-0.124171</v>
      </c>
      <c r="AB92">
        <v>-0.93777200000000005</v>
      </c>
      <c r="AC92">
        <v>-0.30360500000000001</v>
      </c>
      <c r="AD92">
        <v>-0.39080700000000002</v>
      </c>
      <c r="AE92">
        <v>-0.32622200000000001</v>
      </c>
      <c r="AF92">
        <v>-0.77091299999999996</v>
      </c>
      <c r="AG92">
        <v>0</v>
      </c>
      <c r="AH92">
        <v>1</v>
      </c>
      <c r="AI92">
        <v>0</v>
      </c>
      <c r="AJ92">
        <v>0</v>
      </c>
      <c r="AK92">
        <v>0</v>
      </c>
    </row>
    <row r="93" spans="1:37" x14ac:dyDescent="0.3">
      <c r="A93">
        <v>666</v>
      </c>
      <c r="B93">
        <v>2025</v>
      </c>
      <c r="C93" t="s">
        <v>154</v>
      </c>
      <c r="D93">
        <v>8</v>
      </c>
      <c r="E93">
        <v>1001.076</v>
      </c>
      <c r="F93">
        <v>3089.2930000000001</v>
      </c>
      <c r="G93">
        <v>2.39</v>
      </c>
      <c r="H93">
        <v>7.375</v>
      </c>
      <c r="I93">
        <v>1.43</v>
      </c>
      <c r="J93">
        <v>4.8310000000000004</v>
      </c>
      <c r="K93">
        <v>2.9529999999999998</v>
      </c>
      <c r="L93">
        <v>59.621000000000002</v>
      </c>
      <c r="M93">
        <v>57.054000000000002</v>
      </c>
      <c r="N93">
        <v>-3.9039999999999999</v>
      </c>
      <c r="O93">
        <v>4.6349999999999998</v>
      </c>
      <c r="P93">
        <v>1.6819999999999999</v>
      </c>
      <c r="Q93">
        <v>2.821153620368662</v>
      </c>
      <c r="R93">
        <v>0.95694470069270898</v>
      </c>
      <c r="S93">
        <v>0.92389999999999994</v>
      </c>
      <c r="T93">
        <v>5.6649999999999991</v>
      </c>
      <c r="U93">
        <v>2.0169000000000001</v>
      </c>
      <c r="V93">
        <v>-4.2249999999999996</v>
      </c>
      <c r="W93">
        <v>6.7069999999999999</v>
      </c>
      <c r="X93">
        <v>1.884670632465236</v>
      </c>
      <c r="Y93">
        <v>78.135101533360967</v>
      </c>
      <c r="Z93">
        <v>41.458226274347282</v>
      </c>
      <c r="AA93">
        <v>2.9937999999999999E-2</v>
      </c>
      <c r="AB93">
        <v>-0.30576100000000001</v>
      </c>
      <c r="AC93">
        <v>-0.95360599999999995</v>
      </c>
      <c r="AD93">
        <v>-0.59014900000000003</v>
      </c>
      <c r="AE93">
        <v>-0.48001700000000003</v>
      </c>
      <c r="AF93">
        <v>-0.50947900000000002</v>
      </c>
      <c r="AG93">
        <v>0</v>
      </c>
      <c r="AH93">
        <v>1</v>
      </c>
      <c r="AI93">
        <v>0</v>
      </c>
      <c r="AJ93">
        <v>0</v>
      </c>
      <c r="AK93">
        <v>0</v>
      </c>
    </row>
    <row r="94" spans="1:37" x14ac:dyDescent="0.3">
      <c r="A94">
        <v>674</v>
      </c>
      <c r="B94">
        <v>2025</v>
      </c>
      <c r="C94" t="s">
        <v>155</v>
      </c>
      <c r="D94">
        <v>7</v>
      </c>
      <c r="E94">
        <v>616.221</v>
      </c>
      <c r="F94">
        <v>2039.7239999999999</v>
      </c>
      <c r="G94">
        <v>19.376999999999999</v>
      </c>
      <c r="H94">
        <v>64.138000000000005</v>
      </c>
      <c r="I94">
        <v>3.8490000000000002</v>
      </c>
      <c r="J94">
        <v>8.3000000000000007</v>
      </c>
      <c r="K94">
        <v>-3.8610000000000002</v>
      </c>
      <c r="L94">
        <v>12.242000000000001</v>
      </c>
      <c r="M94">
        <v>49.747999999999998</v>
      </c>
      <c r="N94">
        <v>-6.0039999999999996</v>
      </c>
      <c r="O94">
        <v>-2.907</v>
      </c>
      <c r="P94">
        <v>0.95400000000000018</v>
      </c>
      <c r="Q94">
        <v>7.7928443064858683</v>
      </c>
      <c r="R94">
        <v>4.0637150792354184</v>
      </c>
      <c r="S94">
        <v>3.3069999999999999</v>
      </c>
      <c r="T94">
        <v>7.1952000000000016</v>
      </c>
      <c r="U94">
        <v>-3.8241000000000001</v>
      </c>
      <c r="V94">
        <v>-5.4013000000000009</v>
      </c>
      <c r="W94">
        <v>6.6445169999999996</v>
      </c>
      <c r="X94">
        <v>2.5669813391877061</v>
      </c>
      <c r="Y94">
        <v>38.348966874385049</v>
      </c>
      <c r="Z94">
        <v>14.93932436864546</v>
      </c>
      <c r="AA94">
        <v>-0.31951600000000002</v>
      </c>
      <c r="AB94">
        <v>-0.69074599999999997</v>
      </c>
      <c r="AC94">
        <v>-1.0227759999999999</v>
      </c>
      <c r="AD94">
        <v>-0.79954700000000001</v>
      </c>
      <c r="AE94">
        <v>-0.97494599999999998</v>
      </c>
      <c r="AF94">
        <v>-1.0001819999999999</v>
      </c>
      <c r="AG94">
        <v>0</v>
      </c>
      <c r="AH94">
        <v>1</v>
      </c>
      <c r="AI94">
        <v>0</v>
      </c>
      <c r="AJ94">
        <v>0</v>
      </c>
      <c r="AK94">
        <v>0</v>
      </c>
    </row>
    <row r="95" spans="1:37" x14ac:dyDescent="0.3">
      <c r="A95">
        <v>684</v>
      </c>
      <c r="B95">
        <v>2025</v>
      </c>
      <c r="C95" t="s">
        <v>156</v>
      </c>
      <c r="D95">
        <v>13</v>
      </c>
      <c r="E95">
        <v>12518.848</v>
      </c>
      <c r="F95">
        <v>33023.74</v>
      </c>
      <c r="G95">
        <v>15.73</v>
      </c>
      <c r="H95">
        <v>41.493000000000002</v>
      </c>
      <c r="I95">
        <v>3.2</v>
      </c>
      <c r="J95">
        <v>4.0030000000000001</v>
      </c>
      <c r="K95">
        <v>-2.5550000000000002</v>
      </c>
      <c r="L95">
        <v>28.962</v>
      </c>
      <c r="M95">
        <v>88.132000000000005</v>
      </c>
      <c r="N95">
        <v>-4.7930000000000001</v>
      </c>
      <c r="O95">
        <v>0.308</v>
      </c>
      <c r="P95">
        <v>2.863</v>
      </c>
      <c r="Q95">
        <v>9.8853670326634901</v>
      </c>
      <c r="R95">
        <v>3.0430218907534008</v>
      </c>
      <c r="S95">
        <v>2.4283000000000001</v>
      </c>
      <c r="T95">
        <v>4.6428999999999991</v>
      </c>
      <c r="U95">
        <v>-3.0324</v>
      </c>
      <c r="V95">
        <v>-6.5385000000000009</v>
      </c>
      <c r="W95">
        <v>13.0586</v>
      </c>
      <c r="X95">
        <v>0.75873850791258468</v>
      </c>
      <c r="Y95">
        <v>31.284054188416601</v>
      </c>
      <c r="Z95">
        <v>41.231667909520262</v>
      </c>
      <c r="AA95">
        <v>0.615707</v>
      </c>
      <c r="AB95">
        <v>0.77541899999999997</v>
      </c>
      <c r="AC95">
        <v>0.71013800000000005</v>
      </c>
      <c r="AD95">
        <v>1.064479</v>
      </c>
      <c r="AE95">
        <v>0.80526900000000001</v>
      </c>
      <c r="AF95">
        <v>0.45319700000000002</v>
      </c>
      <c r="AG95">
        <v>0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>
        <v>686</v>
      </c>
      <c r="B96">
        <v>2025</v>
      </c>
      <c r="C96" t="s">
        <v>157</v>
      </c>
      <c r="D96">
        <v>12.33333333333333</v>
      </c>
      <c r="E96">
        <v>4762.7290000000003</v>
      </c>
      <c r="F96">
        <v>11437.15</v>
      </c>
      <c r="G96">
        <v>179.61199999999999</v>
      </c>
      <c r="H96">
        <v>431.31799999999998</v>
      </c>
      <c r="I96">
        <v>4.3940000000000001</v>
      </c>
      <c r="J96">
        <v>1.181</v>
      </c>
      <c r="K96">
        <v>-3.7989999999999999</v>
      </c>
      <c r="L96">
        <v>30.667000000000002</v>
      </c>
      <c r="M96">
        <v>67.206000000000003</v>
      </c>
      <c r="N96">
        <v>-2.2850000000000001</v>
      </c>
      <c r="O96">
        <v>-1.248</v>
      </c>
      <c r="P96">
        <v>2.5510000000000002</v>
      </c>
      <c r="Q96">
        <v>8.3183878436103953</v>
      </c>
      <c r="R96">
        <v>2.191476179606743</v>
      </c>
      <c r="S96">
        <v>3.0741000000000001</v>
      </c>
      <c r="T96">
        <v>2.4506999999999999</v>
      </c>
      <c r="U96">
        <v>-4.3277999999999999</v>
      </c>
      <c r="V96">
        <v>-2.3471000000000002</v>
      </c>
      <c r="W96">
        <v>6.6470000000000002</v>
      </c>
      <c r="X96">
        <v>1.879471449038068</v>
      </c>
      <c r="Y96">
        <v>42.013965617815593</v>
      </c>
      <c r="Z96">
        <v>22.35413878690137</v>
      </c>
      <c r="AA96">
        <v>-0.48925999999999997</v>
      </c>
      <c r="AB96">
        <v>-0.367761</v>
      </c>
      <c r="AC96">
        <v>-3.5915000000000002E-2</v>
      </c>
      <c r="AD96">
        <v>-6.4208000000000001E-2</v>
      </c>
      <c r="AE96">
        <v>-0.12750600000000001</v>
      </c>
      <c r="AF96">
        <v>-0.53634899999999996</v>
      </c>
      <c r="AG96">
        <v>0</v>
      </c>
      <c r="AH96">
        <v>1</v>
      </c>
      <c r="AI96">
        <v>0</v>
      </c>
      <c r="AJ96">
        <v>0</v>
      </c>
      <c r="AK96">
        <v>0</v>
      </c>
    </row>
    <row r="97" spans="1:37" x14ac:dyDescent="0.3">
      <c r="A97">
        <v>688</v>
      </c>
      <c r="B97">
        <v>2025</v>
      </c>
      <c r="C97" t="s">
        <v>158</v>
      </c>
      <c r="D97">
        <v>5.3333333333333321</v>
      </c>
      <c r="E97">
        <v>690.01</v>
      </c>
      <c r="F97">
        <v>1732.595</v>
      </c>
      <c r="G97">
        <v>24.725999999999999</v>
      </c>
      <c r="H97">
        <v>62.087000000000003</v>
      </c>
      <c r="I97">
        <v>2.48</v>
      </c>
      <c r="J97">
        <v>5</v>
      </c>
      <c r="K97">
        <v>-5.3170000000000002</v>
      </c>
      <c r="L97">
        <v>25.84</v>
      </c>
      <c r="M97">
        <v>97.215999999999994</v>
      </c>
      <c r="N97">
        <v>-39.905999999999999</v>
      </c>
      <c r="O97">
        <v>-1.0589999999999999</v>
      </c>
      <c r="P97">
        <v>4.258</v>
      </c>
      <c r="Q97">
        <v>16.47832817337461</v>
      </c>
      <c r="R97">
        <v>3.7622291021671819</v>
      </c>
      <c r="S97">
        <v>3.6577000000000011</v>
      </c>
      <c r="T97">
        <v>5.8034999999999997</v>
      </c>
      <c r="U97">
        <v>-4.5347</v>
      </c>
      <c r="V97">
        <v>-25.851800000000001</v>
      </c>
      <c r="W97">
        <v>4.6900000000000004</v>
      </c>
      <c r="X97">
        <v>10.451229985529579</v>
      </c>
      <c r="Y97">
        <v>198.05261397837481</v>
      </c>
      <c r="Z97">
        <v>18.950172778954411</v>
      </c>
      <c r="AA97">
        <v>-0.59339299999999995</v>
      </c>
      <c r="AB97">
        <v>-1.268691</v>
      </c>
      <c r="AC97">
        <v>-0.71662899999999996</v>
      </c>
      <c r="AD97">
        <v>-0.70852800000000005</v>
      </c>
      <c r="AE97">
        <v>-1.0263230000000001</v>
      </c>
      <c r="AF97">
        <v>-0.82843800000000001</v>
      </c>
      <c r="AG97">
        <v>0</v>
      </c>
      <c r="AH97">
        <v>1</v>
      </c>
      <c r="AI97">
        <v>1</v>
      </c>
      <c r="AJ97">
        <v>1</v>
      </c>
      <c r="AK97">
        <v>0.27538748137402541</v>
      </c>
    </row>
    <row r="98" spans="1:37" x14ac:dyDescent="0.3">
      <c r="A98">
        <v>692</v>
      </c>
      <c r="B98">
        <v>2025</v>
      </c>
      <c r="C98" t="s">
        <v>160</v>
      </c>
      <c r="D98">
        <v>4</v>
      </c>
      <c r="E98">
        <v>788.61599999999999</v>
      </c>
      <c r="F98">
        <v>2095.2379999999998</v>
      </c>
      <c r="G98">
        <v>22.969000000000001</v>
      </c>
      <c r="H98">
        <v>61.024999999999999</v>
      </c>
      <c r="I98">
        <v>6.649</v>
      </c>
      <c r="J98">
        <v>3.6</v>
      </c>
      <c r="K98">
        <v>-2.97</v>
      </c>
      <c r="L98">
        <v>11.114000000000001</v>
      </c>
      <c r="M98">
        <v>42.23</v>
      </c>
      <c r="N98">
        <v>-3.3010000000000002</v>
      </c>
      <c r="O98">
        <v>-1.2849999999999999</v>
      </c>
      <c r="P98">
        <v>1.6850000000000001</v>
      </c>
      <c r="Q98">
        <v>15.16105812488753</v>
      </c>
      <c r="R98">
        <v>3.799712074860536</v>
      </c>
      <c r="S98">
        <v>6.1375999999999999</v>
      </c>
      <c r="T98">
        <v>3.496</v>
      </c>
      <c r="U98">
        <v>-4.2271999999999998</v>
      </c>
      <c r="V98">
        <v>-8.3861000000000026</v>
      </c>
      <c r="W98">
        <v>2.8818E-2</v>
      </c>
      <c r="X98">
        <v>1246.6510000000001</v>
      </c>
      <c r="Y98">
        <v>32.927918647649243</v>
      </c>
      <c r="Z98">
        <v>2.6413100898045432E-2</v>
      </c>
      <c r="AA98">
        <v>-0.69548399999999999</v>
      </c>
      <c r="AB98">
        <v>-1.66886</v>
      </c>
      <c r="AC98">
        <v>-0.64091600000000004</v>
      </c>
      <c r="AD98">
        <v>-0.81692500000000001</v>
      </c>
      <c r="AE98">
        <v>-0.70808899999999997</v>
      </c>
      <c r="AF98">
        <v>-0.56384400000000001</v>
      </c>
      <c r="AG98">
        <v>0</v>
      </c>
      <c r="AH98">
        <v>1</v>
      </c>
      <c r="AI98">
        <v>0</v>
      </c>
      <c r="AJ98">
        <v>0</v>
      </c>
      <c r="AK98">
        <v>0</v>
      </c>
    </row>
    <row r="99" spans="1:37" x14ac:dyDescent="0.3">
      <c r="A99">
        <v>694</v>
      </c>
      <c r="B99">
        <v>2025</v>
      </c>
      <c r="C99" t="s">
        <v>162</v>
      </c>
      <c r="D99">
        <v>7.3333333333333339</v>
      </c>
      <c r="E99">
        <v>1199.623</v>
      </c>
      <c r="F99">
        <v>9488.1560000000009</v>
      </c>
      <c r="G99">
        <v>285.00299999999999</v>
      </c>
      <c r="H99">
        <v>2254.1669999999999</v>
      </c>
      <c r="I99">
        <v>3.931</v>
      </c>
      <c r="J99">
        <v>21.016999999999999</v>
      </c>
      <c r="K99">
        <v>-2.931</v>
      </c>
      <c r="L99">
        <v>9.5709999999999997</v>
      </c>
      <c r="M99">
        <v>36.381999999999998</v>
      </c>
      <c r="N99">
        <v>5.6849999999999996</v>
      </c>
      <c r="O99">
        <v>-0.311</v>
      </c>
      <c r="P99">
        <v>2.62</v>
      </c>
      <c r="Q99">
        <v>27.37436004597221</v>
      </c>
      <c r="R99">
        <v>3.801274683941072</v>
      </c>
      <c r="S99">
        <v>2.6536</v>
      </c>
      <c r="T99">
        <v>17.605</v>
      </c>
      <c r="U99">
        <v>-3.2443</v>
      </c>
      <c r="V99">
        <v>2.1800000000000002</v>
      </c>
      <c r="W99">
        <v>8.6271799999999992</v>
      </c>
      <c r="X99">
        <v>2.5293093995089269</v>
      </c>
      <c r="Y99">
        <v>20.516201886449501</v>
      </c>
      <c r="Z99">
        <v>8.111384827191479</v>
      </c>
      <c r="AA99">
        <v>-0.54825800000000002</v>
      </c>
      <c r="AB99">
        <v>-1.768438</v>
      </c>
      <c r="AC99">
        <v>-0.84790699999999997</v>
      </c>
      <c r="AD99">
        <v>-0.93686499999999995</v>
      </c>
      <c r="AE99">
        <v>-0.88768899999999995</v>
      </c>
      <c r="AF99">
        <v>-1.0409740000000001</v>
      </c>
      <c r="AG99">
        <v>0</v>
      </c>
      <c r="AH99">
        <v>1</v>
      </c>
      <c r="AI99">
        <v>0</v>
      </c>
      <c r="AJ99">
        <v>0</v>
      </c>
      <c r="AK99">
        <v>0</v>
      </c>
    </row>
    <row r="100" spans="1:37" x14ac:dyDescent="0.3">
      <c r="A100">
        <v>714</v>
      </c>
      <c r="B100">
        <v>2025</v>
      </c>
      <c r="C100" t="s">
        <v>163</v>
      </c>
      <c r="D100">
        <v>8.6666666666666661</v>
      </c>
      <c r="E100">
        <v>1042.998</v>
      </c>
      <c r="F100">
        <v>4100.683</v>
      </c>
      <c r="G100">
        <v>14.771000000000001</v>
      </c>
      <c r="H100">
        <v>58.073999999999998</v>
      </c>
      <c r="I100">
        <v>7.109</v>
      </c>
      <c r="J100">
        <v>6.3</v>
      </c>
      <c r="K100">
        <v>-6.29</v>
      </c>
      <c r="L100">
        <v>21.091000000000001</v>
      </c>
      <c r="M100">
        <v>73.203999999999994</v>
      </c>
      <c r="N100">
        <v>-13.802</v>
      </c>
      <c r="O100">
        <v>-3.718</v>
      </c>
      <c r="P100">
        <v>2.5720000000000001</v>
      </c>
      <c r="Q100">
        <v>12.19477502252145</v>
      </c>
      <c r="R100">
        <v>3.4708643497226301</v>
      </c>
      <c r="S100">
        <v>6.8751000000000007</v>
      </c>
      <c r="T100">
        <v>6.5901000000000014</v>
      </c>
      <c r="U100">
        <v>-5.2321999999999989</v>
      </c>
      <c r="V100">
        <v>-11.824199999999999</v>
      </c>
      <c r="W100">
        <v>4.3229689999999996</v>
      </c>
      <c r="X100">
        <v>5.9684010484927921</v>
      </c>
      <c r="Y100">
        <v>92.109425566343035</v>
      </c>
      <c r="Z100">
        <v>15.43284789644013</v>
      </c>
      <c r="AA100">
        <v>-0.90232800000000002</v>
      </c>
      <c r="AB100">
        <v>0.10809100000000001</v>
      </c>
      <c r="AC100">
        <v>0.38836300000000001</v>
      </c>
      <c r="AD100">
        <v>0.12471699999999999</v>
      </c>
      <c r="AE100">
        <v>0.20515</v>
      </c>
      <c r="AF100">
        <v>0.67165299999999994</v>
      </c>
      <c r="AG100">
        <v>0</v>
      </c>
      <c r="AH100">
        <v>1</v>
      </c>
      <c r="AI100">
        <v>0</v>
      </c>
      <c r="AJ100">
        <v>0</v>
      </c>
      <c r="AK100">
        <v>0</v>
      </c>
    </row>
    <row r="101" spans="1:37" x14ac:dyDescent="0.3">
      <c r="A101">
        <v>718</v>
      </c>
      <c r="B101">
        <v>2025</v>
      </c>
      <c r="C101" t="s">
        <v>164</v>
      </c>
      <c r="D101">
        <v>11</v>
      </c>
      <c r="E101">
        <v>21955.93</v>
      </c>
      <c r="F101">
        <v>42110.400000000001</v>
      </c>
      <c r="G101">
        <v>2.23</v>
      </c>
      <c r="H101">
        <v>4.2779999999999996</v>
      </c>
      <c r="I101">
        <v>3.903</v>
      </c>
      <c r="J101">
        <v>0.76500000000000001</v>
      </c>
      <c r="K101">
        <v>-2.0990000000000002</v>
      </c>
      <c r="L101">
        <v>34.210999999999999</v>
      </c>
      <c r="M101">
        <v>56.707999999999998</v>
      </c>
      <c r="N101">
        <v>-6.6219999999999999</v>
      </c>
      <c r="O101">
        <v>0.65700000000000003</v>
      </c>
      <c r="P101">
        <v>2.7559999999999998</v>
      </c>
      <c r="Q101">
        <v>8.0558884569290576</v>
      </c>
      <c r="R101">
        <v>1.657595510216012</v>
      </c>
      <c r="S101">
        <v>2.4094000000000002</v>
      </c>
      <c r="T101">
        <v>2.3300999999999998</v>
      </c>
      <c r="U101">
        <v>-3.0996000000000001</v>
      </c>
      <c r="V101">
        <v>-8.2330000000000005</v>
      </c>
      <c r="W101">
        <v>5.5671400000000002</v>
      </c>
      <c r="X101">
        <v>5.0843280977312393</v>
      </c>
      <c r="Y101">
        <v>163.94597636465949</v>
      </c>
      <c r="Z101">
        <v>32.245357343837917</v>
      </c>
      <c r="AA101">
        <v>0.55641099999999999</v>
      </c>
      <c r="AB101">
        <v>0.76350099999999999</v>
      </c>
      <c r="AC101">
        <v>0.62474399999999997</v>
      </c>
      <c r="AD101">
        <v>0.21107500000000001</v>
      </c>
      <c r="AE101">
        <v>0.43293500000000001</v>
      </c>
      <c r="AF101">
        <v>1.6288480000000001</v>
      </c>
      <c r="AG101">
        <v>0</v>
      </c>
      <c r="AH101">
        <v>1</v>
      </c>
      <c r="AI101">
        <v>0</v>
      </c>
      <c r="AJ101">
        <v>0</v>
      </c>
      <c r="AK101">
        <v>0</v>
      </c>
    </row>
    <row r="102" spans="1:37" x14ac:dyDescent="0.3">
      <c r="A102">
        <v>722</v>
      </c>
      <c r="B102">
        <v>2025</v>
      </c>
      <c r="C102" t="s">
        <v>166</v>
      </c>
      <c r="D102">
        <v>6.5</v>
      </c>
      <c r="E102">
        <v>1921.3910000000001</v>
      </c>
      <c r="F102">
        <v>5354.6970000000001</v>
      </c>
      <c r="G102">
        <v>36.838999999999999</v>
      </c>
      <c r="H102">
        <v>102.666</v>
      </c>
      <c r="I102">
        <v>5.9550000000000001</v>
      </c>
      <c r="J102">
        <v>2</v>
      </c>
      <c r="K102">
        <v>-7.9269999999999996</v>
      </c>
      <c r="L102">
        <v>21.824000000000002</v>
      </c>
      <c r="M102">
        <v>122.949</v>
      </c>
      <c r="N102">
        <v>-8.0259999999999998</v>
      </c>
      <c r="O102">
        <v>-2.9860000000000002</v>
      </c>
      <c r="P102">
        <v>4.9409999999999989</v>
      </c>
      <c r="Q102">
        <v>22.640212609970671</v>
      </c>
      <c r="R102">
        <v>5.633660190615835</v>
      </c>
      <c r="S102">
        <v>4.2645</v>
      </c>
      <c r="T102">
        <v>3.0081000000000002</v>
      </c>
      <c r="U102">
        <v>-8.9516000000000009</v>
      </c>
      <c r="V102">
        <v>-10.5464</v>
      </c>
      <c r="W102">
        <v>6.0503220000000004</v>
      </c>
      <c r="X102">
        <v>7.9684310054296947</v>
      </c>
      <c r="Y102">
        <v>117.65838217405729</v>
      </c>
      <c r="Z102">
        <v>14.765564525046999</v>
      </c>
      <c r="AA102">
        <v>0.13397700000000001</v>
      </c>
      <c r="AB102">
        <v>-0.13859099999999999</v>
      </c>
      <c r="AC102">
        <v>6.9675000000000001E-2</v>
      </c>
      <c r="AD102">
        <v>-0.34507900000000002</v>
      </c>
      <c r="AE102">
        <v>-0.27363300000000002</v>
      </c>
      <c r="AF102">
        <v>5.7832000000000001E-2</v>
      </c>
      <c r="AG102">
        <v>0</v>
      </c>
      <c r="AH102">
        <v>1</v>
      </c>
      <c r="AI102">
        <v>0</v>
      </c>
      <c r="AJ102">
        <v>0</v>
      </c>
      <c r="AK102">
        <v>0</v>
      </c>
    </row>
    <row r="103" spans="1:37" x14ac:dyDescent="0.3">
      <c r="A103">
        <v>728</v>
      </c>
      <c r="B103">
        <v>2025</v>
      </c>
      <c r="C103" t="s">
        <v>167</v>
      </c>
      <c r="D103">
        <v>9.5</v>
      </c>
      <c r="E103">
        <v>4816.3</v>
      </c>
      <c r="F103">
        <v>12341.51</v>
      </c>
      <c r="G103">
        <v>14.686</v>
      </c>
      <c r="H103">
        <v>37.631999999999998</v>
      </c>
      <c r="I103">
        <v>3.5960000000000001</v>
      </c>
      <c r="J103">
        <v>3.9</v>
      </c>
      <c r="K103">
        <v>-5.3659999999999997</v>
      </c>
      <c r="L103">
        <v>34.088999999999999</v>
      </c>
      <c r="M103">
        <v>63.566000000000003</v>
      </c>
      <c r="N103">
        <v>-14.654999999999999</v>
      </c>
      <c r="O103">
        <v>-0.16800000000000001</v>
      </c>
      <c r="P103">
        <v>5.1980000000000004</v>
      </c>
      <c r="Q103">
        <v>15.248320572618731</v>
      </c>
      <c r="R103">
        <v>1.8647070902637219</v>
      </c>
      <c r="S103">
        <v>2.5493000000000001</v>
      </c>
      <c r="T103">
        <v>3.8953000000000002</v>
      </c>
      <c r="U103">
        <v>-5.2472000000000003</v>
      </c>
      <c r="V103">
        <v>-11.1144</v>
      </c>
      <c r="W103">
        <v>5.2780930000000001</v>
      </c>
      <c r="X103">
        <v>3.6247581980822221</v>
      </c>
      <c r="Y103">
        <v>73.027611786523806</v>
      </c>
      <c r="Z103">
        <v>20.146891956865169</v>
      </c>
      <c r="AA103">
        <v>0.58387900000000004</v>
      </c>
      <c r="AB103">
        <v>0.54477699999999996</v>
      </c>
      <c r="AC103">
        <v>3.0897000000000001E-2</v>
      </c>
      <c r="AD103">
        <v>-6.2260999999999997E-2</v>
      </c>
      <c r="AE103">
        <v>0.44546799999999998</v>
      </c>
      <c r="AF103">
        <v>0.110072</v>
      </c>
      <c r="AG103">
        <v>0</v>
      </c>
      <c r="AH103">
        <v>1</v>
      </c>
      <c r="AI103">
        <v>0</v>
      </c>
      <c r="AJ103">
        <v>0</v>
      </c>
      <c r="AK103">
        <v>0</v>
      </c>
    </row>
    <row r="104" spans="1:37" x14ac:dyDescent="0.3">
      <c r="A104">
        <v>738</v>
      </c>
      <c r="B104">
        <v>2025</v>
      </c>
      <c r="C104" t="s">
        <v>168</v>
      </c>
      <c r="D104">
        <v>9</v>
      </c>
      <c r="E104">
        <v>1301.7370000000001</v>
      </c>
      <c r="F104">
        <v>4371.1289999999999</v>
      </c>
      <c r="G104">
        <v>87.444000000000003</v>
      </c>
      <c r="H104">
        <v>293.63099999999997</v>
      </c>
      <c r="I104">
        <v>5.9980000000000002</v>
      </c>
      <c r="J104">
        <v>3.1989999999999998</v>
      </c>
      <c r="K104">
        <v>-2.9780000000000002</v>
      </c>
      <c r="L104">
        <v>16.931999999999999</v>
      </c>
      <c r="M104">
        <v>49.585000000000001</v>
      </c>
      <c r="N104">
        <v>-2.5819999999999999</v>
      </c>
      <c r="O104">
        <v>-0.42099999999999999</v>
      </c>
      <c r="P104">
        <v>2.5569999999999999</v>
      </c>
      <c r="Q104">
        <v>15.10158280179542</v>
      </c>
      <c r="R104">
        <v>2.928478620363808</v>
      </c>
      <c r="S104">
        <v>5.6478000000000002</v>
      </c>
      <c r="T104">
        <v>3.7605999999999988</v>
      </c>
      <c r="U104">
        <v>-3.1745999999999999</v>
      </c>
      <c r="V104">
        <v>-3.3184999999999998</v>
      </c>
      <c r="W104">
        <v>5.8008300000000004</v>
      </c>
      <c r="X104">
        <v>6.3212246363799611</v>
      </c>
      <c r="Y104">
        <v>44.969916071588258</v>
      </c>
      <c r="Z104">
        <v>7.1141145360943261</v>
      </c>
      <c r="AA104">
        <v>-0.53372699999999995</v>
      </c>
      <c r="AB104">
        <v>-5.2752E-2</v>
      </c>
      <c r="AC104">
        <v>-0.45508100000000001</v>
      </c>
      <c r="AD104">
        <v>-0.588395</v>
      </c>
      <c r="AE104">
        <v>-0.373498</v>
      </c>
      <c r="AF104">
        <v>-0.31989699999999999</v>
      </c>
      <c r="AG104">
        <v>0</v>
      </c>
      <c r="AH104">
        <v>1</v>
      </c>
      <c r="AI104">
        <v>0</v>
      </c>
      <c r="AJ104">
        <v>0</v>
      </c>
      <c r="AK104">
        <v>0</v>
      </c>
    </row>
    <row r="105" spans="1:37" x14ac:dyDescent="0.3">
      <c r="A105">
        <v>742</v>
      </c>
      <c r="B105">
        <v>2025</v>
      </c>
      <c r="C105" t="s">
        <v>169</v>
      </c>
      <c r="D105">
        <v>8</v>
      </c>
      <c r="E105">
        <v>1119.598</v>
      </c>
      <c r="F105">
        <v>3372.9140000000002</v>
      </c>
      <c r="G105">
        <v>10.951000000000001</v>
      </c>
      <c r="H105">
        <v>32.991</v>
      </c>
      <c r="I105">
        <v>5.2</v>
      </c>
      <c r="J105">
        <v>5.5890000000000004</v>
      </c>
      <c r="K105">
        <v>-7.577</v>
      </c>
      <c r="L105">
        <v>18.812000000000001</v>
      </c>
      <c r="M105">
        <v>71.853999999999999</v>
      </c>
      <c r="N105">
        <v>-1.798</v>
      </c>
      <c r="O105">
        <v>-4.9480000000000004</v>
      </c>
      <c r="P105">
        <v>2.629</v>
      </c>
      <c r="Q105">
        <v>13.97512226238571</v>
      </c>
      <c r="R105">
        <v>3.8195832447374012</v>
      </c>
      <c r="S105">
        <v>5.1877000000000004</v>
      </c>
      <c r="T105">
        <v>3.6177999999999999</v>
      </c>
      <c r="U105">
        <v>-5.3804999999999996</v>
      </c>
      <c r="V105">
        <v>-1.6437999999999999</v>
      </c>
      <c r="W105">
        <v>2.3688000000000001E-2</v>
      </c>
      <c r="X105">
        <v>618.1103333333333</v>
      </c>
      <c r="Y105">
        <v>32.811306732725818</v>
      </c>
      <c r="Z105">
        <v>5.30832522339202E-2</v>
      </c>
      <c r="AA105">
        <v>-0.78270799999999996</v>
      </c>
      <c r="AB105">
        <v>-0.95419500000000002</v>
      </c>
      <c r="AC105">
        <v>-0.57805200000000001</v>
      </c>
      <c r="AD105">
        <v>-0.49323</v>
      </c>
      <c r="AE105">
        <v>-0.52749999999999997</v>
      </c>
      <c r="AF105">
        <v>-0.61917500000000003</v>
      </c>
      <c r="AG105">
        <v>0</v>
      </c>
      <c r="AH105">
        <v>1</v>
      </c>
      <c r="AI105">
        <v>0</v>
      </c>
      <c r="AJ105">
        <v>0</v>
      </c>
      <c r="AK105">
        <v>0</v>
      </c>
    </row>
    <row r="106" spans="1:37" x14ac:dyDescent="0.3">
      <c r="A106">
        <v>744</v>
      </c>
      <c r="B106">
        <v>2025</v>
      </c>
      <c r="C106" t="s">
        <v>170</v>
      </c>
      <c r="D106">
        <v>6.5</v>
      </c>
      <c r="E106">
        <v>4751.55</v>
      </c>
      <c r="F106">
        <v>14982.77</v>
      </c>
      <c r="G106">
        <v>59.069000000000003</v>
      </c>
      <c r="H106">
        <v>186.25899999999999</v>
      </c>
      <c r="I106">
        <v>2.464</v>
      </c>
      <c r="J106">
        <v>5.3620000000000001</v>
      </c>
      <c r="K106">
        <v>-5.3840000000000003</v>
      </c>
      <c r="L106">
        <v>27.489000000000001</v>
      </c>
      <c r="M106">
        <v>80.623000000000005</v>
      </c>
      <c r="N106">
        <v>-3.145</v>
      </c>
      <c r="O106">
        <v>-2.246</v>
      </c>
      <c r="P106">
        <v>3.1379999999999999</v>
      </c>
      <c r="Q106">
        <v>11.4154752810215</v>
      </c>
      <c r="R106">
        <v>2.932918621994252</v>
      </c>
      <c r="S106">
        <v>0.91609999999999991</v>
      </c>
      <c r="T106">
        <v>7.0314999999999994</v>
      </c>
      <c r="U106">
        <v>-6.5813000000000006</v>
      </c>
      <c r="V106">
        <v>-4.3038000000000007</v>
      </c>
      <c r="W106">
        <v>3.407</v>
      </c>
      <c r="X106">
        <v>7.5500228408279808</v>
      </c>
      <c r="Y106">
        <v>100.3451409706675</v>
      </c>
      <c r="Z106">
        <v>13.29070694038629</v>
      </c>
      <c r="AA106">
        <v>-0.212897</v>
      </c>
      <c r="AB106">
        <v>-0.63095100000000004</v>
      </c>
      <c r="AC106">
        <v>-0.30051499999999998</v>
      </c>
      <c r="AD106">
        <v>-0.61913300000000004</v>
      </c>
      <c r="AE106">
        <v>-0.138983</v>
      </c>
      <c r="AF106">
        <v>-0.34189999999999998</v>
      </c>
      <c r="AG106">
        <v>0</v>
      </c>
      <c r="AH106">
        <v>1</v>
      </c>
      <c r="AI106">
        <v>0</v>
      </c>
      <c r="AJ106">
        <v>0</v>
      </c>
      <c r="AK106">
        <v>0</v>
      </c>
    </row>
    <row r="107" spans="1:37" x14ac:dyDescent="0.3">
      <c r="A107">
        <v>746</v>
      </c>
      <c r="B107">
        <v>2025</v>
      </c>
      <c r="C107" t="s">
        <v>171</v>
      </c>
      <c r="D107">
        <v>7.3333333333333339</v>
      </c>
      <c r="E107">
        <v>1353.414</v>
      </c>
      <c r="F107">
        <v>3904.2449999999999</v>
      </c>
      <c r="G107">
        <v>64.992999999999995</v>
      </c>
      <c r="H107">
        <v>187.489</v>
      </c>
      <c r="I107">
        <v>6.4059999999999997</v>
      </c>
      <c r="J107">
        <v>3.8090000000000002</v>
      </c>
      <c r="K107">
        <v>-6.6849999999999996</v>
      </c>
      <c r="L107">
        <v>15.106</v>
      </c>
      <c r="M107">
        <v>52.350999999999999</v>
      </c>
      <c r="N107">
        <v>-5.0389999999999997</v>
      </c>
      <c r="O107">
        <v>-2.5070000000000001</v>
      </c>
      <c r="P107">
        <v>4.177999999999999</v>
      </c>
      <c r="Q107">
        <v>27.65788428439031</v>
      </c>
      <c r="R107">
        <v>3.4655765920826158</v>
      </c>
      <c r="S107">
        <v>5.7381000000000002</v>
      </c>
      <c r="T107">
        <v>4.4837000000000007</v>
      </c>
      <c r="U107">
        <v>-5.7732000000000001</v>
      </c>
      <c r="V107">
        <v>-5.7213000000000003</v>
      </c>
      <c r="W107">
        <v>6.0649600000000001</v>
      </c>
      <c r="X107">
        <v>5.7040487692661603</v>
      </c>
      <c r="Y107">
        <v>55.499474002283058</v>
      </c>
      <c r="Z107">
        <v>9.7298386194238642</v>
      </c>
      <c r="AA107">
        <v>-0.69584500000000005</v>
      </c>
      <c r="AB107">
        <v>-0.69550599999999996</v>
      </c>
      <c r="AC107">
        <v>-0.54950900000000003</v>
      </c>
      <c r="AD107">
        <v>-0.51736499999999996</v>
      </c>
      <c r="AE107">
        <v>-0.47492600000000001</v>
      </c>
      <c r="AF107">
        <v>-1.042575</v>
      </c>
      <c r="AG107">
        <v>0</v>
      </c>
      <c r="AH107">
        <v>1</v>
      </c>
      <c r="AI107">
        <v>0</v>
      </c>
      <c r="AJ107">
        <v>0</v>
      </c>
      <c r="AK107">
        <v>0</v>
      </c>
    </row>
    <row r="108" spans="1:37" x14ac:dyDescent="0.3">
      <c r="A108">
        <v>748</v>
      </c>
      <c r="B108">
        <v>2025</v>
      </c>
      <c r="C108" t="s">
        <v>172</v>
      </c>
      <c r="D108">
        <v>6</v>
      </c>
      <c r="E108">
        <v>1115.018</v>
      </c>
      <c r="F108">
        <v>3019.0050000000001</v>
      </c>
      <c r="G108">
        <v>26.866</v>
      </c>
      <c r="H108">
        <v>72.742999999999995</v>
      </c>
      <c r="I108">
        <v>3.988</v>
      </c>
      <c r="J108">
        <v>1.33</v>
      </c>
      <c r="K108">
        <v>-4</v>
      </c>
      <c r="L108">
        <v>21.184999999999999</v>
      </c>
      <c r="M108">
        <v>53.182000000000002</v>
      </c>
      <c r="N108">
        <v>-1.617</v>
      </c>
      <c r="O108">
        <v>-1.7729999999999999</v>
      </c>
      <c r="P108">
        <v>2.2269999999999999</v>
      </c>
      <c r="Q108">
        <v>10.512154826528199</v>
      </c>
      <c r="R108">
        <v>2.51036110455511</v>
      </c>
      <c r="S108">
        <v>4.1238000000000001</v>
      </c>
      <c r="T108">
        <v>3.5712000000000002</v>
      </c>
      <c r="U108">
        <v>-5.2790999999999997</v>
      </c>
      <c r="V108">
        <v>-2.3704999999999998</v>
      </c>
      <c r="W108">
        <v>5.1110000000000001E-3</v>
      </c>
      <c r="X108">
        <v>4097.93</v>
      </c>
      <c r="Y108">
        <v>50.815483817633201</v>
      </c>
      <c r="Z108">
        <v>1.240028107303766E-2</v>
      </c>
      <c r="AA108">
        <v>-0.80988700000000002</v>
      </c>
      <c r="AB108">
        <v>-2.0352320000000002</v>
      </c>
      <c r="AC108">
        <v>-0.82622700000000004</v>
      </c>
      <c r="AD108">
        <v>-0.48563400000000001</v>
      </c>
      <c r="AE108">
        <v>-0.74177899999999997</v>
      </c>
      <c r="AF108">
        <v>-0.16961599999999999</v>
      </c>
      <c r="AG108">
        <v>0</v>
      </c>
      <c r="AH108">
        <v>1</v>
      </c>
      <c r="AI108">
        <v>0</v>
      </c>
      <c r="AJ108">
        <v>0</v>
      </c>
      <c r="AK108">
        <v>0</v>
      </c>
    </row>
    <row r="109" spans="1:37" x14ac:dyDescent="0.3">
      <c r="A109">
        <v>754</v>
      </c>
      <c r="B109">
        <v>2025</v>
      </c>
      <c r="C109" t="s">
        <v>173</v>
      </c>
      <c r="D109">
        <v>2.3333333333333321</v>
      </c>
      <c r="E109">
        <v>1352.989</v>
      </c>
      <c r="F109">
        <v>4503.4319999999998</v>
      </c>
      <c r="G109">
        <v>29.369</v>
      </c>
      <c r="H109">
        <v>97.756</v>
      </c>
      <c r="I109">
        <v>5.8460000000000001</v>
      </c>
      <c r="J109">
        <v>11.132999999999999</v>
      </c>
      <c r="K109">
        <v>-5.2539999999999996</v>
      </c>
      <c r="L109">
        <v>22.774000000000001</v>
      </c>
      <c r="M109">
        <v>114.943</v>
      </c>
      <c r="N109">
        <v>1.2769999999999999</v>
      </c>
      <c r="O109">
        <v>1.145</v>
      </c>
      <c r="P109">
        <v>6.3989999999999991</v>
      </c>
      <c r="Q109">
        <v>28.097830859752339</v>
      </c>
      <c r="R109">
        <v>5.0471151312900684</v>
      </c>
      <c r="S109">
        <v>4.6760000000000002</v>
      </c>
      <c r="T109">
        <v>11.534700000000001</v>
      </c>
      <c r="U109">
        <v>-5.2112999999999987</v>
      </c>
      <c r="V109">
        <v>3.6661999999999999</v>
      </c>
      <c r="W109">
        <v>3.02</v>
      </c>
      <c r="X109">
        <v>14.26196159833939</v>
      </c>
      <c r="Y109">
        <v>125.4235122307412</v>
      </c>
      <c r="Z109">
        <v>8.7942679810149684</v>
      </c>
      <c r="AA109">
        <v>-4.7946000000000003E-2</v>
      </c>
      <c r="AB109">
        <v>0.20172699999999999</v>
      </c>
      <c r="AC109">
        <v>-0.65896999999999994</v>
      </c>
      <c r="AD109">
        <v>-0.49809999999999999</v>
      </c>
      <c r="AE109">
        <v>-0.52912700000000001</v>
      </c>
      <c r="AF109">
        <v>-0.47770699999999999</v>
      </c>
      <c r="AG109">
        <v>0</v>
      </c>
      <c r="AH109">
        <v>1</v>
      </c>
      <c r="AI109">
        <v>1</v>
      </c>
      <c r="AJ109">
        <v>1</v>
      </c>
      <c r="AK109">
        <v>0.44664771992900421</v>
      </c>
    </row>
    <row r="110" spans="1:37" x14ac:dyDescent="0.3">
      <c r="A110">
        <v>819</v>
      </c>
      <c r="B110">
        <v>2025</v>
      </c>
      <c r="C110" t="s">
        <v>174</v>
      </c>
      <c r="D110">
        <v>9</v>
      </c>
      <c r="E110">
        <v>6825.46</v>
      </c>
      <c r="F110">
        <v>16366.01</v>
      </c>
      <c r="G110">
        <v>6.3360000000000003</v>
      </c>
      <c r="H110">
        <v>15.192</v>
      </c>
      <c r="I110">
        <v>3.1909999999999998</v>
      </c>
      <c r="J110">
        <v>0.5</v>
      </c>
      <c r="K110">
        <v>-3.7029999999999998</v>
      </c>
      <c r="L110">
        <v>28.408000000000001</v>
      </c>
      <c r="M110">
        <v>76.616</v>
      </c>
      <c r="N110">
        <v>-7.5030000000000001</v>
      </c>
      <c r="O110">
        <v>0.4</v>
      </c>
      <c r="P110">
        <v>4.1029999999999998</v>
      </c>
      <c r="Q110">
        <v>14.443114615601241</v>
      </c>
      <c r="R110">
        <v>2.6969867642917489</v>
      </c>
      <c r="S110">
        <v>2.5004</v>
      </c>
      <c r="T110">
        <v>2.246799999999999</v>
      </c>
      <c r="U110">
        <v>-6.8461999999999987</v>
      </c>
      <c r="V110">
        <v>-8.1363000000000003</v>
      </c>
      <c r="W110">
        <v>4.63612</v>
      </c>
      <c r="X110">
        <v>2.6542835365853659</v>
      </c>
      <c r="Y110">
        <v>58.994070811451813</v>
      </c>
      <c r="Z110">
        <v>22.22598678637981</v>
      </c>
      <c r="AA110">
        <v>0.18614600000000001</v>
      </c>
      <c r="AB110">
        <v>0.74434299999999998</v>
      </c>
      <c r="AC110">
        <v>0.49077900000000002</v>
      </c>
      <c r="AD110">
        <v>-9.0222999999999998E-2</v>
      </c>
      <c r="AE110">
        <v>0.30490400000000001</v>
      </c>
      <c r="AF110">
        <v>0.50627200000000006</v>
      </c>
      <c r="AG110">
        <v>0</v>
      </c>
      <c r="AH110">
        <v>1</v>
      </c>
      <c r="AI110">
        <v>0</v>
      </c>
      <c r="AJ110">
        <v>0</v>
      </c>
      <c r="AK110">
        <v>0</v>
      </c>
    </row>
    <row r="111" spans="1:37" x14ac:dyDescent="0.3">
      <c r="A111">
        <v>853</v>
      </c>
      <c r="B111">
        <v>2025</v>
      </c>
      <c r="C111" t="s">
        <v>175</v>
      </c>
      <c r="D111">
        <v>7.5</v>
      </c>
      <c r="E111">
        <v>2555.2539999999999</v>
      </c>
      <c r="F111">
        <v>3761.99</v>
      </c>
      <c r="G111">
        <v>32.713999999999999</v>
      </c>
      <c r="H111">
        <v>48.164000000000001</v>
      </c>
      <c r="I111">
        <v>4.74</v>
      </c>
      <c r="J111">
        <v>4.4870000000000001</v>
      </c>
      <c r="K111">
        <v>-2.6070000000000002</v>
      </c>
      <c r="L111">
        <v>17.933</v>
      </c>
      <c r="M111">
        <v>50.363</v>
      </c>
      <c r="N111">
        <v>10.772</v>
      </c>
      <c r="O111">
        <v>-4.1000000000000002E-2</v>
      </c>
      <c r="P111">
        <v>2.5659999999999998</v>
      </c>
      <c r="Q111">
        <v>14.30881614899905</v>
      </c>
      <c r="R111">
        <v>2.8083979256120002</v>
      </c>
      <c r="S111">
        <v>2.7185000000000001</v>
      </c>
      <c r="T111">
        <v>4.0767000000000007</v>
      </c>
      <c r="U111">
        <v>-3.1857000000000002</v>
      </c>
      <c r="V111">
        <v>12.289300000000001</v>
      </c>
      <c r="W111">
        <v>0.60686853937063212</v>
      </c>
      <c r="X111">
        <v>6.6619954070657554</v>
      </c>
      <c r="Y111">
        <v>64.80412371134021</v>
      </c>
      <c r="Z111">
        <v>9.7274344624447711</v>
      </c>
      <c r="AA111">
        <v>5.0109999999999998E-3</v>
      </c>
      <c r="AB111">
        <v>-0.47884500000000002</v>
      </c>
      <c r="AC111">
        <v>-0.80239000000000005</v>
      </c>
      <c r="AD111">
        <v>-0.64270799999999995</v>
      </c>
      <c r="AE111">
        <v>-0.53980600000000001</v>
      </c>
      <c r="AF111">
        <v>-0.65715400000000002</v>
      </c>
      <c r="AG111">
        <v>0</v>
      </c>
      <c r="AH111">
        <v>1</v>
      </c>
      <c r="AI111">
        <v>0</v>
      </c>
      <c r="AJ111">
        <v>0</v>
      </c>
      <c r="AK111">
        <v>0</v>
      </c>
    </row>
    <row r="112" spans="1:37" x14ac:dyDescent="0.3">
      <c r="A112">
        <v>911</v>
      </c>
      <c r="B112">
        <v>2025</v>
      </c>
      <c r="C112" t="s">
        <v>176</v>
      </c>
      <c r="D112">
        <v>10</v>
      </c>
      <c r="E112">
        <v>8968.9159999999993</v>
      </c>
      <c r="F112">
        <v>23954.240000000002</v>
      </c>
      <c r="G112">
        <v>27.859000000000002</v>
      </c>
      <c r="H112">
        <v>74.406999999999996</v>
      </c>
      <c r="I112">
        <v>4.8</v>
      </c>
      <c r="J112">
        <v>3.1539999999999999</v>
      </c>
      <c r="K112">
        <v>-5.5090000000000003</v>
      </c>
      <c r="L112">
        <v>25.126999999999999</v>
      </c>
      <c r="M112">
        <v>53.439</v>
      </c>
      <c r="N112">
        <v>-4.657</v>
      </c>
      <c r="O112">
        <v>-2.129</v>
      </c>
      <c r="P112">
        <v>3.38</v>
      </c>
      <c r="Q112">
        <v>13.451665539061571</v>
      </c>
      <c r="R112">
        <v>2.12675607911808</v>
      </c>
      <c r="S112">
        <v>4.9931999999999999</v>
      </c>
      <c r="T112">
        <v>3.6320999999999999</v>
      </c>
      <c r="U112">
        <v>-3.7938999999999998</v>
      </c>
      <c r="V112">
        <v>-3.6673</v>
      </c>
      <c r="W112">
        <v>2.5912063187006349</v>
      </c>
      <c r="X112">
        <v>3.8448477665348619</v>
      </c>
      <c r="Y112">
        <v>59.520878734622137</v>
      </c>
      <c r="Z112">
        <v>15.48068541300527</v>
      </c>
      <c r="AA112">
        <v>7.6707999999999998E-2</v>
      </c>
      <c r="AB112">
        <v>-0.82927799999999996</v>
      </c>
      <c r="AC112">
        <v>-0.18412999999999999</v>
      </c>
      <c r="AD112">
        <v>4.7634999999999997E-2</v>
      </c>
      <c r="AE112">
        <v>-0.122018</v>
      </c>
      <c r="AF112">
        <v>5.8400000000000001E-2</v>
      </c>
      <c r="AG112">
        <v>0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>
        <v>912</v>
      </c>
      <c r="B113">
        <v>2025</v>
      </c>
      <c r="C113" t="s">
        <v>177</v>
      </c>
      <c r="D113">
        <v>12.66666666666667</v>
      </c>
      <c r="E113">
        <v>7365.2780000000002</v>
      </c>
      <c r="F113">
        <v>26081.08</v>
      </c>
      <c r="G113">
        <v>76.39</v>
      </c>
      <c r="H113">
        <v>270.50299999999999</v>
      </c>
      <c r="I113">
        <v>3.0150000000000001</v>
      </c>
      <c r="J113">
        <v>5.2</v>
      </c>
      <c r="K113">
        <v>-1.911</v>
      </c>
      <c r="L113">
        <v>34.649000000000001</v>
      </c>
      <c r="M113">
        <v>22.387</v>
      </c>
      <c r="N113">
        <v>4.2670000000000003</v>
      </c>
      <c r="O113">
        <v>-0.80800000000000005</v>
      </c>
      <c r="P113">
        <v>1.103</v>
      </c>
      <c r="Q113">
        <v>3.18335305492222</v>
      </c>
      <c r="R113">
        <v>0.64610811278824787</v>
      </c>
      <c r="S113">
        <v>2.4430999999999998</v>
      </c>
      <c r="T113">
        <v>5.7223000000000006</v>
      </c>
      <c r="U113">
        <v>0.68140000000000023</v>
      </c>
      <c r="V113">
        <v>6.8488999999999987</v>
      </c>
      <c r="W113">
        <v>7.34</v>
      </c>
      <c r="X113">
        <v>1.808667252266724</v>
      </c>
      <c r="Y113">
        <v>38.317526097676129</v>
      </c>
      <c r="Z113">
        <v>21.185503331060168</v>
      </c>
      <c r="AA113">
        <v>-1.4115340000000001</v>
      </c>
      <c r="AB113">
        <v>-0.73075400000000001</v>
      </c>
      <c r="AC113">
        <v>-3.2641999999999997E-2</v>
      </c>
      <c r="AD113">
        <v>-0.10881</v>
      </c>
      <c r="AE113">
        <v>-0.56658600000000003</v>
      </c>
      <c r="AF113">
        <v>-1.195471</v>
      </c>
      <c r="AG113">
        <v>0</v>
      </c>
      <c r="AH113">
        <v>1</v>
      </c>
      <c r="AI113">
        <v>0</v>
      </c>
      <c r="AJ113">
        <v>0</v>
      </c>
      <c r="AK113">
        <v>0</v>
      </c>
    </row>
    <row r="114" spans="1:37" x14ac:dyDescent="0.3">
      <c r="A114">
        <v>913</v>
      </c>
      <c r="B114">
        <v>2025</v>
      </c>
      <c r="C114" t="s">
        <v>178</v>
      </c>
      <c r="D114">
        <v>1.3333333333333319</v>
      </c>
      <c r="E114">
        <v>9435.3760000000002</v>
      </c>
      <c r="F114">
        <v>34069.08</v>
      </c>
      <c r="G114">
        <v>85.739000000000004</v>
      </c>
      <c r="H114">
        <v>309.58499999999998</v>
      </c>
      <c r="I114">
        <v>2.0960000000000001</v>
      </c>
      <c r="J114">
        <v>8.0570000000000004</v>
      </c>
      <c r="K114">
        <v>0.8</v>
      </c>
      <c r="L114">
        <v>42.790999999999997</v>
      </c>
      <c r="M114">
        <v>35.780999999999999</v>
      </c>
      <c r="N114">
        <v>-1.7869999999999999</v>
      </c>
      <c r="O114">
        <v>2.2000000000000002</v>
      </c>
      <c r="P114">
        <v>1.4</v>
      </c>
      <c r="Q114">
        <v>3.2717160150498938</v>
      </c>
      <c r="R114">
        <v>0.83618050524643039</v>
      </c>
      <c r="S114">
        <v>1.2410000000000001</v>
      </c>
      <c r="T114">
        <v>7.3168000000000006</v>
      </c>
      <c r="U114">
        <v>0.16589999999999999</v>
      </c>
      <c r="V114">
        <v>-1.1586000000000001</v>
      </c>
      <c r="W114">
        <v>0.139566</v>
      </c>
      <c r="X114">
        <v>79.974982698961938</v>
      </c>
      <c r="Y114">
        <v>56.447643819223117</v>
      </c>
      <c r="Z114">
        <v>0.70581626796595476</v>
      </c>
      <c r="AA114">
        <v>-1.667397</v>
      </c>
      <c r="AB114">
        <v>-0.72936599999999996</v>
      </c>
      <c r="AC114">
        <v>-0.99146599999999996</v>
      </c>
      <c r="AD114">
        <v>-1.4195329999999999</v>
      </c>
      <c r="AE114">
        <v>-1.2509429999999999</v>
      </c>
      <c r="AF114">
        <v>-0.66502799999999995</v>
      </c>
      <c r="AG114">
        <v>0</v>
      </c>
      <c r="AH114">
        <v>1</v>
      </c>
      <c r="AI114">
        <v>1</v>
      </c>
      <c r="AJ114">
        <v>1</v>
      </c>
      <c r="AK114">
        <v>0.61656529091383006</v>
      </c>
    </row>
    <row r="115" spans="1:37" x14ac:dyDescent="0.3">
      <c r="A115">
        <v>914</v>
      </c>
      <c r="B115">
        <v>2025</v>
      </c>
      <c r="C115" t="s">
        <v>179</v>
      </c>
      <c r="D115">
        <v>10.5</v>
      </c>
      <c r="E115">
        <v>11108.181</v>
      </c>
      <c r="F115">
        <v>23327.05</v>
      </c>
      <c r="G115">
        <v>29.939</v>
      </c>
      <c r="H115">
        <v>62.871000000000002</v>
      </c>
      <c r="I115">
        <v>3.3580000000000001</v>
      </c>
      <c r="J115">
        <v>2.6749999999999998</v>
      </c>
      <c r="K115">
        <v>-1.7230000000000001</v>
      </c>
      <c r="L115">
        <v>28.585000000000001</v>
      </c>
      <c r="M115">
        <v>54.116999999999997</v>
      </c>
      <c r="N115">
        <v>-2.3860000000000001</v>
      </c>
      <c r="O115">
        <v>0.36399999999999999</v>
      </c>
      <c r="P115">
        <v>2.0870000000000002</v>
      </c>
      <c r="Q115">
        <v>7.3010320097953478</v>
      </c>
      <c r="R115">
        <v>1.893195732027287</v>
      </c>
      <c r="S115">
        <v>3.601399999999999</v>
      </c>
      <c r="T115">
        <v>3.2900999999999998</v>
      </c>
      <c r="U115">
        <v>-2.6183000000000001</v>
      </c>
      <c r="V115">
        <v>-3.9434</v>
      </c>
      <c r="W115">
        <v>11.96354</v>
      </c>
      <c r="X115">
        <v>1.4863579474342929</v>
      </c>
      <c r="Y115">
        <v>41.896563889084881</v>
      </c>
      <c r="Z115">
        <v>28.187398574754809</v>
      </c>
      <c r="AA115">
        <v>0.16899700000000001</v>
      </c>
      <c r="AB115">
        <v>0.18334900000000001</v>
      </c>
      <c r="AC115">
        <v>0.25085499999999999</v>
      </c>
      <c r="AD115">
        <v>0.171954</v>
      </c>
      <c r="AE115">
        <v>-0.16409699999999999</v>
      </c>
      <c r="AF115">
        <v>-0.33221899999999999</v>
      </c>
      <c r="AG115">
        <v>0</v>
      </c>
      <c r="AH115">
        <v>1</v>
      </c>
      <c r="AI115">
        <v>0</v>
      </c>
      <c r="AJ115">
        <v>0</v>
      </c>
      <c r="AK115">
        <v>0</v>
      </c>
    </row>
    <row r="116" spans="1:37" x14ac:dyDescent="0.3">
      <c r="A116">
        <v>915</v>
      </c>
      <c r="B116">
        <v>2025</v>
      </c>
      <c r="C116" t="s">
        <v>180</v>
      </c>
      <c r="D116">
        <v>11</v>
      </c>
      <c r="E116">
        <v>10125.977000000001</v>
      </c>
      <c r="F116">
        <v>31089.68</v>
      </c>
      <c r="G116">
        <v>37.402999999999999</v>
      </c>
      <c r="H116">
        <v>114.839</v>
      </c>
      <c r="I116">
        <v>7.2279999999999998</v>
      </c>
      <c r="J116">
        <v>4.3890000000000002</v>
      </c>
      <c r="K116">
        <v>-2.274</v>
      </c>
      <c r="L116">
        <v>27.609000000000002</v>
      </c>
      <c r="M116">
        <v>34.234000000000002</v>
      </c>
      <c r="N116">
        <v>-4.53</v>
      </c>
      <c r="O116">
        <v>-0.45500000000000002</v>
      </c>
      <c r="P116">
        <v>1.819</v>
      </c>
      <c r="Q116">
        <v>6.5884313086312432</v>
      </c>
      <c r="R116">
        <v>1.239957984715129</v>
      </c>
      <c r="S116">
        <v>6.0080000000000009</v>
      </c>
      <c r="T116">
        <v>4.4882000000000009</v>
      </c>
      <c r="U116">
        <v>-3.2888999999999999</v>
      </c>
      <c r="V116">
        <v>-6.0503999999999989</v>
      </c>
      <c r="W116">
        <v>3.720011</v>
      </c>
      <c r="X116">
        <v>5.3826107612971672</v>
      </c>
      <c r="Y116">
        <v>70.031904867501936</v>
      </c>
      <c r="Z116">
        <v>13.01076893225413</v>
      </c>
      <c r="AA116">
        <v>3.4713000000000001E-2</v>
      </c>
      <c r="AB116">
        <v>-0.33555400000000002</v>
      </c>
      <c r="AC116">
        <v>0.79128600000000004</v>
      </c>
      <c r="AD116">
        <v>0.94657800000000003</v>
      </c>
      <c r="AE116">
        <v>0.17727899999999999</v>
      </c>
      <c r="AF116">
        <v>0.61769499999999999</v>
      </c>
      <c r="AG116">
        <v>0</v>
      </c>
      <c r="AH116">
        <v>1</v>
      </c>
      <c r="AI116">
        <v>0</v>
      </c>
      <c r="AJ116">
        <v>0</v>
      </c>
      <c r="AK116">
        <v>0</v>
      </c>
    </row>
    <row r="117" spans="1:37" x14ac:dyDescent="0.3">
      <c r="A117">
        <v>916</v>
      </c>
      <c r="B117">
        <v>2025</v>
      </c>
      <c r="C117" t="s">
        <v>181</v>
      </c>
      <c r="D117">
        <v>14</v>
      </c>
      <c r="E117">
        <v>14722.579</v>
      </c>
      <c r="F117">
        <v>44777.87</v>
      </c>
      <c r="G117">
        <v>300.05200000000002</v>
      </c>
      <c r="H117">
        <v>912.58900000000006</v>
      </c>
      <c r="I117">
        <v>5.8520000000000003</v>
      </c>
      <c r="J117">
        <v>12.663</v>
      </c>
      <c r="K117">
        <v>-2.4529999999999998</v>
      </c>
      <c r="L117">
        <v>17.835999999999999</v>
      </c>
      <c r="M117">
        <v>24.808</v>
      </c>
      <c r="N117">
        <v>-3.7759999999999998</v>
      </c>
      <c r="O117">
        <v>-1.8009999999999999</v>
      </c>
      <c r="P117">
        <v>0.65199999999999991</v>
      </c>
      <c r="Q117">
        <v>3.6555281453240629</v>
      </c>
      <c r="R117">
        <v>1.390894819466248</v>
      </c>
      <c r="S117">
        <v>3.5804</v>
      </c>
      <c r="T117">
        <v>10.3771</v>
      </c>
      <c r="U117">
        <v>-2.4902000000000002</v>
      </c>
      <c r="V117">
        <v>-2.8088000000000002</v>
      </c>
      <c r="W117">
        <v>5.9738259999999999</v>
      </c>
      <c r="X117">
        <v>9.0610841060584839</v>
      </c>
      <c r="Y117">
        <v>59.2771586506597</v>
      </c>
      <c r="Z117">
        <v>6.5419499429461636</v>
      </c>
      <c r="AA117">
        <v>-1.003841</v>
      </c>
      <c r="AB117">
        <v>-0.27334599999999998</v>
      </c>
      <c r="AC117">
        <v>0.146815</v>
      </c>
      <c r="AD117">
        <v>6.5955E-2</v>
      </c>
      <c r="AE117">
        <v>-0.44678099999999998</v>
      </c>
      <c r="AF117">
        <v>-0.26659300000000002</v>
      </c>
      <c r="AG117">
        <v>0</v>
      </c>
      <c r="AH117">
        <v>1</v>
      </c>
      <c r="AI117">
        <v>0</v>
      </c>
      <c r="AJ117">
        <v>0</v>
      </c>
      <c r="AK117">
        <v>0</v>
      </c>
    </row>
    <row r="118" spans="1:37" x14ac:dyDescent="0.3">
      <c r="A118">
        <v>917</v>
      </c>
      <c r="B118">
        <v>2025</v>
      </c>
      <c r="C118" t="s">
        <v>182</v>
      </c>
      <c r="D118">
        <v>8</v>
      </c>
      <c r="E118">
        <v>2789.5859999999998</v>
      </c>
      <c r="F118">
        <v>8870.3700000000008</v>
      </c>
      <c r="G118">
        <v>20.16</v>
      </c>
      <c r="H118">
        <v>64.105000000000004</v>
      </c>
      <c r="I118">
        <v>7.9960000000000004</v>
      </c>
      <c r="J118">
        <v>7.9560000000000004</v>
      </c>
      <c r="K118">
        <v>-2.468</v>
      </c>
      <c r="L118">
        <v>34.454000000000001</v>
      </c>
      <c r="M118">
        <v>37.811999999999998</v>
      </c>
      <c r="N118">
        <v>-8.375</v>
      </c>
      <c r="O118">
        <v>-1.337</v>
      </c>
      <c r="P118">
        <v>1.131</v>
      </c>
      <c r="Q118">
        <v>3.2826377198583621</v>
      </c>
      <c r="R118">
        <v>1.0974632843791721</v>
      </c>
      <c r="S118">
        <v>5.5013000000000014</v>
      </c>
      <c r="T118">
        <v>7.8287000000000004</v>
      </c>
      <c r="U118">
        <v>-1.361</v>
      </c>
      <c r="V118">
        <v>-15.2098</v>
      </c>
      <c r="W118">
        <v>2.406139</v>
      </c>
      <c r="X118">
        <v>4.9244669429541892</v>
      </c>
      <c r="Y118">
        <v>50.39546290619252</v>
      </c>
      <c r="Z118">
        <v>10.233688943388509</v>
      </c>
      <c r="AA118">
        <v>-0.72319999999999995</v>
      </c>
      <c r="AB118">
        <v>-0.48121999999999998</v>
      </c>
      <c r="AC118">
        <v>-0.89072799999999996</v>
      </c>
      <c r="AD118">
        <v>-0.61672000000000005</v>
      </c>
      <c r="AE118">
        <v>-1.1741220000000001</v>
      </c>
      <c r="AF118">
        <v>-1.221095</v>
      </c>
      <c r="AG118">
        <v>0</v>
      </c>
      <c r="AH118">
        <v>1</v>
      </c>
      <c r="AI118">
        <v>0</v>
      </c>
      <c r="AJ118">
        <v>0</v>
      </c>
      <c r="AK118">
        <v>0</v>
      </c>
    </row>
    <row r="119" spans="1:37" x14ac:dyDescent="0.3">
      <c r="A119">
        <v>918</v>
      </c>
      <c r="B119">
        <v>2025</v>
      </c>
      <c r="C119" t="s">
        <v>183</v>
      </c>
      <c r="D119">
        <v>15</v>
      </c>
      <c r="E119">
        <v>20425.72</v>
      </c>
      <c r="F119">
        <v>42477.29</v>
      </c>
      <c r="G119">
        <v>127.92400000000001</v>
      </c>
      <c r="H119">
        <v>266.03100000000001</v>
      </c>
      <c r="I119">
        <v>3.05</v>
      </c>
      <c r="J119">
        <v>3.964</v>
      </c>
      <c r="K119">
        <v>-3.4119999999999999</v>
      </c>
      <c r="L119">
        <v>35.570999999999998</v>
      </c>
      <c r="M119">
        <v>28.416</v>
      </c>
      <c r="N119">
        <v>-3.83</v>
      </c>
      <c r="O119">
        <v>-3.0470000000000002</v>
      </c>
      <c r="P119">
        <v>0.36499999999999982</v>
      </c>
      <c r="Q119">
        <v>1.0261167805234599</v>
      </c>
      <c r="R119">
        <v>0.79885299822889433</v>
      </c>
      <c r="S119">
        <v>2.7637</v>
      </c>
      <c r="T119">
        <v>4.2743000000000002</v>
      </c>
      <c r="U119">
        <v>-2.9577</v>
      </c>
      <c r="V119">
        <v>-1.6927000000000001</v>
      </c>
      <c r="W119">
        <v>8.7221437500000008</v>
      </c>
      <c r="X119">
        <v>1.418956508267373</v>
      </c>
      <c r="Y119">
        <v>48.26141388615865</v>
      </c>
      <c r="Z119">
        <v>34.011904949143648</v>
      </c>
      <c r="AA119">
        <v>0.388988</v>
      </c>
      <c r="AB119">
        <v>0.34186100000000003</v>
      </c>
      <c r="AC119">
        <v>4.7112000000000001E-2</v>
      </c>
      <c r="AD119">
        <v>0.40789700000000001</v>
      </c>
      <c r="AE119">
        <v>-6.8580000000000004E-3</v>
      </c>
      <c r="AF119">
        <v>-0.13772200000000001</v>
      </c>
      <c r="AG119">
        <v>0</v>
      </c>
      <c r="AH119">
        <v>1</v>
      </c>
      <c r="AI119">
        <v>0</v>
      </c>
      <c r="AJ119">
        <v>0</v>
      </c>
      <c r="AK119">
        <v>0</v>
      </c>
    </row>
    <row r="120" spans="1:37" x14ac:dyDescent="0.3">
      <c r="A120">
        <v>921</v>
      </c>
      <c r="B120">
        <v>2025</v>
      </c>
      <c r="C120" t="s">
        <v>184</v>
      </c>
      <c r="D120">
        <v>8.6666666666666661</v>
      </c>
      <c r="E120">
        <v>8239.3610000000008</v>
      </c>
      <c r="F120">
        <v>19590.73</v>
      </c>
      <c r="G120">
        <v>19.62</v>
      </c>
      <c r="H120">
        <v>46.651000000000003</v>
      </c>
      <c r="I120">
        <v>1.7</v>
      </c>
      <c r="J120">
        <v>6.2050000000000001</v>
      </c>
      <c r="K120">
        <v>-3.5750000000000002</v>
      </c>
      <c r="L120">
        <v>36.862000000000002</v>
      </c>
      <c r="M120">
        <v>37.798000000000002</v>
      </c>
      <c r="N120">
        <v>-19.291</v>
      </c>
      <c r="O120">
        <v>-2.1739999999999999</v>
      </c>
      <c r="P120">
        <v>1.401</v>
      </c>
      <c r="Q120">
        <v>3.8006619282730179</v>
      </c>
      <c r="R120">
        <v>1.025392002604308</v>
      </c>
      <c r="S120">
        <v>1.7050000000000001</v>
      </c>
      <c r="T120">
        <v>8.1944999999999997</v>
      </c>
      <c r="U120">
        <v>-4.3471000000000002</v>
      </c>
      <c r="V120">
        <v>-15.7562</v>
      </c>
      <c r="W120">
        <v>7.2421347570930594</v>
      </c>
      <c r="X120">
        <v>1.8799918358139209</v>
      </c>
      <c r="Y120">
        <v>37.223758374986708</v>
      </c>
      <c r="Z120">
        <v>19.799957460384981</v>
      </c>
      <c r="AA120">
        <v>0.236791</v>
      </c>
      <c r="AB120">
        <v>-0.68369999999999997</v>
      </c>
      <c r="AC120">
        <v>-0.16495199999999999</v>
      </c>
      <c r="AD120">
        <v>0.10549799999999999</v>
      </c>
      <c r="AE120">
        <v>-0.15265899999999999</v>
      </c>
      <c r="AF120">
        <v>-0.28033799999999998</v>
      </c>
      <c r="AG120">
        <v>0</v>
      </c>
      <c r="AH120">
        <v>1</v>
      </c>
      <c r="AI120">
        <v>1</v>
      </c>
      <c r="AJ120">
        <v>1</v>
      </c>
      <c r="AK120">
        <v>2.453802237157748E-2</v>
      </c>
    </row>
    <row r="121" spans="1:37" x14ac:dyDescent="0.3">
      <c r="A121">
        <v>922</v>
      </c>
      <c r="B121">
        <v>2025</v>
      </c>
      <c r="C121" t="s">
        <v>185</v>
      </c>
      <c r="D121">
        <v>1</v>
      </c>
      <c r="E121">
        <v>17445.75</v>
      </c>
      <c r="F121">
        <v>49048.99</v>
      </c>
      <c r="G121">
        <v>2540.6559999999999</v>
      </c>
      <c r="H121">
        <v>7143.0929999999998</v>
      </c>
      <c r="I121">
        <v>0.60899999999999999</v>
      </c>
      <c r="J121">
        <v>7.5510000000000002</v>
      </c>
      <c r="K121">
        <v>-2.7370000000000001</v>
      </c>
      <c r="L121">
        <v>35.097999999999999</v>
      </c>
      <c r="M121">
        <v>23.05</v>
      </c>
      <c r="N121">
        <v>1.742</v>
      </c>
      <c r="O121">
        <v>-1.7370000000000001</v>
      </c>
      <c r="P121">
        <v>1</v>
      </c>
      <c r="Q121">
        <v>2.8491651945979828</v>
      </c>
      <c r="R121">
        <v>0.65673257735483503</v>
      </c>
      <c r="S121">
        <v>1.5105</v>
      </c>
      <c r="T121">
        <v>6.6183000000000014</v>
      </c>
      <c r="U121">
        <v>-1.8880999999999999</v>
      </c>
      <c r="V121">
        <v>3.2605</v>
      </c>
      <c r="W121">
        <v>16.777715000000001</v>
      </c>
      <c r="X121">
        <v>0.71684783574296218</v>
      </c>
      <c r="Y121">
        <v>12.98177940679237</v>
      </c>
      <c r="Z121">
        <v>18.109532817850631</v>
      </c>
      <c r="AA121">
        <v>-1.2855399999999999</v>
      </c>
      <c r="AB121">
        <v>-1.134334</v>
      </c>
      <c r="AC121">
        <v>-0.71246200000000004</v>
      </c>
      <c r="AD121">
        <v>-1.122072</v>
      </c>
      <c r="AE121">
        <v>-1.187643</v>
      </c>
      <c r="AF121">
        <v>-1.104678</v>
      </c>
      <c r="AG121">
        <v>0</v>
      </c>
      <c r="AH121">
        <v>1</v>
      </c>
      <c r="AI121">
        <v>1</v>
      </c>
      <c r="AJ121">
        <v>1</v>
      </c>
      <c r="AK121">
        <v>0.61656529091383006</v>
      </c>
    </row>
    <row r="122" spans="1:37" x14ac:dyDescent="0.3">
      <c r="A122">
        <v>924</v>
      </c>
      <c r="B122">
        <v>2025</v>
      </c>
      <c r="C122" t="s">
        <v>186</v>
      </c>
      <c r="D122">
        <v>17.666666666666671</v>
      </c>
      <c r="E122">
        <v>13806.031000000001</v>
      </c>
      <c r="F122">
        <v>29191.097000000002</v>
      </c>
      <c r="G122">
        <v>19398.577000000001</v>
      </c>
      <c r="H122">
        <v>41015.824000000001</v>
      </c>
      <c r="I122">
        <v>4.7960000000000003</v>
      </c>
      <c r="J122">
        <v>0.54100000000000004</v>
      </c>
      <c r="K122">
        <v>-8.5730000000000004</v>
      </c>
      <c r="L122">
        <v>25.079000000000001</v>
      </c>
      <c r="M122">
        <v>96.262</v>
      </c>
      <c r="N122">
        <v>3.3039999999999998</v>
      </c>
      <c r="O122">
        <v>-7.34</v>
      </c>
      <c r="P122">
        <v>1.233000000000001</v>
      </c>
      <c r="Q122">
        <v>4.9164639738426592</v>
      </c>
      <c r="R122">
        <v>3.8383508114358631</v>
      </c>
      <c r="S122">
        <v>4.519499999999999</v>
      </c>
      <c r="T122">
        <v>1.0214000000000001</v>
      </c>
      <c r="U122">
        <v>-7.8563999999999989</v>
      </c>
      <c r="V122">
        <v>2.2894999999999999</v>
      </c>
      <c r="W122">
        <v>12.01952</v>
      </c>
      <c r="X122">
        <v>0.89961268310354947</v>
      </c>
      <c r="Y122">
        <v>15.117011550740459</v>
      </c>
      <c r="Z122">
        <v>16.803911099373</v>
      </c>
      <c r="AA122">
        <v>-1.5045539999999999</v>
      </c>
      <c r="AB122">
        <v>-0.51309700000000003</v>
      </c>
      <c r="AC122">
        <v>0.67901400000000001</v>
      </c>
      <c r="AD122">
        <v>-0.35650799999999999</v>
      </c>
      <c r="AE122">
        <v>-4.0129999999999999E-2</v>
      </c>
      <c r="AF122">
        <v>-5.3699999999999998E-3</v>
      </c>
      <c r="AG122">
        <v>0</v>
      </c>
      <c r="AH122">
        <v>1</v>
      </c>
      <c r="AI122">
        <v>0</v>
      </c>
      <c r="AJ122">
        <v>0</v>
      </c>
      <c r="AK122">
        <v>0</v>
      </c>
    </row>
    <row r="123" spans="1:37" x14ac:dyDescent="0.3">
      <c r="A123">
        <v>926</v>
      </c>
      <c r="B123">
        <v>2025</v>
      </c>
      <c r="C123" t="s">
        <v>187</v>
      </c>
      <c r="D123">
        <v>1.6666666666666681</v>
      </c>
      <c r="E123">
        <v>6381.6760000000004</v>
      </c>
      <c r="F123">
        <v>20903.939999999999</v>
      </c>
      <c r="G123">
        <v>209.71299999999999</v>
      </c>
      <c r="H123">
        <v>686.94</v>
      </c>
      <c r="I123">
        <v>2</v>
      </c>
      <c r="J123">
        <v>8.9570000000000007</v>
      </c>
      <c r="K123">
        <v>-21.335000000000001</v>
      </c>
      <c r="L123">
        <v>41.555999999999997</v>
      </c>
      <c r="M123">
        <v>108.64400000000001</v>
      </c>
      <c r="N123">
        <v>-16.507000000000001</v>
      </c>
      <c r="O123">
        <v>-16.382000000000001</v>
      </c>
      <c r="P123">
        <v>4.9529999999999994</v>
      </c>
      <c r="Q123">
        <v>11.918856482818359</v>
      </c>
      <c r="R123">
        <v>2.6143998459909521</v>
      </c>
      <c r="S123">
        <v>-8.1699999999999662E-2</v>
      </c>
      <c r="T123">
        <v>8.9632000000000005</v>
      </c>
      <c r="U123">
        <v>-10.364599999999999</v>
      </c>
      <c r="V123">
        <v>-4.9455</v>
      </c>
      <c r="W123">
        <v>5.0999999999999996</v>
      </c>
      <c r="X123">
        <v>5.9960722863335478</v>
      </c>
      <c r="Y123">
        <v>97.989594003388888</v>
      </c>
      <c r="Z123">
        <v>16.34229697776161</v>
      </c>
      <c r="AA123">
        <v>-0.10054299999999999</v>
      </c>
      <c r="AB123">
        <v>-1.4298230000000001</v>
      </c>
      <c r="AC123">
        <v>-0.35732000000000003</v>
      </c>
      <c r="AD123">
        <v>-0.26642700000000002</v>
      </c>
      <c r="AE123">
        <v>-0.88831700000000002</v>
      </c>
      <c r="AF123">
        <v>-0.68614600000000003</v>
      </c>
      <c r="AG123">
        <v>0</v>
      </c>
      <c r="AH123">
        <v>1</v>
      </c>
      <c r="AI123">
        <v>1</v>
      </c>
      <c r="AJ123">
        <v>1</v>
      </c>
      <c r="AK123">
        <v>0.61656529091383006</v>
      </c>
    </row>
    <row r="124" spans="1:37" x14ac:dyDescent="0.3">
      <c r="A124">
        <v>927</v>
      </c>
      <c r="B124">
        <v>2025</v>
      </c>
      <c r="C124" t="s">
        <v>188</v>
      </c>
      <c r="D124">
        <v>10.33333333333333</v>
      </c>
      <c r="E124">
        <v>3646.6039999999998</v>
      </c>
      <c r="F124">
        <v>12558.99</v>
      </c>
      <c r="G124">
        <v>137.47999999999999</v>
      </c>
      <c r="H124">
        <v>473.48599999999999</v>
      </c>
      <c r="I124">
        <v>6.7990000000000004</v>
      </c>
      <c r="J124">
        <v>8.5090000000000003</v>
      </c>
      <c r="K124">
        <v>-2.3610000000000002</v>
      </c>
      <c r="L124">
        <v>25.521000000000001</v>
      </c>
      <c r="M124">
        <v>31.062000000000001</v>
      </c>
      <c r="N124">
        <v>-2.4180000000000001</v>
      </c>
      <c r="O124">
        <v>-1.623</v>
      </c>
      <c r="P124">
        <v>0.73800000000000021</v>
      </c>
      <c r="Q124">
        <v>2.891736217232868</v>
      </c>
      <c r="R124">
        <v>1.2171153167979309</v>
      </c>
      <c r="S124">
        <v>5.8403000000000009</v>
      </c>
      <c r="T124">
        <v>8.1915999999999993</v>
      </c>
      <c r="U124">
        <v>-2.8823000000000012</v>
      </c>
      <c r="V124">
        <v>-4.8089000000000004</v>
      </c>
      <c r="W124">
        <v>3</v>
      </c>
      <c r="X124">
        <v>5.5032443429758846</v>
      </c>
      <c r="Y124">
        <v>46.645263279425222</v>
      </c>
      <c r="Z124">
        <v>8.4759571577012238</v>
      </c>
      <c r="AA124">
        <v>-1.3096570000000001</v>
      </c>
      <c r="AB124">
        <v>-0.15461</v>
      </c>
      <c r="AC124">
        <v>-0.28376800000000002</v>
      </c>
      <c r="AD124">
        <v>-0.57681700000000002</v>
      </c>
      <c r="AE124">
        <v>-0.83281099999999997</v>
      </c>
      <c r="AF124">
        <v>-0.80752900000000005</v>
      </c>
      <c r="AG124">
        <v>0</v>
      </c>
      <c r="AH124">
        <v>1</v>
      </c>
      <c r="AI124">
        <v>0</v>
      </c>
      <c r="AJ124">
        <v>0</v>
      </c>
      <c r="AK124">
        <v>0</v>
      </c>
    </row>
    <row r="125" spans="1:37" x14ac:dyDescent="0.3">
      <c r="A125">
        <v>935</v>
      </c>
      <c r="B125">
        <v>2025</v>
      </c>
      <c r="C125" t="s">
        <v>189</v>
      </c>
      <c r="D125">
        <v>19</v>
      </c>
      <c r="E125">
        <v>35161.480000000003</v>
      </c>
      <c r="F125">
        <v>59853.14</v>
      </c>
      <c r="G125">
        <v>383.38400000000001</v>
      </c>
      <c r="H125">
        <v>652.61</v>
      </c>
      <c r="I125">
        <v>2.298</v>
      </c>
      <c r="J125">
        <v>2.375</v>
      </c>
      <c r="K125">
        <v>-2.1579999999999999</v>
      </c>
      <c r="L125">
        <v>41.222000000000001</v>
      </c>
      <c r="M125">
        <v>43.999000000000002</v>
      </c>
      <c r="N125">
        <v>0.56999999999999995</v>
      </c>
      <c r="O125">
        <v>-1.4770000000000001</v>
      </c>
      <c r="P125">
        <v>0.68099999999999983</v>
      </c>
      <c r="Q125">
        <v>1.652030469166949</v>
      </c>
      <c r="R125">
        <v>1.067366939983504</v>
      </c>
      <c r="S125">
        <v>1.3158000000000001</v>
      </c>
      <c r="T125">
        <v>4.5292000000000003</v>
      </c>
      <c r="U125">
        <v>-3.335</v>
      </c>
      <c r="V125">
        <v>-0.17760000000000001</v>
      </c>
      <c r="W125">
        <v>10.106036250000001</v>
      </c>
      <c r="X125">
        <v>1.30080185812144</v>
      </c>
      <c r="Y125">
        <v>65.055438072718147</v>
      </c>
      <c r="Z125">
        <v>50.011796697975441</v>
      </c>
      <c r="AA125">
        <v>1.076549</v>
      </c>
      <c r="AB125">
        <v>0.96736200000000006</v>
      </c>
      <c r="AC125">
        <v>1.1140110000000001</v>
      </c>
      <c r="AD125">
        <v>1.304489</v>
      </c>
      <c r="AE125">
        <v>1.1421840000000001</v>
      </c>
      <c r="AF125">
        <v>0.76780999999999999</v>
      </c>
      <c r="AG125">
        <v>0</v>
      </c>
      <c r="AH125">
        <v>1</v>
      </c>
      <c r="AI125">
        <v>0</v>
      </c>
      <c r="AJ125">
        <v>0</v>
      </c>
      <c r="AK125">
        <v>0</v>
      </c>
    </row>
    <row r="126" spans="1:37" x14ac:dyDescent="0.3">
      <c r="A126">
        <v>936</v>
      </c>
      <c r="B126">
        <v>2025</v>
      </c>
      <c r="C126" t="s">
        <v>190</v>
      </c>
      <c r="D126">
        <v>16.666666666666671</v>
      </c>
      <c r="E126">
        <v>28524.48</v>
      </c>
      <c r="F126">
        <v>47596.54</v>
      </c>
      <c r="G126">
        <v>154.58699999999999</v>
      </c>
      <c r="H126">
        <v>257.947</v>
      </c>
      <c r="I126">
        <v>0.91</v>
      </c>
      <c r="J126">
        <v>3.907</v>
      </c>
      <c r="K126">
        <v>-5.1970000000000001</v>
      </c>
      <c r="L126">
        <v>43.354999999999997</v>
      </c>
      <c r="M126">
        <v>59.575000000000003</v>
      </c>
      <c r="N126">
        <v>-2.887</v>
      </c>
      <c r="O126">
        <v>-4.03</v>
      </c>
      <c r="P126">
        <v>1.167</v>
      </c>
      <c r="Q126">
        <v>2.6917310575481488</v>
      </c>
      <c r="R126">
        <v>1.374120631991697</v>
      </c>
      <c r="S126">
        <v>1.7544</v>
      </c>
      <c r="T126">
        <v>4.4554</v>
      </c>
      <c r="U126">
        <v>-4.9205999999999994</v>
      </c>
      <c r="V126">
        <v>-2.9885999999999999</v>
      </c>
      <c r="W126">
        <v>0.8334435</v>
      </c>
      <c r="X126">
        <v>16.134924546144731</v>
      </c>
      <c r="Y126">
        <v>76.542501107167411</v>
      </c>
      <c r="Z126">
        <v>4.7439020175310613</v>
      </c>
      <c r="AA126">
        <v>0.91247599999999995</v>
      </c>
      <c r="AB126">
        <v>0.57321900000000003</v>
      </c>
      <c r="AC126">
        <v>0.22951199999999999</v>
      </c>
      <c r="AD126">
        <v>0.60191899999999998</v>
      </c>
      <c r="AE126">
        <v>0.60336500000000004</v>
      </c>
      <c r="AF126">
        <v>0.29256500000000002</v>
      </c>
      <c r="AG126">
        <v>1</v>
      </c>
      <c r="AH126">
        <v>0</v>
      </c>
      <c r="AI126">
        <v>0</v>
      </c>
      <c r="AJ126">
        <v>0</v>
      </c>
      <c r="AK126">
        <v>0</v>
      </c>
    </row>
    <row r="127" spans="1:37" x14ac:dyDescent="0.3">
      <c r="A127">
        <v>939</v>
      </c>
      <c r="B127">
        <v>2025</v>
      </c>
      <c r="C127" t="s">
        <v>191</v>
      </c>
      <c r="D127">
        <v>18</v>
      </c>
      <c r="E127">
        <v>34041.29</v>
      </c>
      <c r="F127">
        <v>49087.45</v>
      </c>
      <c r="G127">
        <v>46.762999999999998</v>
      </c>
      <c r="H127">
        <v>67.433000000000007</v>
      </c>
      <c r="I127">
        <v>0.47499999999999998</v>
      </c>
      <c r="J127">
        <v>5.298</v>
      </c>
      <c r="K127">
        <v>-1.498</v>
      </c>
      <c r="L127">
        <v>43.27</v>
      </c>
      <c r="M127">
        <v>24.413</v>
      </c>
      <c r="N127">
        <v>-0.92400000000000004</v>
      </c>
      <c r="O127">
        <v>-1.304</v>
      </c>
      <c r="P127">
        <v>0.19400000000000001</v>
      </c>
      <c r="Q127">
        <v>0.44834758493182331</v>
      </c>
      <c r="R127">
        <v>0.5642015253062167</v>
      </c>
      <c r="S127">
        <v>0.86670000000000003</v>
      </c>
      <c r="T127">
        <v>5.3771000000000004</v>
      </c>
      <c r="U127">
        <v>-2.8721999999999999</v>
      </c>
      <c r="V127">
        <v>-2.0448</v>
      </c>
      <c r="W127">
        <v>1.0522</v>
      </c>
      <c r="X127">
        <v>8.9537044453344024</v>
      </c>
      <c r="Y127">
        <v>47.000924991590978</v>
      </c>
      <c r="Z127">
        <v>5.2493272788429186</v>
      </c>
      <c r="AA127">
        <v>1.2199260000000001</v>
      </c>
      <c r="AB127">
        <v>0.66053399999999995</v>
      </c>
      <c r="AC127">
        <v>1.2634700000000001</v>
      </c>
      <c r="AD127">
        <v>1.4296439999999999</v>
      </c>
      <c r="AE127">
        <v>1.4263889999999999</v>
      </c>
      <c r="AF127">
        <v>1.538122</v>
      </c>
      <c r="AG127">
        <v>1</v>
      </c>
      <c r="AH127">
        <v>0</v>
      </c>
      <c r="AI127">
        <v>0</v>
      </c>
      <c r="AJ127">
        <v>0</v>
      </c>
      <c r="AK127">
        <v>0</v>
      </c>
    </row>
    <row r="128" spans="1:37" x14ac:dyDescent="0.3">
      <c r="A128">
        <v>941</v>
      </c>
      <c r="B128">
        <v>2025</v>
      </c>
      <c r="C128" t="s">
        <v>192</v>
      </c>
      <c r="D128">
        <v>16.333333333333329</v>
      </c>
      <c r="E128">
        <v>25629.633999999998</v>
      </c>
      <c r="F128">
        <v>44105.52</v>
      </c>
      <c r="G128">
        <v>47.88</v>
      </c>
      <c r="H128">
        <v>82.394999999999996</v>
      </c>
      <c r="I128">
        <v>1.028</v>
      </c>
      <c r="J128">
        <v>3.427</v>
      </c>
      <c r="K128">
        <v>-3.4550000000000001</v>
      </c>
      <c r="L128">
        <v>40.835000000000001</v>
      </c>
      <c r="M128">
        <v>47.134</v>
      </c>
      <c r="N128">
        <v>-2.1150000000000002</v>
      </c>
      <c r="O128">
        <v>-2.379</v>
      </c>
      <c r="P128">
        <v>1.0760000000000001</v>
      </c>
      <c r="Q128">
        <v>2.6349944900208149</v>
      </c>
      <c r="R128">
        <v>1.154254928370271</v>
      </c>
      <c r="S128">
        <v>1.8022</v>
      </c>
      <c r="T128">
        <v>4.5364000000000004</v>
      </c>
      <c r="U128">
        <v>-3.7425999999999999</v>
      </c>
      <c r="V128">
        <v>-2.4026999999999998</v>
      </c>
      <c r="W128">
        <v>1.5981000000000001</v>
      </c>
      <c r="X128">
        <v>9.7485637426900578</v>
      </c>
      <c r="Y128">
        <v>75.20411072614408</v>
      </c>
      <c r="Z128">
        <v>7.7143785188393226</v>
      </c>
      <c r="AA128">
        <v>0.99302800000000002</v>
      </c>
      <c r="AB128">
        <v>0.59108899999999998</v>
      </c>
      <c r="AC128">
        <v>0.69656099999999999</v>
      </c>
      <c r="AD128">
        <v>1.172223</v>
      </c>
      <c r="AE128">
        <v>1.0398609999999999</v>
      </c>
      <c r="AF128">
        <v>0.69811400000000001</v>
      </c>
      <c r="AG128">
        <v>1</v>
      </c>
      <c r="AH128">
        <v>0</v>
      </c>
      <c r="AI128">
        <v>0</v>
      </c>
      <c r="AJ128">
        <v>0</v>
      </c>
      <c r="AK128">
        <v>0</v>
      </c>
    </row>
    <row r="129" spans="1:37" x14ac:dyDescent="0.3">
      <c r="A129">
        <v>942</v>
      </c>
      <c r="B129">
        <v>2025</v>
      </c>
      <c r="C129" t="s">
        <v>193</v>
      </c>
      <c r="D129">
        <v>12</v>
      </c>
      <c r="E129">
        <v>15322.2</v>
      </c>
      <c r="F129">
        <v>32741.87</v>
      </c>
      <c r="G129">
        <v>100.048</v>
      </c>
      <c r="H129">
        <v>213.791</v>
      </c>
      <c r="I129">
        <v>2.3759999999999999</v>
      </c>
      <c r="J129">
        <v>4.7</v>
      </c>
      <c r="K129">
        <v>-2.734</v>
      </c>
      <c r="L129">
        <v>40.561</v>
      </c>
      <c r="M129">
        <v>43.902000000000001</v>
      </c>
      <c r="N129">
        <v>-5.3010000000000002</v>
      </c>
      <c r="O129">
        <v>-0.58699999999999997</v>
      </c>
      <c r="P129">
        <v>2.1469999999999998</v>
      </c>
      <c r="Q129">
        <v>5.2932620004437769</v>
      </c>
      <c r="R129">
        <v>1.082369764059071</v>
      </c>
      <c r="S129">
        <v>3.5813999999999999</v>
      </c>
      <c r="T129">
        <v>5.3465000000000007</v>
      </c>
      <c r="U129">
        <v>-2.6116999999999999</v>
      </c>
      <c r="V129">
        <v>-4.6522000000000006</v>
      </c>
      <c r="W129">
        <v>7.9077500000000001</v>
      </c>
      <c r="X129">
        <v>1.337233815255324</v>
      </c>
      <c r="Y129">
        <v>37.866491882625787</v>
      </c>
      <c r="Z129">
        <v>28.317031360290411</v>
      </c>
      <c r="AA129">
        <v>-5.5E-2</v>
      </c>
      <c r="AB129">
        <v>-3.9109999999999999E-2</v>
      </c>
      <c r="AC129">
        <v>7.6340000000000002E-3</v>
      </c>
      <c r="AD129">
        <v>0.13791600000000001</v>
      </c>
      <c r="AE129">
        <v>-7.4504000000000001E-2</v>
      </c>
      <c r="AF129">
        <v>-0.44720399999999999</v>
      </c>
      <c r="AG129">
        <v>0</v>
      </c>
      <c r="AH129">
        <v>1</v>
      </c>
      <c r="AI129">
        <v>0</v>
      </c>
      <c r="AJ129">
        <v>0</v>
      </c>
      <c r="AK129">
        <v>0</v>
      </c>
    </row>
    <row r="130" spans="1:37" x14ac:dyDescent="0.3">
      <c r="A130">
        <v>943</v>
      </c>
      <c r="B130">
        <v>2025</v>
      </c>
      <c r="C130" t="s">
        <v>194</v>
      </c>
      <c r="D130">
        <v>9.5</v>
      </c>
      <c r="E130">
        <v>14985.9</v>
      </c>
      <c r="F130">
        <v>34407.85</v>
      </c>
      <c r="G130">
        <v>9.3529999999999998</v>
      </c>
      <c r="H130">
        <v>21.475999999999999</v>
      </c>
      <c r="I130">
        <v>3.2</v>
      </c>
      <c r="J130">
        <v>4.9619999999999997</v>
      </c>
      <c r="K130">
        <v>-3.532</v>
      </c>
      <c r="L130">
        <v>39.856000000000002</v>
      </c>
      <c r="M130">
        <v>60.792999999999999</v>
      </c>
      <c r="N130">
        <v>-18.13</v>
      </c>
      <c r="O130">
        <v>-1.4119999999999999</v>
      </c>
      <c r="P130">
        <v>2.12</v>
      </c>
      <c r="Q130">
        <v>5.3191489361702127</v>
      </c>
      <c r="R130">
        <v>1.5253161380971501</v>
      </c>
      <c r="S130">
        <v>3.0834999999999999</v>
      </c>
      <c r="T130">
        <v>4.0615000000000014</v>
      </c>
      <c r="U130">
        <v>-3.7972999999999999</v>
      </c>
      <c r="V130">
        <v>-16.185300000000002</v>
      </c>
      <c r="W130">
        <v>4.7419508643883699</v>
      </c>
      <c r="X130">
        <v>5.757391053450533</v>
      </c>
      <c r="Y130">
        <v>123.0640953024854</v>
      </c>
      <c r="Z130">
        <v>21.374975950040842</v>
      </c>
      <c r="AA130">
        <v>0.34200599999999998</v>
      </c>
      <c r="AB130">
        <v>6.9302000000000002E-2</v>
      </c>
      <c r="AC130">
        <v>0.247063</v>
      </c>
      <c r="AD130">
        <v>0.37420100000000001</v>
      </c>
      <c r="AE130">
        <v>-4.2155999999999999E-2</v>
      </c>
      <c r="AF130">
        <v>-7.9310000000000005E-2</v>
      </c>
      <c r="AG130">
        <v>0</v>
      </c>
      <c r="AH130">
        <v>1</v>
      </c>
      <c r="AI130">
        <v>0</v>
      </c>
      <c r="AJ130">
        <v>0</v>
      </c>
      <c r="AK130">
        <v>0</v>
      </c>
    </row>
    <row r="131" spans="1:37" x14ac:dyDescent="0.3">
      <c r="A131">
        <v>944</v>
      </c>
      <c r="B131">
        <v>2025</v>
      </c>
      <c r="C131" t="s">
        <v>195</v>
      </c>
      <c r="D131">
        <v>13.66666666666667</v>
      </c>
      <c r="E131">
        <v>25916.33</v>
      </c>
      <c r="F131">
        <v>48156.87</v>
      </c>
      <c r="G131">
        <v>247.75899999999999</v>
      </c>
      <c r="H131">
        <v>460.37799999999999</v>
      </c>
      <c r="I131">
        <v>0.59499999999999997</v>
      </c>
      <c r="J131">
        <v>4.1050000000000004</v>
      </c>
      <c r="K131">
        <v>-4.6849999999999996</v>
      </c>
      <c r="L131">
        <v>42.796999999999997</v>
      </c>
      <c r="M131">
        <v>74.760999999999996</v>
      </c>
      <c r="N131">
        <v>1.2410000000000001</v>
      </c>
      <c r="O131">
        <v>-1.165</v>
      </c>
      <c r="P131">
        <v>3.52</v>
      </c>
      <c r="Q131">
        <v>8.2248755753907989</v>
      </c>
      <c r="R131">
        <v>1.74687478094259</v>
      </c>
      <c r="S131">
        <v>1.6627000000000001</v>
      </c>
      <c r="T131">
        <v>6.0926</v>
      </c>
      <c r="U131">
        <v>-5.5157000000000007</v>
      </c>
      <c r="V131">
        <v>-0.48120000000000029</v>
      </c>
      <c r="W131">
        <v>3.8807044999999998</v>
      </c>
      <c r="X131">
        <v>4.4519949066389231</v>
      </c>
      <c r="Y131">
        <v>86.746593714243318</v>
      </c>
      <c r="Z131">
        <v>19.484881616752229</v>
      </c>
      <c r="AA131">
        <v>0.35952899999999999</v>
      </c>
      <c r="AB131">
        <v>0.73189199999999999</v>
      </c>
      <c r="AC131">
        <v>0.37275900000000001</v>
      </c>
      <c r="AD131">
        <v>0.31830900000000001</v>
      </c>
      <c r="AE131">
        <v>0.42708499999999999</v>
      </c>
      <c r="AF131">
        <v>-4.9799999999999996E-4</v>
      </c>
      <c r="AG131">
        <v>0</v>
      </c>
      <c r="AH131">
        <v>1</v>
      </c>
      <c r="AI131">
        <v>0</v>
      </c>
      <c r="AJ131">
        <v>0</v>
      </c>
      <c r="AK131">
        <v>0</v>
      </c>
    </row>
    <row r="132" spans="1:37" x14ac:dyDescent="0.3">
      <c r="A132">
        <v>946</v>
      </c>
      <c r="B132">
        <v>2025</v>
      </c>
      <c r="C132" t="s">
        <v>196</v>
      </c>
      <c r="D132">
        <v>17</v>
      </c>
      <c r="E132">
        <v>32982.410000000003</v>
      </c>
      <c r="F132">
        <v>57201.43</v>
      </c>
      <c r="G132">
        <v>95.274000000000001</v>
      </c>
      <c r="H132">
        <v>165.23400000000001</v>
      </c>
      <c r="I132">
        <v>2.7330000000000001</v>
      </c>
      <c r="J132">
        <v>3.706</v>
      </c>
      <c r="K132">
        <v>-2.694</v>
      </c>
      <c r="L132">
        <v>38.142000000000003</v>
      </c>
      <c r="M132">
        <v>41.784999999999997</v>
      </c>
      <c r="N132">
        <v>2.0819999999999999</v>
      </c>
      <c r="O132">
        <v>-1.7889999999999999</v>
      </c>
      <c r="P132">
        <v>0.90500000000000003</v>
      </c>
      <c r="Q132">
        <v>2.3727124954118821</v>
      </c>
      <c r="R132">
        <v>1.095511509621939</v>
      </c>
      <c r="S132">
        <v>2.4859</v>
      </c>
      <c r="T132">
        <v>4.8422999999999989</v>
      </c>
      <c r="U132">
        <v>-2.789600000000001</v>
      </c>
      <c r="V132">
        <v>1.6988000000000001</v>
      </c>
      <c r="W132">
        <v>0.98609999999999998</v>
      </c>
      <c r="X132">
        <v>11.963225474031329</v>
      </c>
      <c r="Y132">
        <v>63.580228928199787</v>
      </c>
      <c r="Z132">
        <v>5.3146393559340606</v>
      </c>
      <c r="AA132">
        <v>1.071113</v>
      </c>
      <c r="AB132">
        <v>0.74211199999999999</v>
      </c>
      <c r="AC132">
        <v>1.0501210000000001</v>
      </c>
      <c r="AD132">
        <v>1.338042</v>
      </c>
      <c r="AE132">
        <v>1.267196</v>
      </c>
      <c r="AF132">
        <v>0.78154599999999996</v>
      </c>
      <c r="AG132">
        <v>1</v>
      </c>
      <c r="AH132">
        <v>0</v>
      </c>
      <c r="AI132">
        <v>0</v>
      </c>
      <c r="AJ132">
        <v>0</v>
      </c>
      <c r="AK132">
        <v>0</v>
      </c>
    </row>
    <row r="133" spans="1:37" x14ac:dyDescent="0.3">
      <c r="A133">
        <v>948</v>
      </c>
      <c r="B133">
        <v>2025</v>
      </c>
      <c r="C133" t="s">
        <v>197</v>
      </c>
      <c r="D133">
        <v>8.6666666666666661</v>
      </c>
      <c r="E133">
        <v>7005.4939999999997</v>
      </c>
      <c r="F133">
        <v>20378.3</v>
      </c>
      <c r="G133">
        <v>25.105</v>
      </c>
      <c r="H133">
        <v>73.028000000000006</v>
      </c>
      <c r="I133">
        <v>5.4969999999999999</v>
      </c>
      <c r="J133">
        <v>8.1999999999999993</v>
      </c>
      <c r="K133">
        <v>-0.68700000000000006</v>
      </c>
      <c r="L133">
        <v>34.895000000000003</v>
      </c>
      <c r="M133">
        <v>46.569000000000003</v>
      </c>
      <c r="N133">
        <v>-14.353</v>
      </c>
      <c r="O133">
        <v>1.0309999999999999</v>
      </c>
      <c r="P133">
        <v>1.718</v>
      </c>
      <c r="Q133">
        <v>4.9233414529302184</v>
      </c>
      <c r="R133">
        <v>1.3345464966327549</v>
      </c>
      <c r="S133">
        <v>4.1413000000000002</v>
      </c>
      <c r="T133">
        <v>8.3315000000000019</v>
      </c>
      <c r="U133">
        <v>-1.6272</v>
      </c>
      <c r="V133">
        <v>-10.7456</v>
      </c>
      <c r="W133">
        <v>5.6926202350245596</v>
      </c>
      <c r="X133">
        <v>11.01900544168393</v>
      </c>
      <c r="Y133">
        <v>120.39190320868541</v>
      </c>
      <c r="Z133">
        <v>10.92584116105918</v>
      </c>
      <c r="AA133">
        <v>0.25034200000000001</v>
      </c>
      <c r="AB133">
        <v>0.59267000000000003</v>
      </c>
      <c r="AC133">
        <v>-0.47153600000000001</v>
      </c>
      <c r="AD133">
        <v>-0.175535</v>
      </c>
      <c r="AE133">
        <v>-0.18448100000000001</v>
      </c>
      <c r="AF133">
        <v>-0.49260399999999999</v>
      </c>
      <c r="AG133">
        <v>0</v>
      </c>
      <c r="AH133">
        <v>1</v>
      </c>
      <c r="AI133">
        <v>0</v>
      </c>
      <c r="AJ133">
        <v>0</v>
      </c>
      <c r="AK133">
        <v>0</v>
      </c>
    </row>
    <row r="134" spans="1:37" x14ac:dyDescent="0.3">
      <c r="A134">
        <v>960</v>
      </c>
      <c r="B134">
        <v>2025</v>
      </c>
      <c r="C134" t="s">
        <v>198</v>
      </c>
      <c r="D134">
        <v>16</v>
      </c>
      <c r="E134">
        <v>26957.85</v>
      </c>
      <c r="F134">
        <v>51453.31</v>
      </c>
      <c r="G134">
        <v>103.901</v>
      </c>
      <c r="H134">
        <v>198.31200000000001</v>
      </c>
      <c r="I134">
        <v>3.1</v>
      </c>
      <c r="J134">
        <v>3.8149999999999999</v>
      </c>
      <c r="K134">
        <v>-2.9180000000000001</v>
      </c>
      <c r="L134">
        <v>45.972999999999999</v>
      </c>
      <c r="M134">
        <v>56.994999999999997</v>
      </c>
      <c r="N134">
        <v>-1.623</v>
      </c>
      <c r="O134">
        <v>-2.0249999999999999</v>
      </c>
      <c r="P134">
        <v>0.89300000000000024</v>
      </c>
      <c r="Q134">
        <v>1.94244447828073</v>
      </c>
      <c r="R134">
        <v>1.2397494181367319</v>
      </c>
      <c r="S134">
        <v>3.2429999999999999</v>
      </c>
      <c r="T134">
        <v>4.1020000000000003</v>
      </c>
      <c r="U134">
        <v>-2.6355999999999988</v>
      </c>
      <c r="V134">
        <v>-1.2798</v>
      </c>
      <c r="W134">
        <v>0.79162699999999986</v>
      </c>
      <c r="X134">
        <v>18.09790846721846</v>
      </c>
      <c r="Y134">
        <v>68.511614106023913</v>
      </c>
      <c r="Z134">
        <v>3.785609493501529</v>
      </c>
      <c r="AA134">
        <v>0.56974499999999995</v>
      </c>
      <c r="AB134">
        <v>0.59771200000000002</v>
      </c>
      <c r="AC134">
        <v>0.71265400000000001</v>
      </c>
      <c r="AD134">
        <v>0.64390000000000003</v>
      </c>
      <c r="AE134">
        <v>0.36060599999999998</v>
      </c>
      <c r="AF134">
        <v>0.18192900000000001</v>
      </c>
      <c r="AG134">
        <v>1</v>
      </c>
      <c r="AH134">
        <v>0</v>
      </c>
      <c r="AI134">
        <v>0</v>
      </c>
      <c r="AJ134">
        <v>0</v>
      </c>
      <c r="AK134">
        <v>0</v>
      </c>
    </row>
    <row r="135" spans="1:37" x14ac:dyDescent="0.3">
      <c r="A135">
        <v>961</v>
      </c>
      <c r="B135">
        <v>2025</v>
      </c>
      <c r="C135" t="s">
        <v>199</v>
      </c>
      <c r="D135">
        <v>18</v>
      </c>
      <c r="E135">
        <v>37178.019999999997</v>
      </c>
      <c r="F135">
        <v>57716.480000000003</v>
      </c>
      <c r="G135">
        <v>79.221000000000004</v>
      </c>
      <c r="H135">
        <v>122.985</v>
      </c>
      <c r="I135">
        <v>1.1000000000000001</v>
      </c>
      <c r="J135">
        <v>2.7530000000000001</v>
      </c>
      <c r="K135">
        <v>-2.4489999999999998</v>
      </c>
      <c r="L135">
        <v>45.74</v>
      </c>
      <c r="M135">
        <v>66.563000000000002</v>
      </c>
      <c r="N135">
        <v>2.8679999999999999</v>
      </c>
      <c r="O135">
        <v>-1.54</v>
      </c>
      <c r="P135">
        <v>0.90899999999999981</v>
      </c>
      <c r="Q135">
        <v>1.9873196327066021</v>
      </c>
      <c r="R135">
        <v>1.4552470485351989</v>
      </c>
      <c r="S135">
        <v>2.1707000000000001</v>
      </c>
      <c r="T135">
        <v>3.1387999999999998</v>
      </c>
      <c r="U135">
        <v>-3.202</v>
      </c>
      <c r="V135">
        <v>3.3586</v>
      </c>
      <c r="W135">
        <v>0</v>
      </c>
      <c r="X135">
        <v>44.558443968593863</v>
      </c>
      <c r="Y135">
        <v>83.483397301309225</v>
      </c>
      <c r="Z135">
        <v>1.873570750364417</v>
      </c>
      <c r="AA135">
        <v>1.079099</v>
      </c>
      <c r="AB135">
        <v>0.81863300000000006</v>
      </c>
      <c r="AC135">
        <v>1.0392939999999999</v>
      </c>
      <c r="AD135">
        <v>0.73142200000000002</v>
      </c>
      <c r="AE135">
        <v>1.038808</v>
      </c>
      <c r="AF135">
        <v>0.77664699999999998</v>
      </c>
      <c r="AG135">
        <v>1</v>
      </c>
      <c r="AH135">
        <v>0</v>
      </c>
      <c r="AI135">
        <v>0</v>
      </c>
      <c r="AJ135">
        <v>0</v>
      </c>
      <c r="AK135">
        <v>0</v>
      </c>
    </row>
    <row r="136" spans="1:37" x14ac:dyDescent="0.3">
      <c r="A136">
        <v>962</v>
      </c>
      <c r="B136">
        <v>2025</v>
      </c>
      <c r="C136" t="s">
        <v>200</v>
      </c>
      <c r="D136">
        <v>11</v>
      </c>
      <c r="E136">
        <v>10377.99</v>
      </c>
      <c r="F136">
        <v>29509.919999999998</v>
      </c>
      <c r="G136">
        <v>18.783000000000001</v>
      </c>
      <c r="H136">
        <v>53.408999999999999</v>
      </c>
      <c r="I136">
        <v>3.4</v>
      </c>
      <c r="J136">
        <v>3.5</v>
      </c>
      <c r="K136">
        <v>-5.0389999999999997</v>
      </c>
      <c r="L136">
        <v>33.902000000000001</v>
      </c>
      <c r="M136">
        <v>52.86</v>
      </c>
      <c r="N136">
        <v>-3.5630000000000002</v>
      </c>
      <c r="O136">
        <v>-3.0019999999999998</v>
      </c>
      <c r="P136">
        <v>2.0369999999999999</v>
      </c>
      <c r="Q136">
        <v>6.0084950740369303</v>
      </c>
      <c r="R136">
        <v>1.5592000471948559</v>
      </c>
      <c r="S136">
        <v>2.3411</v>
      </c>
      <c r="T136">
        <v>4.5989999999999993</v>
      </c>
      <c r="U136">
        <v>-4.7693999999999992</v>
      </c>
      <c r="V136">
        <v>-2.831</v>
      </c>
      <c r="W136">
        <v>4.94815</v>
      </c>
      <c r="X136">
        <v>2.8870039313056068</v>
      </c>
      <c r="Y136">
        <v>77.066500966583817</v>
      </c>
      <c r="Z136">
        <v>26.694283347141671</v>
      </c>
      <c r="AA136">
        <v>0.16269700000000001</v>
      </c>
      <c r="AB136">
        <v>0.17030699999999999</v>
      </c>
      <c r="AC136">
        <v>-5.1317000000000002E-2</v>
      </c>
      <c r="AD136">
        <v>0.42733900000000002</v>
      </c>
      <c r="AE136">
        <v>-0.168045</v>
      </c>
      <c r="AF136">
        <v>-0.34861500000000001</v>
      </c>
      <c r="AG136">
        <v>0</v>
      </c>
      <c r="AH136">
        <v>1</v>
      </c>
      <c r="AI136">
        <v>0</v>
      </c>
      <c r="AJ136">
        <v>0</v>
      </c>
      <c r="AK136">
        <v>0</v>
      </c>
    </row>
    <row r="137" spans="1:37" x14ac:dyDescent="0.3">
      <c r="A137">
        <v>963</v>
      </c>
      <c r="B137">
        <v>2025</v>
      </c>
      <c r="C137" t="s">
        <v>201</v>
      </c>
      <c r="D137">
        <v>8</v>
      </c>
      <c r="E137">
        <v>9647.6350000000002</v>
      </c>
      <c r="F137">
        <v>22829.68</v>
      </c>
      <c r="G137">
        <v>33.237000000000002</v>
      </c>
      <c r="H137">
        <v>78.652000000000001</v>
      </c>
      <c r="I137">
        <v>2.4</v>
      </c>
      <c r="J137">
        <v>3.1960000000000002</v>
      </c>
      <c r="K137">
        <v>-2.4740000000000002</v>
      </c>
      <c r="L137">
        <v>42.091999999999999</v>
      </c>
      <c r="M137">
        <v>30.648</v>
      </c>
      <c r="N137">
        <v>-3.8540000000000001</v>
      </c>
      <c r="O137">
        <v>-1.57</v>
      </c>
      <c r="P137">
        <v>0.90400000000000014</v>
      </c>
      <c r="Q137">
        <v>2.1476765181032031</v>
      </c>
      <c r="R137">
        <v>0.72811935759764324</v>
      </c>
      <c r="S137">
        <v>2.7669999999999999</v>
      </c>
      <c r="T137">
        <v>3.5947</v>
      </c>
      <c r="U137">
        <v>-2.1162999999999998</v>
      </c>
      <c r="V137">
        <v>-3.4689000000000001</v>
      </c>
      <c r="W137">
        <v>6.7252999999999998</v>
      </c>
      <c r="X137">
        <v>1.9275149262138109</v>
      </c>
      <c r="Y137">
        <v>53.940764793039307</v>
      </c>
      <c r="Z137">
        <v>27.98461586961319</v>
      </c>
      <c r="AA137">
        <v>-0.31946600000000003</v>
      </c>
      <c r="AB137">
        <v>-0.35337299999999999</v>
      </c>
      <c r="AC137">
        <v>-0.96781300000000003</v>
      </c>
      <c r="AD137">
        <v>-0.141291</v>
      </c>
      <c r="AE137">
        <v>-0.35182000000000002</v>
      </c>
      <c r="AF137">
        <v>-0.58155999999999997</v>
      </c>
      <c r="AG137">
        <v>0</v>
      </c>
      <c r="AH137">
        <v>1</v>
      </c>
      <c r="AI137">
        <v>0</v>
      </c>
      <c r="AJ137">
        <v>0</v>
      </c>
      <c r="AK137">
        <v>0</v>
      </c>
    </row>
    <row r="138" spans="1:37" x14ac:dyDescent="0.3">
      <c r="A138">
        <v>964</v>
      </c>
      <c r="B138">
        <v>2025</v>
      </c>
      <c r="C138" t="s">
        <v>202</v>
      </c>
      <c r="D138">
        <v>16.333333333333329</v>
      </c>
      <c r="E138">
        <v>28484.67</v>
      </c>
      <c r="F138">
        <v>55340.22</v>
      </c>
      <c r="G138">
        <v>1039.6189999999999</v>
      </c>
      <c r="H138">
        <v>2019.78</v>
      </c>
      <c r="I138">
        <v>3.2429999999999999</v>
      </c>
      <c r="J138">
        <v>2.8170000000000002</v>
      </c>
      <c r="K138">
        <v>-6.992</v>
      </c>
      <c r="L138">
        <v>43.042999999999999</v>
      </c>
      <c r="M138">
        <v>60.018000000000001</v>
      </c>
      <c r="N138">
        <v>-0.68700000000000006</v>
      </c>
      <c r="O138">
        <v>-4.5259999999999998</v>
      </c>
      <c r="P138">
        <v>2.4660000000000002</v>
      </c>
      <c r="Q138">
        <v>5.729154566363869</v>
      </c>
      <c r="R138">
        <v>1.394373068791674</v>
      </c>
      <c r="S138">
        <v>2.8027000000000002</v>
      </c>
      <c r="T138">
        <v>5.1751000000000014</v>
      </c>
      <c r="U138">
        <v>-5.5299999999999994</v>
      </c>
      <c r="V138">
        <v>-0.4269</v>
      </c>
      <c r="W138">
        <v>5.5337132499999999</v>
      </c>
      <c r="X138">
        <v>3.011419875477102</v>
      </c>
      <c r="Y138">
        <v>54.347237888793508</v>
      </c>
      <c r="Z138">
        <v>18.04704761742439</v>
      </c>
      <c r="AA138">
        <v>0.62645099999999998</v>
      </c>
      <c r="AB138">
        <v>0.559585</v>
      </c>
      <c r="AC138">
        <v>0.42143799999999998</v>
      </c>
      <c r="AD138">
        <v>0.78019400000000005</v>
      </c>
      <c r="AE138">
        <v>0.45874100000000001</v>
      </c>
      <c r="AF138">
        <v>0.56540000000000001</v>
      </c>
      <c r="AG138">
        <v>0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>
        <v>968</v>
      </c>
      <c r="B139">
        <v>2025</v>
      </c>
      <c r="C139" t="s">
        <v>203</v>
      </c>
      <c r="D139">
        <v>13</v>
      </c>
      <c r="E139">
        <v>22436.007000000001</v>
      </c>
      <c r="F139">
        <v>48847.46</v>
      </c>
      <c r="G139">
        <v>422.50799999999998</v>
      </c>
      <c r="H139">
        <v>919.88099999999997</v>
      </c>
      <c r="I139">
        <v>0.96</v>
      </c>
      <c r="J139">
        <v>8.5380000000000003</v>
      </c>
      <c r="K139">
        <v>-8.1560000000000006</v>
      </c>
      <c r="L139">
        <v>32.209000000000003</v>
      </c>
      <c r="M139">
        <v>61.207000000000001</v>
      </c>
      <c r="N139">
        <v>-7.97</v>
      </c>
      <c r="O139">
        <v>-5.3049999999999997</v>
      </c>
      <c r="P139">
        <v>2.8510000000000009</v>
      </c>
      <c r="Q139">
        <v>8.8515632276692866</v>
      </c>
      <c r="R139">
        <v>1.900307367505977</v>
      </c>
      <c r="S139">
        <v>2.0190000000000001</v>
      </c>
      <c r="T139">
        <v>6.1364000000000001</v>
      </c>
      <c r="U139">
        <v>-6.7101999999999986</v>
      </c>
      <c r="V139">
        <v>-6.8723000000000001</v>
      </c>
      <c r="W139">
        <v>5.3532690000000001</v>
      </c>
      <c r="X139">
        <v>3.10251904475354</v>
      </c>
      <c r="Y139">
        <v>41.58842033958004</v>
      </c>
      <c r="Z139">
        <v>13.40472684927024</v>
      </c>
      <c r="AA139">
        <v>0.50317999999999996</v>
      </c>
      <c r="AB139">
        <v>0.37364399999999998</v>
      </c>
      <c r="AC139">
        <v>-9.2665999999999998E-2</v>
      </c>
      <c r="AD139">
        <v>0.31890099999999999</v>
      </c>
      <c r="AE139">
        <v>0.43742599999999998</v>
      </c>
      <c r="AF139">
        <v>4.0495000000000003E-2</v>
      </c>
      <c r="AG139">
        <v>0</v>
      </c>
      <c r="AH139">
        <v>1</v>
      </c>
      <c r="AI139">
        <v>0</v>
      </c>
      <c r="AJ139">
        <v>0</v>
      </c>
      <c r="AK13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AK139"/>
  <sheetViews>
    <sheetView topLeftCell="Q1" workbookViewId="0">
      <selection activeCell="E1" sqref="E1"/>
    </sheetView>
  </sheetViews>
  <sheetFormatPr defaultRowHeight="14.4" x14ac:dyDescent="0.3"/>
  <sheetData>
    <row r="1" spans="1:37" x14ac:dyDescent="0.3">
      <c r="A1" t="s">
        <v>210</v>
      </c>
      <c r="B1" t="s">
        <v>211</v>
      </c>
      <c r="C1" t="s">
        <v>0</v>
      </c>
      <c r="D1" t="s">
        <v>212</v>
      </c>
      <c r="E1" t="s">
        <v>226</v>
      </c>
      <c r="F1" t="s">
        <v>257</v>
      </c>
      <c r="G1" t="s">
        <v>230</v>
      </c>
      <c r="H1" t="s">
        <v>258</v>
      </c>
      <c r="I1" t="s">
        <v>259</v>
      </c>
      <c r="J1" t="s">
        <v>260</v>
      </c>
      <c r="K1" t="s">
        <v>261</v>
      </c>
      <c r="L1" t="s">
        <v>245</v>
      </c>
      <c r="M1" t="s">
        <v>247</v>
      </c>
      <c r="N1" t="s">
        <v>262</v>
      </c>
      <c r="O1" t="s">
        <v>263</v>
      </c>
      <c r="P1" t="s">
        <v>264</v>
      </c>
      <c r="Q1" t="s">
        <v>246</v>
      </c>
      <c r="R1" t="s">
        <v>265</v>
      </c>
      <c r="S1" t="s">
        <v>234</v>
      </c>
      <c r="T1" t="s">
        <v>235</v>
      </c>
      <c r="U1" t="s">
        <v>244</v>
      </c>
      <c r="V1" t="s">
        <v>248</v>
      </c>
      <c r="W1" t="s">
        <v>250</v>
      </c>
      <c r="X1" t="s">
        <v>266</v>
      </c>
      <c r="Y1" t="s">
        <v>267</v>
      </c>
      <c r="Z1" t="s">
        <v>249</v>
      </c>
      <c r="AA1" t="s">
        <v>238</v>
      </c>
      <c r="AB1" t="s">
        <v>239</v>
      </c>
      <c r="AC1" t="s">
        <v>240</v>
      </c>
      <c r="AD1" t="s">
        <v>241</v>
      </c>
      <c r="AE1" t="s">
        <v>242</v>
      </c>
      <c r="AF1" t="s">
        <v>243</v>
      </c>
      <c r="AG1" t="s">
        <v>251</v>
      </c>
      <c r="AH1" t="s">
        <v>268</v>
      </c>
      <c r="AI1" t="s">
        <v>236</v>
      </c>
      <c r="AJ1" t="s">
        <v>269</v>
      </c>
      <c r="AK1" t="s">
        <v>237</v>
      </c>
    </row>
    <row r="2" spans="1:37" x14ac:dyDescent="0.3">
      <c r="A2">
        <v>111</v>
      </c>
      <c r="B2">
        <v>2025</v>
      </c>
      <c r="C2" t="s">
        <v>10</v>
      </c>
      <c r="D2">
        <v>21</v>
      </c>
      <c r="E2">
        <v>89598.86</v>
      </c>
      <c r="F2">
        <v>89598.86</v>
      </c>
      <c r="G2">
        <v>30615.74</v>
      </c>
      <c r="H2">
        <v>30615.74</v>
      </c>
      <c r="I2">
        <v>2.0169999999999999</v>
      </c>
      <c r="J2">
        <v>2.6480000000000001</v>
      </c>
      <c r="K2">
        <v>-7.3650000000000002</v>
      </c>
      <c r="L2">
        <v>30.42</v>
      </c>
      <c r="M2">
        <v>125.05</v>
      </c>
      <c r="N2">
        <v>-3.988</v>
      </c>
      <c r="O2">
        <v>-3.8</v>
      </c>
      <c r="P2">
        <v>3.5649999999999999</v>
      </c>
      <c r="Q2">
        <v>11.71926364234057</v>
      </c>
      <c r="R2">
        <v>4.1107823800131493</v>
      </c>
      <c r="S2">
        <v>2.2471000000000001</v>
      </c>
      <c r="T2">
        <v>3.3069000000000002</v>
      </c>
      <c r="U2">
        <v>-8.4116</v>
      </c>
      <c r="V2">
        <v>-3.6000999999999999</v>
      </c>
      <c r="W2">
        <v>0.13875075000000001</v>
      </c>
      <c r="X2">
        <v>767.31128009226256</v>
      </c>
      <c r="Y2">
        <v>98.670781680485149</v>
      </c>
      <c r="Z2">
        <v>0.12859289865857421</v>
      </c>
      <c r="AA2">
        <v>0.88695599999999997</v>
      </c>
      <c r="AB2">
        <v>-9.5113000000000003E-2</v>
      </c>
      <c r="AC2">
        <v>1.359979</v>
      </c>
      <c r="AD2">
        <v>1.3524890000000001</v>
      </c>
      <c r="AE2">
        <v>0.96179000000000003</v>
      </c>
      <c r="AF2">
        <v>1.0868910000000001</v>
      </c>
      <c r="AG2">
        <v>1</v>
      </c>
      <c r="AH2">
        <v>0</v>
      </c>
      <c r="AI2">
        <v>0</v>
      </c>
      <c r="AJ2">
        <v>0</v>
      </c>
      <c r="AK2">
        <v>0</v>
      </c>
    </row>
    <row r="3" spans="1:37" x14ac:dyDescent="0.3">
      <c r="A3">
        <v>112</v>
      </c>
      <c r="B3">
        <v>2025</v>
      </c>
      <c r="C3" t="s">
        <v>15</v>
      </c>
      <c r="D3">
        <v>19.333333333333329</v>
      </c>
      <c r="E3">
        <v>56660.87</v>
      </c>
      <c r="F3">
        <v>63759.05</v>
      </c>
      <c r="G3">
        <v>3958.78</v>
      </c>
      <c r="H3">
        <v>4454.7160000000003</v>
      </c>
      <c r="I3">
        <v>1.3080000000000001</v>
      </c>
      <c r="J3">
        <v>3.35</v>
      </c>
      <c r="K3">
        <v>-4.3360000000000003</v>
      </c>
      <c r="L3">
        <v>39.353999999999999</v>
      </c>
      <c r="M3">
        <v>103.361</v>
      </c>
      <c r="N3">
        <v>-3.0910000000000002</v>
      </c>
      <c r="O3">
        <v>-1.8149999999999999</v>
      </c>
      <c r="P3">
        <v>2.5209999999999999</v>
      </c>
      <c r="Q3">
        <v>6.4059561925090218</v>
      </c>
      <c r="R3">
        <v>2.626442038928698</v>
      </c>
      <c r="S3">
        <v>1.1598999999999999</v>
      </c>
      <c r="T3">
        <v>3.4348999999999998</v>
      </c>
      <c r="U3">
        <v>-5.3441999999999998</v>
      </c>
      <c r="V3">
        <v>-2.5108000000000001</v>
      </c>
      <c r="W3">
        <v>1.7205984999999999</v>
      </c>
      <c r="X3">
        <v>88.240216904688197</v>
      </c>
      <c r="Y3">
        <v>271.2769370753457</v>
      </c>
      <c r="Z3">
        <v>3.0743004334221302</v>
      </c>
      <c r="AA3">
        <v>1.3006120000000001</v>
      </c>
      <c r="AB3">
        <v>0.25770900000000002</v>
      </c>
      <c r="AC3">
        <v>1.1849099999999999</v>
      </c>
      <c r="AD3">
        <v>1.5112380000000001</v>
      </c>
      <c r="AE3">
        <v>1.269914</v>
      </c>
      <c r="AF3">
        <v>1.509755</v>
      </c>
      <c r="AG3">
        <v>1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122</v>
      </c>
      <c r="B4">
        <v>2025</v>
      </c>
      <c r="C4" t="s">
        <v>18</v>
      </c>
      <c r="D4">
        <v>20.666666666666671</v>
      </c>
      <c r="E4">
        <v>61694.03</v>
      </c>
      <c r="F4">
        <v>74852.289999999994</v>
      </c>
      <c r="G4">
        <v>566.45600000000002</v>
      </c>
      <c r="H4">
        <v>687.27099999999996</v>
      </c>
      <c r="I4">
        <v>0.27</v>
      </c>
      <c r="J4">
        <v>3.6259999999999999</v>
      </c>
      <c r="K4">
        <v>-4.2480000000000002</v>
      </c>
      <c r="L4">
        <v>51.875999999999998</v>
      </c>
      <c r="M4">
        <v>82.025000000000006</v>
      </c>
      <c r="N4">
        <v>1.7929999999999999</v>
      </c>
      <c r="O4">
        <v>-3.0089999999999999</v>
      </c>
      <c r="P4">
        <v>1.2390000000000001</v>
      </c>
      <c r="Q4">
        <v>2.3883876937312061</v>
      </c>
      <c r="R4">
        <v>1.5811743388079269</v>
      </c>
      <c r="S4">
        <v>0.67009999999999992</v>
      </c>
      <c r="T4">
        <v>3.5142000000000002</v>
      </c>
      <c r="U4">
        <v>-4.3472</v>
      </c>
      <c r="V4">
        <v>1.9193</v>
      </c>
      <c r="W4">
        <v>0.27677200000000002</v>
      </c>
      <c r="X4">
        <v>166.89762626790761</v>
      </c>
      <c r="Y4">
        <v>165.6416447007571</v>
      </c>
      <c r="Z4">
        <v>0.9924745390618418</v>
      </c>
      <c r="AA4">
        <v>1.405457</v>
      </c>
      <c r="AB4">
        <v>0.49159799999999998</v>
      </c>
      <c r="AC4">
        <v>1.5145109999999999</v>
      </c>
      <c r="AD4">
        <v>1.351062</v>
      </c>
      <c r="AE4">
        <v>1.67774</v>
      </c>
      <c r="AF4">
        <v>1.2944469999999999</v>
      </c>
      <c r="AG4">
        <v>1</v>
      </c>
      <c r="AH4">
        <v>0</v>
      </c>
      <c r="AI4">
        <v>0</v>
      </c>
      <c r="AJ4">
        <v>0</v>
      </c>
      <c r="AK4">
        <v>0</v>
      </c>
    </row>
    <row r="5" spans="1:37" x14ac:dyDescent="0.3">
      <c r="A5">
        <v>124</v>
      </c>
      <c r="B5">
        <v>2025</v>
      </c>
      <c r="C5" t="s">
        <v>20</v>
      </c>
      <c r="D5">
        <v>19</v>
      </c>
      <c r="E5">
        <v>60417.88</v>
      </c>
      <c r="F5">
        <v>75882.37</v>
      </c>
      <c r="G5">
        <v>716.98</v>
      </c>
      <c r="H5">
        <v>900.49699999999996</v>
      </c>
      <c r="I5">
        <v>1.0649999999999999</v>
      </c>
      <c r="J5">
        <v>0.28999999999999998</v>
      </c>
      <c r="K5">
        <v>-5.5279999999999996</v>
      </c>
      <c r="L5">
        <v>49.72</v>
      </c>
      <c r="M5">
        <v>107.502</v>
      </c>
      <c r="N5">
        <v>-0.90900000000000003</v>
      </c>
      <c r="O5">
        <v>-3.72</v>
      </c>
      <c r="P5">
        <v>1.8079999999999989</v>
      </c>
      <c r="Q5">
        <v>3.6363636363636349</v>
      </c>
      <c r="R5">
        <v>2.1621480289621879</v>
      </c>
      <c r="S5">
        <v>1.3661000000000001</v>
      </c>
      <c r="T5">
        <v>3.0247000000000002</v>
      </c>
      <c r="U5">
        <v>-5.5292000000000003</v>
      </c>
      <c r="V5">
        <v>-0.38679999999999998</v>
      </c>
      <c r="W5">
        <v>0.2</v>
      </c>
      <c r="X5">
        <v>272.61010053593083</v>
      </c>
      <c r="Y5">
        <v>240.5743959620888</v>
      </c>
      <c r="Z5">
        <v>0.88248526187818344</v>
      </c>
      <c r="AA5">
        <v>1.497214</v>
      </c>
      <c r="AB5">
        <v>0.12145300000000001</v>
      </c>
      <c r="AC5">
        <v>1.1947399999999999</v>
      </c>
      <c r="AD5">
        <v>1.2435480000000001</v>
      </c>
      <c r="AE5">
        <v>1.282799</v>
      </c>
      <c r="AF5">
        <v>1.4687809999999999</v>
      </c>
      <c r="AG5">
        <v>1</v>
      </c>
      <c r="AH5">
        <v>0</v>
      </c>
      <c r="AI5">
        <v>0</v>
      </c>
      <c r="AJ5">
        <v>0</v>
      </c>
      <c r="AK5">
        <v>0</v>
      </c>
    </row>
    <row r="6" spans="1:37" x14ac:dyDescent="0.3">
      <c r="A6">
        <v>128</v>
      </c>
      <c r="B6">
        <v>2025</v>
      </c>
      <c r="C6" t="s">
        <v>23</v>
      </c>
      <c r="D6">
        <v>22</v>
      </c>
      <c r="E6">
        <v>76580.72</v>
      </c>
      <c r="F6">
        <v>84762.880000000005</v>
      </c>
      <c r="G6">
        <v>459.61200000000002</v>
      </c>
      <c r="H6">
        <v>508.71800000000002</v>
      </c>
      <c r="I6">
        <v>1.84</v>
      </c>
      <c r="J6">
        <v>1.7969999999999999</v>
      </c>
      <c r="K6">
        <v>1.8</v>
      </c>
      <c r="L6">
        <v>50.768000000000001</v>
      </c>
      <c r="M6">
        <v>29.629000000000001</v>
      </c>
      <c r="N6">
        <v>12.234999999999999</v>
      </c>
      <c r="O6">
        <v>1</v>
      </c>
      <c r="P6">
        <v>-0.8</v>
      </c>
      <c r="Q6">
        <v>-1.5757957768673181</v>
      </c>
      <c r="R6">
        <v>0.58361566341002213</v>
      </c>
      <c r="S6">
        <v>1.8012999999999999</v>
      </c>
      <c r="T6">
        <v>2.5613999999999999</v>
      </c>
      <c r="U6">
        <v>1.7198</v>
      </c>
      <c r="V6">
        <v>10.792</v>
      </c>
      <c r="W6">
        <v>8.9749999999999996</v>
      </c>
      <c r="X6">
        <v>5.5956085883145059</v>
      </c>
      <c r="Y6">
        <v>139.7258223786389</v>
      </c>
      <c r="Z6">
        <v>24.970621188628691</v>
      </c>
      <c r="AA6">
        <v>1.894941</v>
      </c>
      <c r="AB6">
        <v>0.768876</v>
      </c>
      <c r="AC6">
        <v>1.9128989999999999</v>
      </c>
      <c r="AD6">
        <v>1.930706</v>
      </c>
      <c r="AE6">
        <v>2.0043150000000001</v>
      </c>
      <c r="AF6">
        <v>2.2874750000000001</v>
      </c>
      <c r="AG6">
        <v>1</v>
      </c>
      <c r="AH6">
        <v>0</v>
      </c>
      <c r="AI6">
        <v>0</v>
      </c>
      <c r="AJ6">
        <v>0</v>
      </c>
      <c r="AK6">
        <v>0</v>
      </c>
    </row>
    <row r="7" spans="1:37" x14ac:dyDescent="0.3">
      <c r="A7">
        <v>132</v>
      </c>
      <c r="B7">
        <v>2025</v>
      </c>
      <c r="C7" t="s">
        <v>26</v>
      </c>
      <c r="D7">
        <v>18.666666666666671</v>
      </c>
      <c r="E7">
        <v>48981.97</v>
      </c>
      <c r="F7">
        <v>66060.53</v>
      </c>
      <c r="G7">
        <v>3361.5569999999998</v>
      </c>
      <c r="H7">
        <v>4533.6329999999998</v>
      </c>
      <c r="I7">
        <v>0.67100000000000004</v>
      </c>
      <c r="J7">
        <v>1.4610000000000001</v>
      </c>
      <c r="K7">
        <v>-5.4409999999999998</v>
      </c>
      <c r="L7">
        <v>51.881999999999998</v>
      </c>
      <c r="M7">
        <v>116.505</v>
      </c>
      <c r="N7">
        <v>-7.5999999999999998E-2</v>
      </c>
      <c r="O7">
        <v>-3.3940000000000001</v>
      </c>
      <c r="P7">
        <v>2.0470000000000002</v>
      </c>
      <c r="Q7">
        <v>3.9454916926872521</v>
      </c>
      <c r="R7">
        <v>2.245576500520412</v>
      </c>
      <c r="S7">
        <v>0.99940000000000018</v>
      </c>
      <c r="T7">
        <v>2.5541</v>
      </c>
      <c r="U7">
        <v>-6.1504000000000003</v>
      </c>
      <c r="V7">
        <v>-0.48589999999999978</v>
      </c>
      <c r="W7">
        <v>0.48115449999999998</v>
      </c>
      <c r="X7">
        <v>262.22261528982858</v>
      </c>
      <c r="Y7">
        <v>261.74051518518621</v>
      </c>
      <c r="Z7">
        <v>0.99816148540769578</v>
      </c>
      <c r="AA7">
        <v>1.148668</v>
      </c>
      <c r="AB7">
        <v>-0.241365</v>
      </c>
      <c r="AC7">
        <v>1.200701</v>
      </c>
      <c r="AD7">
        <v>1.146153</v>
      </c>
      <c r="AE7">
        <v>0.97865999999999997</v>
      </c>
      <c r="AF7">
        <v>1.218224</v>
      </c>
      <c r="AG7">
        <v>1</v>
      </c>
      <c r="AH7">
        <v>0</v>
      </c>
      <c r="AI7">
        <v>0</v>
      </c>
      <c r="AJ7">
        <v>0</v>
      </c>
      <c r="AK7">
        <v>0</v>
      </c>
    </row>
    <row r="8" spans="1:37" x14ac:dyDescent="0.3">
      <c r="A8">
        <v>134</v>
      </c>
      <c r="B8">
        <v>2025</v>
      </c>
      <c r="C8" t="s">
        <v>28</v>
      </c>
      <c r="D8">
        <v>22</v>
      </c>
      <c r="E8">
        <v>59925.32</v>
      </c>
      <c r="F8">
        <v>73553.3</v>
      </c>
      <c r="G8">
        <v>5013.5739999999996</v>
      </c>
      <c r="H8">
        <v>6153.741</v>
      </c>
      <c r="I8">
        <v>0.191</v>
      </c>
      <c r="J8">
        <v>1.7490000000000001</v>
      </c>
      <c r="K8">
        <v>-2.5230000000000001</v>
      </c>
      <c r="L8">
        <v>47.923000000000002</v>
      </c>
      <c r="M8">
        <v>64.421000000000006</v>
      </c>
      <c r="N8">
        <v>5.4189999999999996</v>
      </c>
      <c r="O8">
        <v>-1.609</v>
      </c>
      <c r="P8">
        <v>0.91400000000000015</v>
      </c>
      <c r="Q8">
        <v>1.9072261753229141</v>
      </c>
      <c r="R8">
        <v>1.344260584687937</v>
      </c>
      <c r="S8">
        <v>0.50160000000000005</v>
      </c>
      <c r="T8">
        <v>3.1089000000000002</v>
      </c>
      <c r="U8">
        <v>-3.2631999999999999</v>
      </c>
      <c r="V8">
        <v>5.2374999999999998</v>
      </c>
      <c r="W8">
        <v>0.33855499999999988</v>
      </c>
      <c r="X8">
        <v>210.83354456733829</v>
      </c>
      <c r="Y8">
        <v>155.8374672392045</v>
      </c>
      <c r="Z8">
        <v>0.73914930168729109</v>
      </c>
      <c r="AA8">
        <v>1.598152</v>
      </c>
      <c r="AB8">
        <v>0.124267</v>
      </c>
      <c r="AC8">
        <v>1.5462990000000001</v>
      </c>
      <c r="AD8">
        <v>1.498062</v>
      </c>
      <c r="AE8">
        <v>1.6257839999999999</v>
      </c>
      <c r="AF8">
        <v>1.7734209999999999</v>
      </c>
      <c r="AG8">
        <v>1</v>
      </c>
      <c r="AH8">
        <v>0</v>
      </c>
      <c r="AI8">
        <v>0</v>
      </c>
      <c r="AJ8">
        <v>0</v>
      </c>
      <c r="AK8">
        <v>0</v>
      </c>
    </row>
    <row r="9" spans="1:37" x14ac:dyDescent="0.3">
      <c r="A9">
        <v>136</v>
      </c>
      <c r="B9">
        <v>2025</v>
      </c>
      <c r="C9" t="s">
        <v>30</v>
      </c>
      <c r="D9">
        <v>14.33333333333333</v>
      </c>
      <c r="E9">
        <v>43161.2</v>
      </c>
      <c r="F9">
        <v>63125.68</v>
      </c>
      <c r="G9">
        <v>2543.6770000000001</v>
      </c>
      <c r="H9">
        <v>3720.2710000000002</v>
      </c>
      <c r="I9">
        <v>0.54600000000000004</v>
      </c>
      <c r="J9">
        <v>1.5309999999999999</v>
      </c>
      <c r="K9">
        <v>-3.302</v>
      </c>
      <c r="L9">
        <v>47.381</v>
      </c>
      <c r="M9">
        <v>136.83699999999999</v>
      </c>
      <c r="N9">
        <v>0.97</v>
      </c>
      <c r="O9">
        <v>0.52</v>
      </c>
      <c r="P9">
        <v>3.8220000000000001</v>
      </c>
      <c r="Q9">
        <v>8.0665245562567289</v>
      </c>
      <c r="R9">
        <v>2.888014182900319</v>
      </c>
      <c r="S9">
        <v>0.96009999999999973</v>
      </c>
      <c r="T9">
        <v>2.8296000000000001</v>
      </c>
      <c r="U9">
        <v>-5.0606999999999998</v>
      </c>
      <c r="V9">
        <v>1.2157</v>
      </c>
      <c r="W9">
        <v>1.06703725</v>
      </c>
      <c r="X9">
        <v>57.735416817819051</v>
      </c>
      <c r="Y9">
        <v>125.05239868716291</v>
      </c>
      <c r="Z9">
        <v>2.1659564541078651</v>
      </c>
      <c r="AA9">
        <v>1.067348</v>
      </c>
      <c r="AB9">
        <v>0.30870399999999998</v>
      </c>
      <c r="AC9">
        <v>0.79228900000000002</v>
      </c>
      <c r="AD9">
        <v>0.64014899999999997</v>
      </c>
      <c r="AE9">
        <v>0.61920399999999998</v>
      </c>
      <c r="AF9">
        <v>0.55316200000000004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>
        <v>137</v>
      </c>
      <c r="B10">
        <v>2025</v>
      </c>
      <c r="C10" t="s">
        <v>33</v>
      </c>
      <c r="D10">
        <v>22</v>
      </c>
      <c r="E10">
        <v>146818.03</v>
      </c>
      <c r="F10">
        <v>152394.65</v>
      </c>
      <c r="G10">
        <v>100.642</v>
      </c>
      <c r="H10">
        <v>104.465</v>
      </c>
      <c r="I10">
        <v>1.177</v>
      </c>
      <c r="J10">
        <v>1.208</v>
      </c>
      <c r="K10">
        <v>-1.056</v>
      </c>
      <c r="L10">
        <v>47.542000000000002</v>
      </c>
      <c r="M10">
        <v>27.120999999999999</v>
      </c>
      <c r="N10">
        <v>12.163</v>
      </c>
      <c r="O10">
        <v>-1.1970000000000001</v>
      </c>
      <c r="P10">
        <v>-0.14099999999999999</v>
      </c>
      <c r="Q10">
        <v>-0.2965798662235497</v>
      </c>
      <c r="R10">
        <v>0.57046401076942488</v>
      </c>
      <c r="S10">
        <v>1.5626</v>
      </c>
      <c r="T10">
        <v>2.6787999999999998</v>
      </c>
      <c r="U10">
        <v>-1.01</v>
      </c>
      <c r="V10">
        <v>9.0604999999999993</v>
      </c>
      <c r="W10">
        <v>1.328488668100146</v>
      </c>
      <c r="X10">
        <v>25405.68911917098</v>
      </c>
      <c r="Y10">
        <v>5191.9166463718093</v>
      </c>
      <c r="Z10">
        <v>0.20436039432026351</v>
      </c>
      <c r="AA10">
        <v>1.6653279999999999</v>
      </c>
      <c r="AB10">
        <v>1.073053</v>
      </c>
      <c r="AC10">
        <v>2.039714</v>
      </c>
      <c r="AD10">
        <v>1.838652</v>
      </c>
      <c r="AE10">
        <v>1.761768</v>
      </c>
      <c r="AF10">
        <v>2.0157600000000002</v>
      </c>
      <c r="AG10">
        <v>1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>
        <v>138</v>
      </c>
      <c r="B11">
        <v>2025</v>
      </c>
      <c r="C11" t="s">
        <v>36</v>
      </c>
      <c r="D11">
        <v>22</v>
      </c>
      <c r="E11">
        <v>73173.72</v>
      </c>
      <c r="F11">
        <v>84035.22</v>
      </c>
      <c r="G11">
        <v>1320.635</v>
      </c>
      <c r="H11">
        <v>1516.663</v>
      </c>
      <c r="I11">
        <v>1.4330000000000001</v>
      </c>
      <c r="J11">
        <v>2.4649999999999999</v>
      </c>
      <c r="K11">
        <v>-2.1110000000000002</v>
      </c>
      <c r="L11">
        <v>43.220999999999997</v>
      </c>
      <c r="M11">
        <v>44.036999999999999</v>
      </c>
      <c r="N11">
        <v>9.5310000000000006</v>
      </c>
      <c r="O11">
        <v>-1.5129999999999999</v>
      </c>
      <c r="P11">
        <v>0.59800000000000031</v>
      </c>
      <c r="Q11">
        <v>1.38358668239976</v>
      </c>
      <c r="R11">
        <v>1.0188797112514749</v>
      </c>
      <c r="S11">
        <v>1.4593</v>
      </c>
      <c r="T11">
        <v>3.4561999999999999</v>
      </c>
      <c r="U11">
        <v>-1.9184000000000001</v>
      </c>
      <c r="V11">
        <v>8.7957000000000001</v>
      </c>
      <c r="W11">
        <v>0.12783074999999999</v>
      </c>
      <c r="X11">
        <v>686.09397979878827</v>
      </c>
      <c r="Y11">
        <v>361.09878069136761</v>
      </c>
      <c r="Z11">
        <v>0.52631095931969485</v>
      </c>
      <c r="AA11">
        <v>1.6536630000000001</v>
      </c>
      <c r="AB11">
        <v>0.42812</v>
      </c>
      <c r="AC11">
        <v>1.751997</v>
      </c>
      <c r="AD11">
        <v>1.721827</v>
      </c>
      <c r="AE11">
        <v>1.7069220000000001</v>
      </c>
      <c r="AF11">
        <v>1.910013</v>
      </c>
      <c r="AG11">
        <v>1</v>
      </c>
      <c r="AH11">
        <v>0</v>
      </c>
      <c r="AI11">
        <v>0</v>
      </c>
      <c r="AJ11">
        <v>0</v>
      </c>
      <c r="AK11">
        <v>0</v>
      </c>
    </row>
    <row r="12" spans="1:37" x14ac:dyDescent="0.3">
      <c r="A12">
        <v>142</v>
      </c>
      <c r="B12">
        <v>2025</v>
      </c>
      <c r="C12" t="s">
        <v>38</v>
      </c>
      <c r="D12">
        <v>22</v>
      </c>
      <c r="E12">
        <v>91883.69</v>
      </c>
      <c r="F12">
        <v>106694.12</v>
      </c>
      <c r="G12">
        <v>517.10199999999998</v>
      </c>
      <c r="H12">
        <v>600.452</v>
      </c>
      <c r="I12">
        <v>1.181</v>
      </c>
      <c r="J12">
        <v>2.2000000000000002</v>
      </c>
      <c r="K12">
        <v>12.736000000000001</v>
      </c>
      <c r="L12">
        <v>61.676000000000002</v>
      </c>
      <c r="M12">
        <v>42.72</v>
      </c>
      <c r="N12">
        <v>16.189</v>
      </c>
      <c r="O12">
        <v>9.6839999999999993</v>
      </c>
      <c r="P12">
        <v>-3.0520000000000009</v>
      </c>
      <c r="Q12">
        <v>-4.94844023607238</v>
      </c>
      <c r="R12">
        <v>0.69265192295220179</v>
      </c>
      <c r="S12">
        <v>1.5077</v>
      </c>
      <c r="T12">
        <v>2.9803999999999999</v>
      </c>
      <c r="U12">
        <v>11.536199999999999</v>
      </c>
      <c r="V12">
        <v>15.4701</v>
      </c>
      <c r="W12">
        <v>9.1767620000000001</v>
      </c>
      <c r="X12">
        <v>9.6654569987822043</v>
      </c>
      <c r="Y12">
        <v>146.94051678911171</v>
      </c>
      <c r="Z12">
        <v>15.202645545640051</v>
      </c>
      <c r="AA12">
        <v>1.9294249999999999</v>
      </c>
      <c r="AB12">
        <v>0.90326499999999998</v>
      </c>
      <c r="AC12">
        <v>1.8430569999999999</v>
      </c>
      <c r="AD12">
        <v>1.6704540000000001</v>
      </c>
      <c r="AE12">
        <v>1.9494549999999999</v>
      </c>
      <c r="AF12">
        <v>1.961009</v>
      </c>
      <c r="AG12">
        <v>1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>
        <v>144</v>
      </c>
      <c r="B13">
        <v>2025</v>
      </c>
      <c r="C13" t="s">
        <v>40</v>
      </c>
      <c r="D13">
        <v>22</v>
      </c>
      <c r="E13">
        <v>62036.06</v>
      </c>
      <c r="F13">
        <v>73069.509999999995</v>
      </c>
      <c r="G13">
        <v>662.31799999999998</v>
      </c>
      <c r="H13">
        <v>780.11500000000001</v>
      </c>
      <c r="I13">
        <v>0.75</v>
      </c>
      <c r="J13">
        <v>1.6</v>
      </c>
      <c r="K13">
        <v>-1.3720000000000001</v>
      </c>
      <c r="L13">
        <v>47.658999999999999</v>
      </c>
      <c r="M13">
        <v>34.162999999999997</v>
      </c>
      <c r="N13">
        <v>5.8380000000000001</v>
      </c>
      <c r="O13">
        <v>-1.3979999999999999</v>
      </c>
      <c r="P13">
        <v>-2.5999999999999801E-2</v>
      </c>
      <c r="Q13">
        <v>-5.4554229001867023E-2</v>
      </c>
      <c r="R13">
        <v>0.71682158668876805</v>
      </c>
      <c r="S13">
        <v>1.2996000000000001</v>
      </c>
      <c r="T13">
        <v>2.8746999999999998</v>
      </c>
      <c r="U13">
        <v>-0.86939999999999995</v>
      </c>
      <c r="V13">
        <v>5.4819999999999993</v>
      </c>
      <c r="W13">
        <v>2.6189789999999999</v>
      </c>
      <c r="X13">
        <v>27.076694027665461</v>
      </c>
      <c r="Y13">
        <v>181.1597868057336</v>
      </c>
      <c r="Z13">
        <v>6.6906169054698701</v>
      </c>
      <c r="AA13">
        <v>1.7277940000000001</v>
      </c>
      <c r="AB13">
        <v>0.60351200000000005</v>
      </c>
      <c r="AC13">
        <v>1.7746949999999999</v>
      </c>
      <c r="AD13">
        <v>1.671794</v>
      </c>
      <c r="AE13">
        <v>1.726701</v>
      </c>
      <c r="AF13">
        <v>1.967605</v>
      </c>
      <c r="AG13">
        <v>1</v>
      </c>
      <c r="AH13">
        <v>0</v>
      </c>
      <c r="AI13">
        <v>0</v>
      </c>
      <c r="AJ13">
        <v>0</v>
      </c>
      <c r="AK13">
        <v>0</v>
      </c>
    </row>
    <row r="14" spans="1:37" x14ac:dyDescent="0.3">
      <c r="A14">
        <v>146</v>
      </c>
      <c r="B14">
        <v>2025</v>
      </c>
      <c r="C14" t="s">
        <v>42</v>
      </c>
      <c r="D14">
        <v>22</v>
      </c>
      <c r="E14">
        <v>111046.89</v>
      </c>
      <c r="F14">
        <v>97659.28</v>
      </c>
      <c r="G14">
        <v>1002.6660000000001</v>
      </c>
      <c r="H14">
        <v>881.78700000000003</v>
      </c>
      <c r="I14">
        <v>0.94599999999999995</v>
      </c>
      <c r="J14">
        <v>0.14599999999999999</v>
      </c>
      <c r="K14">
        <v>0.26100000000000001</v>
      </c>
      <c r="L14">
        <v>32.334000000000003</v>
      </c>
      <c r="M14">
        <v>36.878</v>
      </c>
      <c r="N14">
        <v>6.9969999999999999</v>
      </c>
      <c r="O14">
        <v>0.35799999999999998</v>
      </c>
      <c r="P14">
        <v>9.6999999999999975E-2</v>
      </c>
      <c r="Q14">
        <v>0.29999381456052437</v>
      </c>
      <c r="R14">
        <v>1.140533184882786</v>
      </c>
      <c r="S14">
        <v>1.4824999999999999</v>
      </c>
      <c r="T14">
        <v>0.89680000000000004</v>
      </c>
      <c r="U14">
        <v>-7.1500000000000008E-2</v>
      </c>
      <c r="V14">
        <v>6.6905000000000001</v>
      </c>
      <c r="W14">
        <v>35.766957499999997</v>
      </c>
      <c r="X14">
        <v>2.6533395657972929</v>
      </c>
      <c r="Y14">
        <v>218.99179035402901</v>
      </c>
      <c r="Z14">
        <v>82.53440048794694</v>
      </c>
      <c r="AA14">
        <v>1.6422380000000001</v>
      </c>
      <c r="AB14">
        <v>0.98066799999999998</v>
      </c>
      <c r="AC14">
        <v>1.8402940000000001</v>
      </c>
      <c r="AD14">
        <v>1.771056</v>
      </c>
      <c r="AE14">
        <v>1.763652</v>
      </c>
      <c r="AF14">
        <v>2.0072179999999999</v>
      </c>
      <c r="AG14">
        <v>1</v>
      </c>
      <c r="AH14">
        <v>0</v>
      </c>
      <c r="AI14">
        <v>0</v>
      </c>
      <c r="AJ14">
        <v>0</v>
      </c>
      <c r="AK14">
        <v>0</v>
      </c>
    </row>
    <row r="15" spans="1:37" x14ac:dyDescent="0.3">
      <c r="A15">
        <v>156</v>
      </c>
      <c r="B15">
        <v>2025</v>
      </c>
      <c r="C15" t="s">
        <v>43</v>
      </c>
      <c r="D15">
        <v>21.666666666666671</v>
      </c>
      <c r="E15">
        <v>54934.84</v>
      </c>
      <c r="F15">
        <v>65500.25</v>
      </c>
      <c r="G15">
        <v>2283.5990000000002</v>
      </c>
      <c r="H15">
        <v>2722.7950000000001</v>
      </c>
      <c r="I15">
        <v>1.153</v>
      </c>
      <c r="J15">
        <v>1.984</v>
      </c>
      <c r="K15">
        <v>-2.2200000000000002</v>
      </c>
      <c r="L15">
        <v>42.447000000000003</v>
      </c>
      <c r="M15">
        <v>113.937</v>
      </c>
      <c r="N15">
        <v>-1.4139999999999999</v>
      </c>
      <c r="O15">
        <v>-1.861</v>
      </c>
      <c r="P15">
        <v>0.35900000000000021</v>
      </c>
      <c r="Q15">
        <v>0.84576059556623595</v>
      </c>
      <c r="R15">
        <v>2.6842179659339882</v>
      </c>
      <c r="S15">
        <v>1.6175999999999999</v>
      </c>
      <c r="T15">
        <v>2.7155999999999998</v>
      </c>
      <c r="U15">
        <v>-2.5882999999999998</v>
      </c>
      <c r="V15">
        <v>-0.92089999999999994</v>
      </c>
      <c r="W15">
        <v>1.96642925</v>
      </c>
      <c r="X15">
        <v>36.058432689188322</v>
      </c>
      <c r="Y15">
        <v>131.362837050027</v>
      </c>
      <c r="Z15">
        <v>3.6430545437826138</v>
      </c>
      <c r="AA15">
        <v>1.5036039999999999</v>
      </c>
      <c r="AB15">
        <v>0.59847700000000004</v>
      </c>
      <c r="AC15">
        <v>1.759125</v>
      </c>
      <c r="AD15">
        <v>1.362212</v>
      </c>
      <c r="AE15">
        <v>1.4608300000000001</v>
      </c>
      <c r="AF15">
        <v>1.6319090000000001</v>
      </c>
      <c r="AG15">
        <v>1</v>
      </c>
      <c r="AH15">
        <v>0</v>
      </c>
      <c r="AI15">
        <v>0</v>
      </c>
      <c r="AJ15">
        <v>0</v>
      </c>
      <c r="AK15">
        <v>0</v>
      </c>
    </row>
    <row r="16" spans="1:37" x14ac:dyDescent="0.3">
      <c r="A16">
        <v>158</v>
      </c>
      <c r="B16">
        <v>2025</v>
      </c>
      <c r="C16" t="s">
        <v>46</v>
      </c>
      <c r="D16">
        <v>17.666666666666671</v>
      </c>
      <c r="E16">
        <v>34713.25</v>
      </c>
      <c r="F16">
        <v>54815.32</v>
      </c>
      <c r="G16">
        <v>4279.83</v>
      </c>
      <c r="H16">
        <v>6758.23</v>
      </c>
      <c r="I16">
        <v>1.0760000000000001</v>
      </c>
      <c r="J16">
        <v>2.83</v>
      </c>
      <c r="K16">
        <v>-1.2589999999999999</v>
      </c>
      <c r="L16">
        <v>37.384</v>
      </c>
      <c r="M16">
        <v>229.572</v>
      </c>
      <c r="N16">
        <v>3.9009999999999998</v>
      </c>
      <c r="O16">
        <v>-0.86099999999999999</v>
      </c>
      <c r="P16">
        <v>0.39799999999999991</v>
      </c>
      <c r="Q16">
        <v>1.0646265782152791</v>
      </c>
      <c r="R16">
        <v>6.1409158998502029</v>
      </c>
      <c r="S16">
        <v>0.4255000000000001</v>
      </c>
      <c r="T16">
        <v>2.0103</v>
      </c>
      <c r="U16">
        <v>-3.5903999999999998</v>
      </c>
      <c r="V16">
        <v>3.5691999999999999</v>
      </c>
      <c r="W16">
        <v>19.243432500000001</v>
      </c>
      <c r="X16">
        <v>3.0959963018015442</v>
      </c>
      <c r="Y16">
        <v>88.040081554606957</v>
      </c>
      <c r="Z16">
        <v>28.436752816331499</v>
      </c>
      <c r="AA16">
        <v>1.1161270000000001</v>
      </c>
      <c r="AB16">
        <v>1.134323</v>
      </c>
      <c r="AC16">
        <v>2.0879099999999999</v>
      </c>
      <c r="AD16">
        <v>1.3296349999999999</v>
      </c>
      <c r="AE16">
        <v>1.5115749999999999</v>
      </c>
      <c r="AF16">
        <v>1.357013</v>
      </c>
      <c r="AG16">
        <v>1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>
        <v>172</v>
      </c>
      <c r="B17">
        <v>2025</v>
      </c>
      <c r="C17" t="s">
        <v>48</v>
      </c>
      <c r="D17">
        <v>20.666666666666671</v>
      </c>
      <c r="E17">
        <v>56083.74</v>
      </c>
      <c r="F17">
        <v>66512.47</v>
      </c>
      <c r="G17">
        <v>314.72399999999999</v>
      </c>
      <c r="H17">
        <v>373.24599999999998</v>
      </c>
      <c r="I17">
        <v>0.50700000000000001</v>
      </c>
      <c r="J17">
        <v>1.966</v>
      </c>
      <c r="K17">
        <v>-4.5590000000000002</v>
      </c>
      <c r="L17">
        <v>53.731000000000002</v>
      </c>
      <c r="M17">
        <v>86.784000000000006</v>
      </c>
      <c r="N17">
        <v>0.13200000000000001</v>
      </c>
      <c r="O17">
        <v>-4.1719999999999997</v>
      </c>
      <c r="P17">
        <v>0.38700000000000051</v>
      </c>
      <c r="Q17">
        <v>0.72025460162662236</v>
      </c>
      <c r="R17">
        <v>1.6151569857251871</v>
      </c>
      <c r="S17">
        <v>0.61119999999999997</v>
      </c>
      <c r="T17">
        <v>2.5015999999999998</v>
      </c>
      <c r="U17">
        <v>-3.4904999999999999</v>
      </c>
      <c r="V17">
        <v>-0.34</v>
      </c>
      <c r="W17">
        <v>1.4446382499999999</v>
      </c>
      <c r="X17">
        <v>65.603002945271101</v>
      </c>
      <c r="Y17">
        <v>191.12596273742221</v>
      </c>
      <c r="Z17">
        <v>2.913372165247798</v>
      </c>
      <c r="AA17">
        <v>1.853558</v>
      </c>
      <c r="AB17">
        <v>0.83257000000000003</v>
      </c>
      <c r="AC17">
        <v>1.817161</v>
      </c>
      <c r="AD17">
        <v>1.963519</v>
      </c>
      <c r="AE17">
        <v>2.021271</v>
      </c>
      <c r="AF17">
        <v>2.1920860000000002</v>
      </c>
      <c r="AG17">
        <v>1</v>
      </c>
      <c r="AH17">
        <v>0</v>
      </c>
      <c r="AI17">
        <v>0</v>
      </c>
      <c r="AJ17">
        <v>0</v>
      </c>
      <c r="AK17">
        <v>0</v>
      </c>
    </row>
    <row r="18" spans="1:37" x14ac:dyDescent="0.3">
      <c r="A18">
        <v>174</v>
      </c>
      <c r="B18">
        <v>2025</v>
      </c>
      <c r="C18" t="s">
        <v>50</v>
      </c>
      <c r="D18">
        <v>13.33333333333333</v>
      </c>
      <c r="E18">
        <v>27169.69</v>
      </c>
      <c r="F18">
        <v>44985.38</v>
      </c>
      <c r="G18">
        <v>282.01900000000001</v>
      </c>
      <c r="H18">
        <v>466.94499999999999</v>
      </c>
      <c r="I18">
        <v>1.964</v>
      </c>
      <c r="J18">
        <v>2.8180000000000001</v>
      </c>
      <c r="K18">
        <v>-8.9999999999999993E-3</v>
      </c>
      <c r="L18">
        <v>49.817999999999998</v>
      </c>
      <c r="M18">
        <v>146.691</v>
      </c>
      <c r="N18">
        <v>-5.7629999999999999</v>
      </c>
      <c r="O18">
        <v>3.1509999999999998</v>
      </c>
      <c r="P18">
        <v>3.16</v>
      </c>
      <c r="Q18">
        <v>6.3430888433899391</v>
      </c>
      <c r="R18">
        <v>2.9445381187522579</v>
      </c>
      <c r="S18">
        <v>1.8443000000000001</v>
      </c>
      <c r="T18">
        <v>2.8079999999999998</v>
      </c>
      <c r="U18">
        <v>-2.5554000000000001</v>
      </c>
      <c r="V18">
        <v>-6.1760999999999999</v>
      </c>
      <c r="W18">
        <v>0.51747999999999994</v>
      </c>
      <c r="X18">
        <v>155.44117918946901</v>
      </c>
      <c r="Y18">
        <v>237.70546929870079</v>
      </c>
      <c r="Z18">
        <v>1.5292309961761099</v>
      </c>
      <c r="AA18">
        <v>0.78185300000000002</v>
      </c>
      <c r="AB18">
        <v>0.13941999999999999</v>
      </c>
      <c r="AC18">
        <v>0.191273</v>
      </c>
      <c r="AD18">
        <v>0.479653</v>
      </c>
      <c r="AE18">
        <v>0.29830200000000001</v>
      </c>
      <c r="AF18">
        <v>0.29968099999999998</v>
      </c>
      <c r="AG18">
        <v>1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176</v>
      </c>
      <c r="B19">
        <v>2025</v>
      </c>
      <c r="C19" t="s">
        <v>52</v>
      </c>
      <c r="D19">
        <v>17.666666666666671</v>
      </c>
      <c r="E19">
        <v>98149.92</v>
      </c>
      <c r="F19">
        <v>80466.38</v>
      </c>
      <c r="G19">
        <v>38.386000000000003</v>
      </c>
      <c r="H19">
        <v>31.47</v>
      </c>
      <c r="I19">
        <v>1.427</v>
      </c>
      <c r="J19">
        <v>4.2919999999999998</v>
      </c>
      <c r="K19">
        <v>-1.1379999999999999</v>
      </c>
      <c r="L19">
        <v>43.616999999999997</v>
      </c>
      <c r="M19">
        <v>47.421999999999997</v>
      </c>
      <c r="N19">
        <v>-3.5680000000000001</v>
      </c>
      <c r="O19">
        <v>0.84499999999999997</v>
      </c>
      <c r="P19">
        <v>1.9830000000000001</v>
      </c>
      <c r="Q19">
        <v>4.5463924616548592</v>
      </c>
      <c r="R19">
        <v>1.0872366279203061</v>
      </c>
      <c r="S19">
        <v>2.2599</v>
      </c>
      <c r="T19">
        <v>4.5045999999999999</v>
      </c>
      <c r="U19">
        <v>-2.9512999999999998</v>
      </c>
      <c r="V19">
        <v>-1.0568</v>
      </c>
      <c r="W19">
        <v>6.7130000000000001</v>
      </c>
      <c r="X19">
        <v>3.4823085339168491</v>
      </c>
      <c r="Y19">
        <v>58.595613181495409</v>
      </c>
      <c r="Z19">
        <v>16.826657549378009</v>
      </c>
      <c r="AA19">
        <v>1.4247810000000001</v>
      </c>
      <c r="AB19">
        <v>1.205603</v>
      </c>
      <c r="AC19">
        <v>1.6459729999999999</v>
      </c>
      <c r="AD19">
        <v>1.330284</v>
      </c>
      <c r="AE19">
        <v>1.6278889999999999</v>
      </c>
      <c r="AF19">
        <v>1.8288180000000001</v>
      </c>
      <c r="AG19">
        <v>0</v>
      </c>
      <c r="AH19">
        <v>1</v>
      </c>
      <c r="AI19">
        <v>0</v>
      </c>
      <c r="AJ19">
        <v>0</v>
      </c>
      <c r="AK19">
        <v>0</v>
      </c>
    </row>
    <row r="20" spans="1:37" x14ac:dyDescent="0.3">
      <c r="A20">
        <v>178</v>
      </c>
      <c r="B20">
        <v>2025</v>
      </c>
      <c r="C20" t="s">
        <v>53</v>
      </c>
      <c r="D20">
        <v>19.666666666666671</v>
      </c>
      <c r="E20">
        <v>129131.78</v>
      </c>
      <c r="F20">
        <v>147878.19</v>
      </c>
      <c r="G20">
        <v>708.77099999999996</v>
      </c>
      <c r="H20">
        <v>811.66499999999996</v>
      </c>
      <c r="I20">
        <v>9.1129999999999995</v>
      </c>
      <c r="J20">
        <v>1.631</v>
      </c>
      <c r="K20">
        <v>1.0469999999999999</v>
      </c>
      <c r="L20">
        <v>22.966999999999999</v>
      </c>
      <c r="M20">
        <v>32.996000000000002</v>
      </c>
      <c r="N20">
        <v>11.114000000000001</v>
      </c>
      <c r="O20">
        <v>1.3919999999999999</v>
      </c>
      <c r="P20">
        <v>0.34499999999999997</v>
      </c>
      <c r="Q20">
        <v>1.502155266251578</v>
      </c>
      <c r="R20">
        <v>1.4366700047894809</v>
      </c>
      <c r="S20">
        <v>4.8575999999999997</v>
      </c>
      <c r="T20">
        <v>2.6116999999999999</v>
      </c>
      <c r="U20">
        <v>0.55389999999999995</v>
      </c>
      <c r="V20">
        <v>9.1896000000000022</v>
      </c>
      <c r="W20">
        <v>0.32985775000000001</v>
      </c>
      <c r="X20">
        <v>645.54298571425932</v>
      </c>
      <c r="Y20">
        <v>480.81879644342331</v>
      </c>
      <c r="Z20">
        <v>0.7448284732137902</v>
      </c>
      <c r="AA20">
        <v>1.6376660000000001</v>
      </c>
      <c r="AB20">
        <v>0.70996999999999999</v>
      </c>
      <c r="AC20">
        <v>1.611553</v>
      </c>
      <c r="AD20">
        <v>1.7944359999999999</v>
      </c>
      <c r="AE20">
        <v>1.5913219999999999</v>
      </c>
      <c r="AF20">
        <v>1.572589</v>
      </c>
      <c r="AG20">
        <v>1</v>
      </c>
      <c r="AH20">
        <v>0</v>
      </c>
      <c r="AI20">
        <v>0</v>
      </c>
      <c r="AJ20">
        <v>0</v>
      </c>
      <c r="AK20">
        <v>0</v>
      </c>
    </row>
    <row r="21" spans="1:37" x14ac:dyDescent="0.3">
      <c r="A21">
        <v>181</v>
      </c>
      <c r="B21">
        <v>2025</v>
      </c>
      <c r="C21" t="s">
        <v>54</v>
      </c>
      <c r="D21">
        <v>17</v>
      </c>
      <c r="E21">
        <v>49277.47</v>
      </c>
      <c r="F21">
        <v>78710.89</v>
      </c>
      <c r="G21">
        <v>27.745000000000001</v>
      </c>
      <c r="H21">
        <v>44.317</v>
      </c>
      <c r="I21">
        <v>3.9</v>
      </c>
      <c r="J21">
        <v>2.2370000000000001</v>
      </c>
      <c r="K21">
        <v>-3.19</v>
      </c>
      <c r="L21">
        <v>32.472999999999999</v>
      </c>
      <c r="M21">
        <v>46.886000000000003</v>
      </c>
      <c r="N21">
        <v>5.1210000000000004</v>
      </c>
      <c r="O21">
        <v>-1.9330000000000001</v>
      </c>
      <c r="P21">
        <v>1.2569999999999999</v>
      </c>
      <c r="Q21">
        <v>3.87090813906938</v>
      </c>
      <c r="R21">
        <v>1.4438456563914639</v>
      </c>
      <c r="S21">
        <v>4.9657999999999998</v>
      </c>
      <c r="T21">
        <v>2.5886</v>
      </c>
      <c r="U21">
        <v>-4.2858999999999998</v>
      </c>
      <c r="V21">
        <v>5.7079999999999993</v>
      </c>
      <c r="W21">
        <v>2.20322</v>
      </c>
      <c r="X21">
        <v>56.222295805739513</v>
      </c>
      <c r="Y21">
        <v>450.53422961259508</v>
      </c>
      <c r="Z21">
        <v>8.0134441889262344</v>
      </c>
      <c r="AA21">
        <v>0.92163600000000001</v>
      </c>
      <c r="AB21">
        <v>0.80491699999999999</v>
      </c>
      <c r="AC21">
        <v>0.62249600000000005</v>
      </c>
      <c r="AD21">
        <v>0.49163400000000002</v>
      </c>
      <c r="AE21">
        <v>0.72718000000000005</v>
      </c>
      <c r="AF21">
        <v>0.26679399999999998</v>
      </c>
      <c r="AG21">
        <v>1</v>
      </c>
      <c r="AH21">
        <v>0</v>
      </c>
      <c r="AI21">
        <v>0</v>
      </c>
      <c r="AJ21">
        <v>0</v>
      </c>
      <c r="AK21">
        <v>0</v>
      </c>
    </row>
    <row r="22" spans="1:37" x14ac:dyDescent="0.3">
      <c r="A22">
        <v>182</v>
      </c>
      <c r="B22">
        <v>2025</v>
      </c>
      <c r="C22" t="s">
        <v>56</v>
      </c>
      <c r="D22">
        <v>17</v>
      </c>
      <c r="E22">
        <v>31414.53</v>
      </c>
      <c r="F22">
        <v>49753.19</v>
      </c>
      <c r="G22">
        <v>337.93599999999998</v>
      </c>
      <c r="H22">
        <v>535.21</v>
      </c>
      <c r="I22">
        <v>1.87</v>
      </c>
      <c r="J22">
        <v>2.1480000000000001</v>
      </c>
      <c r="K22">
        <v>0.152</v>
      </c>
      <c r="L22">
        <v>43.85</v>
      </c>
      <c r="M22">
        <v>90.944999999999993</v>
      </c>
      <c r="N22">
        <v>1.8120000000000001</v>
      </c>
      <c r="O22">
        <v>2.04</v>
      </c>
      <c r="P22">
        <v>1.8879999999999999</v>
      </c>
      <c r="Q22">
        <v>4.3055872291904222</v>
      </c>
      <c r="R22">
        <v>2.07400228050171</v>
      </c>
      <c r="S22">
        <v>1.7633000000000001</v>
      </c>
      <c r="T22">
        <v>2.7932000000000001</v>
      </c>
      <c r="U22">
        <v>-0.82480000000000009</v>
      </c>
      <c r="V22">
        <v>0.73440000000000016</v>
      </c>
      <c r="W22">
        <v>0.45220100000000002</v>
      </c>
      <c r="X22">
        <v>73.780289121968934</v>
      </c>
      <c r="Y22">
        <v>148.57650430319569</v>
      </c>
      <c r="Z22">
        <v>2.0137696134204401</v>
      </c>
      <c r="AA22">
        <v>1.265139</v>
      </c>
      <c r="AB22">
        <v>0.53692700000000004</v>
      </c>
      <c r="AC22">
        <v>0.94748500000000002</v>
      </c>
      <c r="AD22">
        <v>0.74015799999999998</v>
      </c>
      <c r="AE22">
        <v>1.072155</v>
      </c>
      <c r="AF22">
        <v>0.82416800000000001</v>
      </c>
      <c r="AG22">
        <v>1</v>
      </c>
      <c r="AH22">
        <v>0</v>
      </c>
      <c r="AI22">
        <v>0</v>
      </c>
      <c r="AJ22">
        <v>0</v>
      </c>
      <c r="AK22">
        <v>0</v>
      </c>
    </row>
    <row r="23" spans="1:37" x14ac:dyDescent="0.3">
      <c r="A23">
        <v>184</v>
      </c>
      <c r="B23">
        <v>2025</v>
      </c>
      <c r="C23" t="s">
        <v>57</v>
      </c>
      <c r="D23">
        <v>17</v>
      </c>
      <c r="E23">
        <v>38039.879999999997</v>
      </c>
      <c r="F23">
        <v>56887.93</v>
      </c>
      <c r="G23">
        <v>1891.3710000000001</v>
      </c>
      <c r="H23">
        <v>2828.51</v>
      </c>
      <c r="I23">
        <v>2.9079999999999999</v>
      </c>
      <c r="J23">
        <v>2.09</v>
      </c>
      <c r="K23">
        <v>-2.7229999999999999</v>
      </c>
      <c r="L23">
        <v>42.22</v>
      </c>
      <c r="M23">
        <v>100.40300000000001</v>
      </c>
      <c r="N23">
        <v>2.653</v>
      </c>
      <c r="O23">
        <v>-0.57799999999999996</v>
      </c>
      <c r="P23">
        <v>2.145</v>
      </c>
      <c r="Q23">
        <v>5.0805305542396972</v>
      </c>
      <c r="R23">
        <v>2.378090952155377</v>
      </c>
      <c r="S23">
        <v>1.7824</v>
      </c>
      <c r="T23">
        <v>2.8052000000000001</v>
      </c>
      <c r="U23">
        <v>-3.9943</v>
      </c>
      <c r="V23">
        <v>2.0053999999999998</v>
      </c>
      <c r="W23">
        <v>1.5980700000000001</v>
      </c>
      <c r="X23">
        <v>46.199762898729901</v>
      </c>
      <c r="Y23">
        <v>167.76655776389731</v>
      </c>
      <c r="Z23">
        <v>3.6313294103184561</v>
      </c>
      <c r="AA23">
        <v>1.148442</v>
      </c>
      <c r="AB23">
        <v>-2.9919999999999999E-3</v>
      </c>
      <c r="AC23">
        <v>1.110811</v>
      </c>
      <c r="AD23">
        <v>0.620838</v>
      </c>
      <c r="AE23">
        <v>0.93177399999999999</v>
      </c>
      <c r="AF23">
        <v>0.71459399999999995</v>
      </c>
      <c r="AG23">
        <v>1</v>
      </c>
      <c r="AH23">
        <v>0</v>
      </c>
      <c r="AI23">
        <v>0</v>
      </c>
      <c r="AJ23">
        <v>0</v>
      </c>
      <c r="AK23">
        <v>0</v>
      </c>
    </row>
    <row r="24" spans="1:37" x14ac:dyDescent="0.3">
      <c r="A24">
        <v>186</v>
      </c>
      <c r="B24">
        <v>2025</v>
      </c>
      <c r="C24" t="s">
        <v>59</v>
      </c>
      <c r="D24">
        <v>10</v>
      </c>
      <c r="E24">
        <v>18197.580000000002</v>
      </c>
      <c r="F24">
        <v>43786.2</v>
      </c>
      <c r="G24">
        <v>1565.471</v>
      </c>
      <c r="H24">
        <v>3766.7660000000001</v>
      </c>
      <c r="I24">
        <v>3.4940000000000002</v>
      </c>
      <c r="J24">
        <v>31.007999999999999</v>
      </c>
      <c r="K24">
        <v>-3.6890000000000001</v>
      </c>
      <c r="L24">
        <v>28.859000000000002</v>
      </c>
      <c r="M24">
        <v>24.292000000000002</v>
      </c>
      <c r="N24">
        <v>-1.4390000000000001</v>
      </c>
      <c r="O24">
        <v>-0.873</v>
      </c>
      <c r="P24">
        <v>2.8159999999999998</v>
      </c>
      <c r="Q24">
        <v>9.7577878651373915</v>
      </c>
      <c r="R24">
        <v>0.84174780830936624</v>
      </c>
      <c r="S24">
        <v>4.5952000000000002</v>
      </c>
      <c r="T24">
        <v>32.410500000000013</v>
      </c>
      <c r="U24">
        <v>-3.7444000000000002</v>
      </c>
      <c r="V24">
        <v>-2.0825</v>
      </c>
      <c r="W24">
        <v>2.5551777499999999</v>
      </c>
      <c r="X24">
        <v>7.257818524883441</v>
      </c>
      <c r="Y24">
        <v>34.814744942081113</v>
      </c>
      <c r="Z24">
        <v>4.7968607678352262</v>
      </c>
      <c r="AA24">
        <v>-1.09467</v>
      </c>
      <c r="AB24">
        <v>-0.97071099999999999</v>
      </c>
      <c r="AC24">
        <v>-7.0715E-2</v>
      </c>
      <c r="AD24">
        <v>-0.21123800000000001</v>
      </c>
      <c r="AE24">
        <v>-0.84341500000000003</v>
      </c>
      <c r="AF24">
        <v>-0.56321500000000002</v>
      </c>
      <c r="AG24">
        <v>0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>
        <v>193</v>
      </c>
      <c r="B25">
        <v>2025</v>
      </c>
      <c r="C25" t="s">
        <v>63</v>
      </c>
      <c r="D25">
        <v>22</v>
      </c>
      <c r="E25">
        <v>65946.02</v>
      </c>
      <c r="F25">
        <v>71430.89</v>
      </c>
      <c r="G25">
        <v>1829.508</v>
      </c>
      <c r="H25">
        <v>1981.672</v>
      </c>
      <c r="I25">
        <v>1.8089999999999999</v>
      </c>
      <c r="J25">
        <v>3.2149999999999999</v>
      </c>
      <c r="K25">
        <v>-2.73</v>
      </c>
      <c r="L25">
        <v>36.593000000000004</v>
      </c>
      <c r="M25">
        <v>51.036999999999999</v>
      </c>
      <c r="N25">
        <v>-1.849</v>
      </c>
      <c r="O25">
        <v>-1.7130000000000001</v>
      </c>
      <c r="P25">
        <v>1.0169999999999999</v>
      </c>
      <c r="Q25">
        <v>2.7792200694121818</v>
      </c>
      <c r="R25">
        <v>1.394720301697046</v>
      </c>
      <c r="S25">
        <v>2.1269999999999998</v>
      </c>
      <c r="T25">
        <v>3.2541000000000002</v>
      </c>
      <c r="U25">
        <v>-3.1187999999999998</v>
      </c>
      <c r="V25">
        <v>-0.69380000000000008</v>
      </c>
      <c r="W25">
        <v>1.657259</v>
      </c>
      <c r="X25">
        <v>36.423728824649878</v>
      </c>
      <c r="Y25">
        <v>90.368321945690298</v>
      </c>
      <c r="Z25">
        <v>2.4810288474510398</v>
      </c>
      <c r="AA25">
        <v>1.51233</v>
      </c>
      <c r="AB25">
        <v>0.793269</v>
      </c>
      <c r="AC25">
        <v>1.809045</v>
      </c>
      <c r="AD25">
        <v>1.722321</v>
      </c>
      <c r="AE25">
        <v>1.4704010000000001</v>
      </c>
      <c r="AF25">
        <v>1.85202</v>
      </c>
      <c r="AG25">
        <v>1</v>
      </c>
      <c r="AH25">
        <v>0</v>
      </c>
      <c r="AI25">
        <v>0</v>
      </c>
      <c r="AJ25">
        <v>0</v>
      </c>
      <c r="AK25">
        <v>0</v>
      </c>
    </row>
    <row r="26" spans="1:37" x14ac:dyDescent="0.3">
      <c r="A26">
        <v>196</v>
      </c>
      <c r="B26">
        <v>2025</v>
      </c>
      <c r="C26" t="s">
        <v>65</v>
      </c>
      <c r="D26">
        <v>21.333333333333329</v>
      </c>
      <c r="E26">
        <v>49383.39</v>
      </c>
      <c r="F26">
        <v>55781.2</v>
      </c>
      <c r="G26">
        <v>262.90899999999999</v>
      </c>
      <c r="H26">
        <v>296.97000000000003</v>
      </c>
      <c r="I26">
        <v>0.83499999999999996</v>
      </c>
      <c r="J26">
        <v>2.7989999999999999</v>
      </c>
      <c r="K26">
        <v>-4.0620000000000003</v>
      </c>
      <c r="L26">
        <v>37.392000000000003</v>
      </c>
      <c r="M26">
        <v>53.234999999999999</v>
      </c>
      <c r="N26">
        <v>-4.7060000000000004</v>
      </c>
      <c r="O26">
        <v>-2.4910000000000001</v>
      </c>
      <c r="P26">
        <v>1.571</v>
      </c>
      <c r="Q26">
        <v>4.2014334617030382</v>
      </c>
      <c r="R26">
        <v>1.423700256739409</v>
      </c>
      <c r="S26">
        <v>1.8424</v>
      </c>
      <c r="T26">
        <v>3.2242000000000011</v>
      </c>
      <c r="U26">
        <v>-3.1249000000000011</v>
      </c>
      <c r="V26">
        <v>-5.0168000000000008</v>
      </c>
      <c r="W26">
        <v>6.6272525</v>
      </c>
      <c r="X26">
        <v>9.631128950050968</v>
      </c>
      <c r="Y26">
        <v>87.69101402164911</v>
      </c>
      <c r="Z26">
        <v>9.1049569034360225</v>
      </c>
      <c r="AA26">
        <v>1.6892339999999999</v>
      </c>
      <c r="AB26">
        <v>1.1506559999999999</v>
      </c>
      <c r="AC26">
        <v>1.8491850000000001</v>
      </c>
      <c r="AD26">
        <v>1.8444940000000001</v>
      </c>
      <c r="AE26">
        <v>1.667454</v>
      </c>
      <c r="AF26">
        <v>1.9285410000000001</v>
      </c>
      <c r="AG26">
        <v>1</v>
      </c>
      <c r="AH26">
        <v>0</v>
      </c>
      <c r="AI26">
        <v>0</v>
      </c>
      <c r="AJ26">
        <v>0</v>
      </c>
      <c r="AK26">
        <v>0</v>
      </c>
    </row>
    <row r="27" spans="1:37" x14ac:dyDescent="0.3">
      <c r="A27">
        <v>199</v>
      </c>
      <c r="B27">
        <v>2025</v>
      </c>
      <c r="C27" t="s">
        <v>67</v>
      </c>
      <c r="D27">
        <v>10.33333333333333</v>
      </c>
      <c r="E27">
        <v>6666.71</v>
      </c>
      <c r="F27">
        <v>16049.82</v>
      </c>
      <c r="G27">
        <v>426.38299999999998</v>
      </c>
      <c r="H27">
        <v>1026.5</v>
      </c>
      <c r="I27">
        <v>1.149</v>
      </c>
      <c r="J27">
        <v>3.97</v>
      </c>
      <c r="K27">
        <v>-5.9859999999999998</v>
      </c>
      <c r="L27">
        <v>27.645</v>
      </c>
      <c r="M27">
        <v>77.340999999999994</v>
      </c>
      <c r="N27">
        <v>-0.89800000000000002</v>
      </c>
      <c r="O27">
        <v>-0.70899999999999996</v>
      </c>
      <c r="P27">
        <v>5.2770000000000001</v>
      </c>
      <c r="Q27">
        <v>19.088442756375471</v>
      </c>
      <c r="R27">
        <v>2.7976487610779519</v>
      </c>
      <c r="S27">
        <v>0.94379999999999986</v>
      </c>
      <c r="T27">
        <v>4.0897999999999994</v>
      </c>
      <c r="U27">
        <v>-5.7486999999999986</v>
      </c>
      <c r="V27">
        <v>-0.37449999999999989</v>
      </c>
      <c r="W27">
        <v>5.5260552499999998</v>
      </c>
      <c r="X27">
        <v>3.811846624363016</v>
      </c>
      <c r="Y27">
        <v>42.869004624477697</v>
      </c>
      <c r="Z27">
        <v>11.24625643395119</v>
      </c>
      <c r="AA27">
        <v>0.60728000000000004</v>
      </c>
      <c r="AB27">
        <v>-0.61713499999999999</v>
      </c>
      <c r="AC27">
        <v>-0.225914</v>
      </c>
      <c r="AD27">
        <v>-6.0116000000000003E-2</v>
      </c>
      <c r="AE27">
        <v>1.7703E-2</v>
      </c>
      <c r="AF27">
        <v>-0.19179299999999999</v>
      </c>
      <c r="AG27">
        <v>0</v>
      </c>
      <c r="AH27">
        <v>1</v>
      </c>
      <c r="AI27">
        <v>0</v>
      </c>
      <c r="AJ27">
        <v>0</v>
      </c>
      <c r="AK27">
        <v>0</v>
      </c>
    </row>
    <row r="28" spans="1:37" x14ac:dyDescent="0.3">
      <c r="A28">
        <v>213</v>
      </c>
      <c r="B28">
        <v>2025</v>
      </c>
      <c r="C28" t="s">
        <v>69</v>
      </c>
      <c r="D28">
        <v>5.6666666666666679</v>
      </c>
      <c r="E28">
        <v>14358.85</v>
      </c>
      <c r="F28">
        <v>31311.01</v>
      </c>
      <c r="G28">
        <v>683.37099999999998</v>
      </c>
      <c r="H28">
        <v>1490.164</v>
      </c>
      <c r="I28">
        <v>4.4649999999999999</v>
      </c>
      <c r="J28">
        <v>28</v>
      </c>
      <c r="K28">
        <v>0.38800000000000001</v>
      </c>
      <c r="L28">
        <v>32.180999999999997</v>
      </c>
      <c r="M28">
        <v>78.840999999999994</v>
      </c>
      <c r="N28">
        <v>-1.1830000000000001</v>
      </c>
      <c r="O28">
        <v>1.77</v>
      </c>
      <c r="P28">
        <v>1.3819999999999999</v>
      </c>
      <c r="Q28">
        <v>4.294459463658681</v>
      </c>
      <c r="R28">
        <v>2.449923868120941</v>
      </c>
      <c r="S28">
        <v>2.3256000000000001</v>
      </c>
      <c r="T28">
        <v>57.15740000000001</v>
      </c>
      <c r="U28">
        <v>-1.8345</v>
      </c>
      <c r="V28">
        <v>-0.27339999999999998</v>
      </c>
      <c r="W28">
        <v>5.9482815000000002</v>
      </c>
      <c r="X28">
        <v>7.0746647999043857</v>
      </c>
      <c r="Y28">
        <v>43.29530225586177</v>
      </c>
      <c r="Z28">
        <v>6.1197672936316234</v>
      </c>
      <c r="AA28">
        <v>0.38555200000000001</v>
      </c>
      <c r="AB28">
        <v>-0.16974600000000001</v>
      </c>
      <c r="AC28">
        <v>0.18374799999999999</v>
      </c>
      <c r="AD28">
        <v>-0.23502600000000001</v>
      </c>
      <c r="AE28">
        <v>-0.25137999999999999</v>
      </c>
      <c r="AF28">
        <v>-0.325708</v>
      </c>
      <c r="AG28">
        <v>0</v>
      </c>
      <c r="AH28">
        <v>1</v>
      </c>
      <c r="AI28">
        <v>1</v>
      </c>
      <c r="AJ28">
        <v>1</v>
      </c>
      <c r="AK28">
        <v>0.44664771992900421</v>
      </c>
    </row>
    <row r="29" spans="1:37" x14ac:dyDescent="0.3">
      <c r="A29">
        <v>218</v>
      </c>
      <c r="B29">
        <v>2025</v>
      </c>
      <c r="C29" t="s">
        <v>73</v>
      </c>
      <c r="D29">
        <v>3.6666666666666679</v>
      </c>
      <c r="E29">
        <v>4585.1840000000002</v>
      </c>
      <c r="F29">
        <v>11439.02</v>
      </c>
      <c r="G29">
        <v>57.085999999999999</v>
      </c>
      <c r="H29">
        <v>142.416</v>
      </c>
      <c r="I29">
        <v>0.6</v>
      </c>
      <c r="J29">
        <v>26.172000000000001</v>
      </c>
      <c r="K29">
        <v>-13.117000000000001</v>
      </c>
      <c r="L29">
        <v>25.073</v>
      </c>
      <c r="M29">
        <v>93.706000000000003</v>
      </c>
      <c r="N29">
        <v>-3.3530000000000002</v>
      </c>
      <c r="O29">
        <v>-9.9339999999999993</v>
      </c>
      <c r="P29">
        <v>3.183000000000002</v>
      </c>
      <c r="Q29">
        <v>12.694930802058</v>
      </c>
      <c r="R29">
        <v>3.737327005144977</v>
      </c>
      <c r="S29">
        <v>0.89857142857142858</v>
      </c>
      <c r="T29">
        <v>8.5318571428571435</v>
      </c>
      <c r="U29">
        <v>-11.042</v>
      </c>
      <c r="V29">
        <v>-0.77514285714285713</v>
      </c>
      <c r="W29">
        <v>0.73787199999999997</v>
      </c>
      <c r="X29">
        <v>39.874140969162987</v>
      </c>
      <c r="Y29">
        <v>30.61794503171247</v>
      </c>
      <c r="Z29">
        <v>0.76786469344608876</v>
      </c>
      <c r="AA29">
        <v>-0.43976399999999999</v>
      </c>
      <c r="AB29">
        <v>-0.54603599999999997</v>
      </c>
      <c r="AC29">
        <v>-0.61041699999999999</v>
      </c>
      <c r="AD29">
        <v>-1.2544299999999999</v>
      </c>
      <c r="AE29">
        <v>-1.267722</v>
      </c>
      <c r="AF29">
        <v>-0.997583</v>
      </c>
      <c r="AG29">
        <v>0</v>
      </c>
      <c r="AH29">
        <v>1</v>
      </c>
      <c r="AI29">
        <v>0</v>
      </c>
      <c r="AJ29">
        <v>0</v>
      </c>
      <c r="AK29">
        <v>0</v>
      </c>
    </row>
    <row r="30" spans="1:37" x14ac:dyDescent="0.3">
      <c r="A30">
        <v>223</v>
      </c>
      <c r="B30">
        <v>2025</v>
      </c>
      <c r="C30" t="s">
        <v>75</v>
      </c>
      <c r="D30">
        <v>11.33333333333333</v>
      </c>
      <c r="E30">
        <v>10577.86</v>
      </c>
      <c r="F30">
        <v>23309.63</v>
      </c>
      <c r="G30">
        <v>2256.91</v>
      </c>
      <c r="H30">
        <v>4973.3850000000002</v>
      </c>
      <c r="I30">
        <v>2.4</v>
      </c>
      <c r="J30">
        <v>4.9119999999999999</v>
      </c>
      <c r="K30">
        <v>-8.4039999999999999</v>
      </c>
      <c r="L30">
        <v>39.585000000000001</v>
      </c>
      <c r="M30">
        <v>91.424000000000007</v>
      </c>
      <c r="N30">
        <v>-2.5070000000000001</v>
      </c>
      <c r="O30">
        <v>-0.61</v>
      </c>
      <c r="P30">
        <v>7.7939999999999996</v>
      </c>
      <c r="Q30">
        <v>19.689276241000378</v>
      </c>
      <c r="R30">
        <v>2.3095617026651509</v>
      </c>
      <c r="S30">
        <v>2.2458</v>
      </c>
      <c r="T30">
        <v>4.726</v>
      </c>
      <c r="U30">
        <v>-6.4013999999999998</v>
      </c>
      <c r="V30">
        <v>-2.1118999999999999</v>
      </c>
      <c r="W30">
        <v>12.561820000000001</v>
      </c>
      <c r="X30">
        <v>2.012868888585897</v>
      </c>
      <c r="Y30">
        <v>27.82502060891041</v>
      </c>
      <c r="Z30">
        <v>13.82356335611027</v>
      </c>
      <c r="AA30">
        <v>0.31647700000000001</v>
      </c>
      <c r="AB30">
        <v>-0.52056999999999998</v>
      </c>
      <c r="AC30">
        <v>-0.22400300000000001</v>
      </c>
      <c r="AD30">
        <v>-0.294539</v>
      </c>
      <c r="AE30">
        <v>-0.446218</v>
      </c>
      <c r="AF30">
        <v>-0.40888999999999998</v>
      </c>
      <c r="AG30">
        <v>0</v>
      </c>
      <c r="AH30">
        <v>1</v>
      </c>
      <c r="AI30">
        <v>0</v>
      </c>
      <c r="AJ30">
        <v>0</v>
      </c>
      <c r="AK30">
        <v>0</v>
      </c>
    </row>
    <row r="31" spans="1:37" x14ac:dyDescent="0.3">
      <c r="A31">
        <v>228</v>
      </c>
      <c r="B31">
        <v>2025</v>
      </c>
      <c r="C31" t="s">
        <v>76</v>
      </c>
      <c r="D31">
        <v>16.666666666666671</v>
      </c>
      <c r="E31">
        <v>17180.939999999999</v>
      </c>
      <c r="F31">
        <v>35286.47</v>
      </c>
      <c r="G31">
        <v>347.17399999999998</v>
      </c>
      <c r="H31">
        <v>713.03200000000004</v>
      </c>
      <c r="I31">
        <v>2.5150000000000001</v>
      </c>
      <c r="J31">
        <v>3.7</v>
      </c>
      <c r="K31">
        <v>-2.0550000000000002</v>
      </c>
      <c r="L31">
        <v>24.722999999999999</v>
      </c>
      <c r="M31">
        <v>42.737000000000002</v>
      </c>
      <c r="N31">
        <v>-2.516</v>
      </c>
      <c r="O31">
        <v>-1.2869999999999999</v>
      </c>
      <c r="P31">
        <v>0.76800000000000024</v>
      </c>
      <c r="Q31">
        <v>3.1064191238927328</v>
      </c>
      <c r="R31">
        <v>1.728633256481819</v>
      </c>
      <c r="S31">
        <v>2.192699999999999</v>
      </c>
      <c r="T31">
        <v>4.7098000000000004</v>
      </c>
      <c r="U31">
        <v>-2.4748000000000001</v>
      </c>
      <c r="V31">
        <v>-3.482499999999999</v>
      </c>
      <c r="W31">
        <v>6.7141702499999996</v>
      </c>
      <c r="X31">
        <v>5.7732951891639406</v>
      </c>
      <c r="Y31">
        <v>78.647348994536316</v>
      </c>
      <c r="Z31">
        <v>13.62261003770459</v>
      </c>
      <c r="AA31">
        <v>0.99418799999999996</v>
      </c>
      <c r="AB31">
        <v>0.12135700000000001</v>
      </c>
      <c r="AC31">
        <v>0.96446100000000001</v>
      </c>
      <c r="AD31">
        <v>0.78070600000000001</v>
      </c>
      <c r="AE31">
        <v>0.69105499999999997</v>
      </c>
      <c r="AF31">
        <v>1.1057969999999999</v>
      </c>
      <c r="AG31">
        <v>0</v>
      </c>
      <c r="AH31">
        <v>1</v>
      </c>
      <c r="AI31">
        <v>0</v>
      </c>
      <c r="AJ31">
        <v>0</v>
      </c>
      <c r="AK31">
        <v>0</v>
      </c>
    </row>
    <row r="32" spans="1:37" x14ac:dyDescent="0.3">
      <c r="A32">
        <v>233</v>
      </c>
      <c r="B32">
        <v>2025</v>
      </c>
      <c r="C32" t="s">
        <v>78</v>
      </c>
      <c r="D32">
        <v>12</v>
      </c>
      <c r="E32">
        <v>8249.2199999999993</v>
      </c>
      <c r="F32">
        <v>22396</v>
      </c>
      <c r="G32">
        <v>438.12099999999998</v>
      </c>
      <c r="H32">
        <v>1189.4649999999999</v>
      </c>
      <c r="I32">
        <v>2.5230000000000001</v>
      </c>
      <c r="J32">
        <v>4.4349999999999996</v>
      </c>
      <c r="K32">
        <v>-6.907</v>
      </c>
      <c r="L32">
        <v>27.547999999999998</v>
      </c>
      <c r="M32">
        <v>58.866999999999997</v>
      </c>
      <c r="N32">
        <v>-2.2970000000000002</v>
      </c>
      <c r="O32">
        <v>-2.5680000000000001</v>
      </c>
      <c r="P32">
        <v>4.3390000000000004</v>
      </c>
      <c r="Q32">
        <v>15.75068970524176</v>
      </c>
      <c r="R32">
        <v>2.136888340351387</v>
      </c>
      <c r="S32">
        <v>2.6107999999999998</v>
      </c>
      <c r="T32">
        <v>5.1684999999999999</v>
      </c>
      <c r="U32">
        <v>-5.1627999999999989</v>
      </c>
      <c r="V32">
        <v>-3.3165</v>
      </c>
      <c r="W32">
        <v>11.571999999999999</v>
      </c>
      <c r="X32">
        <v>4.217191645447909</v>
      </c>
      <c r="Y32">
        <v>50.898234348539937</v>
      </c>
      <c r="Z32">
        <v>12.069224884166729</v>
      </c>
      <c r="AA32">
        <v>3.4563999999999998E-2</v>
      </c>
      <c r="AB32">
        <v>-0.97087299999999999</v>
      </c>
      <c r="AC32">
        <v>-0.111099</v>
      </c>
      <c r="AD32">
        <v>1.3391999999999999E-2</v>
      </c>
      <c r="AE32">
        <v>-0.55974299999999999</v>
      </c>
      <c r="AF32">
        <v>-0.29371999999999998</v>
      </c>
      <c r="AG32">
        <v>0</v>
      </c>
      <c r="AH32">
        <v>1</v>
      </c>
      <c r="AI32">
        <v>0</v>
      </c>
      <c r="AJ32">
        <v>0</v>
      </c>
      <c r="AK32">
        <v>0</v>
      </c>
    </row>
    <row r="33" spans="1:37" x14ac:dyDescent="0.3">
      <c r="A33">
        <v>238</v>
      </c>
      <c r="B33">
        <v>2025</v>
      </c>
      <c r="C33" t="s">
        <v>80</v>
      </c>
      <c r="D33">
        <v>10.66666666666667</v>
      </c>
      <c r="E33">
        <v>19104.05</v>
      </c>
      <c r="F33">
        <v>31485.040000000001</v>
      </c>
      <c r="G33">
        <v>102.637</v>
      </c>
      <c r="H33">
        <v>169.154</v>
      </c>
      <c r="I33">
        <v>3.593</v>
      </c>
      <c r="J33">
        <v>0.14699999999999999</v>
      </c>
      <c r="K33">
        <v>-3.198</v>
      </c>
      <c r="L33">
        <v>14.736000000000001</v>
      </c>
      <c r="M33">
        <v>59.655000000000001</v>
      </c>
      <c r="N33">
        <v>-1.891</v>
      </c>
      <c r="O33">
        <v>1.286</v>
      </c>
      <c r="P33">
        <v>4.484</v>
      </c>
      <c r="Q33">
        <v>30.428881650380021</v>
      </c>
      <c r="R33">
        <v>4.0482491856677516</v>
      </c>
      <c r="S33">
        <v>3.5186999999999999</v>
      </c>
      <c r="T33">
        <v>2.3104</v>
      </c>
      <c r="U33">
        <v>-3.7057000000000002</v>
      </c>
      <c r="V33">
        <v>-1.9711000000000001</v>
      </c>
      <c r="W33">
        <v>7.37</v>
      </c>
      <c r="X33">
        <v>2.9412154103852601</v>
      </c>
      <c r="Y33">
        <v>43.100707910730591</v>
      </c>
      <c r="Z33">
        <v>14.65404667694332</v>
      </c>
      <c r="AA33">
        <v>1.011474</v>
      </c>
      <c r="AB33">
        <v>1.175654</v>
      </c>
      <c r="AC33">
        <v>0.28689799999999999</v>
      </c>
      <c r="AD33">
        <v>0.58182800000000001</v>
      </c>
      <c r="AE33">
        <v>0.61674099999999998</v>
      </c>
      <c r="AF33">
        <v>0.67923699999999998</v>
      </c>
      <c r="AG33">
        <v>0</v>
      </c>
      <c r="AH33">
        <v>1</v>
      </c>
      <c r="AI33">
        <v>0</v>
      </c>
      <c r="AJ33">
        <v>0</v>
      </c>
      <c r="AK33">
        <v>0</v>
      </c>
    </row>
    <row r="34" spans="1:37" x14ac:dyDescent="0.3">
      <c r="A34">
        <v>243</v>
      </c>
      <c r="B34">
        <v>2025</v>
      </c>
      <c r="C34" t="s">
        <v>81</v>
      </c>
      <c r="D34">
        <v>10.66666666666667</v>
      </c>
      <c r="E34">
        <v>11919.42</v>
      </c>
      <c r="F34">
        <v>30537.61</v>
      </c>
      <c r="G34">
        <v>129.74799999999999</v>
      </c>
      <c r="H34">
        <v>332.41500000000002</v>
      </c>
      <c r="I34">
        <v>2.9620000000000002</v>
      </c>
      <c r="J34">
        <v>3.7440000000000002</v>
      </c>
      <c r="K34">
        <v>-3.4140000000000001</v>
      </c>
      <c r="L34">
        <v>15.997</v>
      </c>
      <c r="M34">
        <v>59.956000000000003</v>
      </c>
      <c r="N34">
        <v>-2.4929999999999999</v>
      </c>
      <c r="O34">
        <v>0.224</v>
      </c>
      <c r="P34">
        <v>3.6379999999999999</v>
      </c>
      <c r="Q34">
        <v>22.74176408076514</v>
      </c>
      <c r="R34">
        <v>3.7479527411389642</v>
      </c>
      <c r="S34">
        <v>4.0871000000000013</v>
      </c>
      <c r="T34">
        <v>4.8450000000000006</v>
      </c>
      <c r="U34">
        <v>-3.5015000000000009</v>
      </c>
      <c r="V34">
        <v>-2.9986000000000002</v>
      </c>
      <c r="W34">
        <v>5.8910530000000003</v>
      </c>
      <c r="X34">
        <v>3.5129685983413181</v>
      </c>
      <c r="Y34">
        <v>39.143599414979597</v>
      </c>
      <c r="Z34">
        <v>11.14259872219229</v>
      </c>
      <c r="AA34">
        <v>0.20115</v>
      </c>
      <c r="AB34">
        <v>0.58933999999999997</v>
      </c>
      <c r="AC34">
        <v>7.4648999999999993E-2</v>
      </c>
      <c r="AD34">
        <v>0.20732800000000001</v>
      </c>
      <c r="AE34">
        <v>-0.18226300000000001</v>
      </c>
      <c r="AF34">
        <v>-0.26549200000000001</v>
      </c>
      <c r="AG34">
        <v>0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>
        <v>248</v>
      </c>
      <c r="B35">
        <v>2025</v>
      </c>
      <c r="C35" t="s">
        <v>83</v>
      </c>
      <c r="D35">
        <v>5.6666666666666679</v>
      </c>
      <c r="E35">
        <v>7210.11</v>
      </c>
      <c r="F35">
        <v>16805.02</v>
      </c>
      <c r="G35">
        <v>130.529</v>
      </c>
      <c r="H35">
        <v>304.23200000000003</v>
      </c>
      <c r="I35">
        <v>3.24</v>
      </c>
      <c r="J35">
        <v>3.5739999999999998</v>
      </c>
      <c r="K35">
        <v>-1.276</v>
      </c>
      <c r="L35">
        <v>36.795999999999999</v>
      </c>
      <c r="M35">
        <v>53.753999999999998</v>
      </c>
      <c r="N35">
        <v>4.9080000000000004</v>
      </c>
      <c r="O35">
        <v>-0.17499999999999999</v>
      </c>
      <c r="P35">
        <v>1.101</v>
      </c>
      <c r="Q35">
        <v>2.9921730622893792</v>
      </c>
      <c r="R35">
        <v>1.4608653114468959</v>
      </c>
      <c r="S35">
        <v>1.9072</v>
      </c>
      <c r="T35">
        <v>1.6482000000000001</v>
      </c>
      <c r="U35">
        <v>-6.3799999999999857E-2</v>
      </c>
      <c r="V35">
        <v>3.1652999999999998</v>
      </c>
      <c r="W35">
        <v>2.1628780000000001</v>
      </c>
      <c r="X35">
        <v>10.752153987167739</v>
      </c>
      <c r="Y35">
        <v>46.575135787567888</v>
      </c>
      <c r="Z35">
        <v>4.3317028237461486</v>
      </c>
      <c r="AA35">
        <v>-0.105141</v>
      </c>
      <c r="AB35">
        <v>-0.72109100000000004</v>
      </c>
      <c r="AC35">
        <v>-0.219613</v>
      </c>
      <c r="AD35">
        <v>-0.64643099999999998</v>
      </c>
      <c r="AE35">
        <v>-0.96503700000000003</v>
      </c>
      <c r="AF35">
        <v>-0.77568000000000004</v>
      </c>
      <c r="AG35">
        <v>0</v>
      </c>
      <c r="AH35">
        <v>1</v>
      </c>
      <c r="AI35">
        <v>1</v>
      </c>
      <c r="AJ35">
        <v>1</v>
      </c>
      <c r="AK35">
        <v>0.44664771992900421</v>
      </c>
    </row>
    <row r="36" spans="1:37" x14ac:dyDescent="0.3">
      <c r="A36">
        <v>253</v>
      </c>
      <c r="B36">
        <v>2025</v>
      </c>
      <c r="C36" t="s">
        <v>84</v>
      </c>
      <c r="D36">
        <v>7</v>
      </c>
      <c r="E36">
        <v>5743.6859999999997</v>
      </c>
      <c r="F36">
        <v>13876.77</v>
      </c>
      <c r="G36">
        <v>36.587000000000003</v>
      </c>
      <c r="H36">
        <v>88.394000000000005</v>
      </c>
      <c r="I36">
        <v>2.5</v>
      </c>
      <c r="J36">
        <v>0.7</v>
      </c>
      <c r="K36">
        <v>-2.7559999999999998</v>
      </c>
      <c r="L36">
        <v>27.742999999999999</v>
      </c>
      <c r="M36">
        <v>87.622</v>
      </c>
      <c r="N36">
        <v>-0.79700000000000004</v>
      </c>
      <c r="O36">
        <v>2.0499999999999998</v>
      </c>
      <c r="P36">
        <v>4.8059999999999992</v>
      </c>
      <c r="Q36">
        <v>17.32328875752442</v>
      </c>
      <c r="R36">
        <v>3.1583462495043801</v>
      </c>
      <c r="S36">
        <v>2.7010000000000001</v>
      </c>
      <c r="T36">
        <v>2.2164999999999999</v>
      </c>
      <c r="U36">
        <v>-3.609</v>
      </c>
      <c r="V36">
        <v>-1.9609000000000001</v>
      </c>
      <c r="W36">
        <v>3.038119</v>
      </c>
      <c r="X36">
        <v>5.8484637002341922</v>
      </c>
      <c r="Y36">
        <v>67.829915528152753</v>
      </c>
      <c r="Z36">
        <v>11.59790314257001</v>
      </c>
      <c r="AA36">
        <v>-0.78842100000000004</v>
      </c>
      <c r="AB36">
        <v>6.1330000000000004E-3</v>
      </c>
      <c r="AC36">
        <v>-0.18318000000000001</v>
      </c>
      <c r="AD36">
        <v>-0.17624200000000001</v>
      </c>
      <c r="AE36">
        <v>-0.71335899999999997</v>
      </c>
      <c r="AF36">
        <v>-0.57658799999999999</v>
      </c>
      <c r="AG36">
        <v>0</v>
      </c>
      <c r="AH36">
        <v>1</v>
      </c>
      <c r="AI36">
        <v>1</v>
      </c>
      <c r="AJ36">
        <v>1</v>
      </c>
      <c r="AK36">
        <v>0.61656529091383006</v>
      </c>
    </row>
    <row r="37" spans="1:37" x14ac:dyDescent="0.3">
      <c r="A37">
        <v>258</v>
      </c>
      <c r="B37">
        <v>2025</v>
      </c>
      <c r="C37" t="s">
        <v>86</v>
      </c>
      <c r="D37">
        <v>12</v>
      </c>
      <c r="E37">
        <v>6478.1850000000004</v>
      </c>
      <c r="F37">
        <v>15100.09</v>
      </c>
      <c r="G37">
        <v>120.85</v>
      </c>
      <c r="H37">
        <v>281.69</v>
      </c>
      <c r="I37">
        <v>3.83</v>
      </c>
      <c r="J37">
        <v>2.1859999999999999</v>
      </c>
      <c r="K37">
        <v>-2.6070000000000002</v>
      </c>
      <c r="L37">
        <v>12.401</v>
      </c>
      <c r="M37">
        <v>26.975000000000001</v>
      </c>
      <c r="N37">
        <v>3.9</v>
      </c>
      <c r="O37">
        <v>-0.92600000000000005</v>
      </c>
      <c r="P37">
        <v>1.681</v>
      </c>
      <c r="Q37">
        <v>13.555358438835579</v>
      </c>
      <c r="R37">
        <v>2.1752278042093378</v>
      </c>
      <c r="S37">
        <v>3.6065999999999989</v>
      </c>
      <c r="T37">
        <v>4.1360000000000001</v>
      </c>
      <c r="U37">
        <v>-2.3738999999999999</v>
      </c>
      <c r="V37">
        <v>2.3149000000000002</v>
      </c>
      <c r="W37">
        <v>12.068239999999999</v>
      </c>
      <c r="X37">
        <v>1.0116736076578821</v>
      </c>
      <c r="Y37">
        <v>26.236276003256201</v>
      </c>
      <c r="Z37">
        <v>25.933538054823451</v>
      </c>
      <c r="AA37">
        <v>-0.47076099999999999</v>
      </c>
      <c r="AB37">
        <v>-0.20976700000000001</v>
      </c>
      <c r="AC37">
        <v>-0.90937000000000001</v>
      </c>
      <c r="AD37">
        <v>-0.30942500000000001</v>
      </c>
      <c r="AE37">
        <v>-0.96227399999999996</v>
      </c>
      <c r="AF37">
        <v>-0.94826500000000002</v>
      </c>
      <c r="AG37">
        <v>0</v>
      </c>
      <c r="AH37">
        <v>1</v>
      </c>
      <c r="AI37">
        <v>0</v>
      </c>
      <c r="AJ37">
        <v>0</v>
      </c>
      <c r="AK37">
        <v>0</v>
      </c>
    </row>
    <row r="38" spans="1:37" x14ac:dyDescent="0.3">
      <c r="A38">
        <v>268</v>
      </c>
      <c r="B38">
        <v>2025</v>
      </c>
      <c r="C38" t="s">
        <v>87</v>
      </c>
      <c r="D38">
        <v>9.5</v>
      </c>
      <c r="E38">
        <v>3636.6210000000001</v>
      </c>
      <c r="F38">
        <v>7955.75</v>
      </c>
      <c r="G38">
        <v>39.445</v>
      </c>
      <c r="H38">
        <v>86.292000000000002</v>
      </c>
      <c r="I38">
        <v>3.8</v>
      </c>
      <c r="J38">
        <v>4.9400000000000004</v>
      </c>
      <c r="K38">
        <v>-1.607</v>
      </c>
      <c r="L38">
        <v>24.26</v>
      </c>
      <c r="M38">
        <v>45.091000000000001</v>
      </c>
      <c r="N38">
        <v>-0.41199999999999998</v>
      </c>
      <c r="O38">
        <v>-0.98799999999999999</v>
      </c>
      <c r="P38">
        <v>0.61899999999999999</v>
      </c>
      <c r="Q38">
        <v>2.5515251442704039</v>
      </c>
      <c r="R38">
        <v>1.858656224237428</v>
      </c>
      <c r="S38">
        <v>3.3374000000000001</v>
      </c>
      <c r="T38">
        <v>4.9111999999999991</v>
      </c>
      <c r="U38">
        <v>-1.6651</v>
      </c>
      <c r="V38">
        <v>-3.0981999999999998</v>
      </c>
      <c r="W38">
        <v>8.129308</v>
      </c>
      <c r="X38">
        <v>1.5403450000000001</v>
      </c>
      <c r="Y38">
        <v>38.694357918006432</v>
      </c>
      <c r="Z38">
        <v>25.120578778135052</v>
      </c>
      <c r="AA38">
        <v>-0.65354500000000004</v>
      </c>
      <c r="AB38">
        <v>-0.56715800000000005</v>
      </c>
      <c r="AC38">
        <v>-0.61967300000000003</v>
      </c>
      <c r="AD38">
        <v>-0.62803399999999998</v>
      </c>
      <c r="AE38">
        <v>-1.176804</v>
      </c>
      <c r="AF38">
        <v>-1.2446900000000001</v>
      </c>
      <c r="AG38">
        <v>0</v>
      </c>
      <c r="AH38">
        <v>1</v>
      </c>
      <c r="AI38">
        <v>0</v>
      </c>
      <c r="AJ38">
        <v>0</v>
      </c>
      <c r="AK38">
        <v>0</v>
      </c>
    </row>
    <row r="39" spans="1:37" x14ac:dyDescent="0.3">
      <c r="A39">
        <v>273</v>
      </c>
      <c r="B39">
        <v>2025</v>
      </c>
      <c r="C39" t="s">
        <v>89</v>
      </c>
      <c r="D39">
        <v>13.66666666666667</v>
      </c>
      <c r="E39">
        <v>13966.98</v>
      </c>
      <c r="F39">
        <v>25770.39</v>
      </c>
      <c r="G39">
        <v>1862.74</v>
      </c>
      <c r="H39">
        <v>3436.93</v>
      </c>
      <c r="I39">
        <v>0.99</v>
      </c>
      <c r="J39">
        <v>3.7069999999999999</v>
      </c>
      <c r="K39">
        <v>-4.3230000000000004</v>
      </c>
      <c r="L39">
        <v>24.207000000000001</v>
      </c>
      <c r="M39">
        <v>58.854999999999997</v>
      </c>
      <c r="N39">
        <v>-0.249</v>
      </c>
      <c r="O39">
        <v>1.49</v>
      </c>
      <c r="P39">
        <v>5.8130000000000006</v>
      </c>
      <c r="Q39">
        <v>24.013715041103811</v>
      </c>
      <c r="R39">
        <v>2.4313215185690091</v>
      </c>
      <c r="S39">
        <v>1.4985999999999999</v>
      </c>
      <c r="T39">
        <v>4.2901999999999996</v>
      </c>
      <c r="U39">
        <v>-4.0340999999999996</v>
      </c>
      <c r="V39">
        <v>-0.308</v>
      </c>
      <c r="W39">
        <v>3.9699132499999998</v>
      </c>
      <c r="X39">
        <v>2.9394198976855148</v>
      </c>
      <c r="Y39">
        <v>33.306219012140822</v>
      </c>
      <c r="Z39">
        <v>11.33088166082225</v>
      </c>
      <c r="AA39">
        <v>-0.33829500000000001</v>
      </c>
      <c r="AB39">
        <v>-0.71545400000000003</v>
      </c>
      <c r="AC39">
        <v>-0.21993299999999999</v>
      </c>
      <c r="AD39">
        <v>-0.19578799999999999</v>
      </c>
      <c r="AE39">
        <v>-1.1538649999999999</v>
      </c>
      <c r="AF39">
        <v>-0.94087699999999996</v>
      </c>
      <c r="AG39">
        <v>0</v>
      </c>
      <c r="AH39">
        <v>1</v>
      </c>
      <c r="AI39">
        <v>0</v>
      </c>
      <c r="AJ39">
        <v>0</v>
      </c>
      <c r="AK39">
        <v>0</v>
      </c>
    </row>
    <row r="40" spans="1:37" x14ac:dyDescent="0.3">
      <c r="A40">
        <v>278</v>
      </c>
      <c r="B40">
        <v>2025</v>
      </c>
      <c r="C40" t="s">
        <v>90</v>
      </c>
      <c r="D40">
        <v>8.3333333333333339</v>
      </c>
      <c r="E40">
        <v>2952.674</v>
      </c>
      <c r="F40">
        <v>9081.75</v>
      </c>
      <c r="G40">
        <v>20.689</v>
      </c>
      <c r="H40">
        <v>63.636000000000003</v>
      </c>
      <c r="I40">
        <v>2.9940000000000002</v>
      </c>
      <c r="J40">
        <v>2</v>
      </c>
      <c r="K40">
        <v>2.048</v>
      </c>
      <c r="L40">
        <v>29.603000000000002</v>
      </c>
      <c r="M40">
        <v>39.277999999999999</v>
      </c>
      <c r="N40">
        <v>7.0750000000000002</v>
      </c>
      <c r="O40">
        <v>4.048</v>
      </c>
      <c r="P40">
        <v>2</v>
      </c>
      <c r="Q40">
        <v>6.7560720197277293</v>
      </c>
      <c r="R40">
        <v>1.3268249839543289</v>
      </c>
      <c r="S40">
        <v>3.5720000000000001</v>
      </c>
      <c r="T40">
        <v>4.2958000000000016</v>
      </c>
      <c r="U40">
        <v>1.1658999999999999</v>
      </c>
      <c r="V40">
        <v>1.7002999999999999</v>
      </c>
      <c r="W40">
        <v>6.1218719999999998</v>
      </c>
      <c r="X40">
        <v>2.5980355049405461</v>
      </c>
      <c r="Y40">
        <v>72.209979984173529</v>
      </c>
      <c r="Z40">
        <v>27.794069729553598</v>
      </c>
      <c r="AA40">
        <v>-1.7157770000000001</v>
      </c>
      <c r="AB40">
        <v>-6.9426000000000002E-2</v>
      </c>
      <c r="AC40">
        <v>-1.0529770000000001</v>
      </c>
      <c r="AD40">
        <v>-0.991035</v>
      </c>
      <c r="AE40">
        <v>-1.6197010000000001</v>
      </c>
      <c r="AF40">
        <v>-1.432693</v>
      </c>
      <c r="AG40">
        <v>0</v>
      </c>
      <c r="AH40">
        <v>1</v>
      </c>
      <c r="AI40">
        <v>1</v>
      </c>
      <c r="AJ40">
        <v>1</v>
      </c>
      <c r="AK40">
        <v>6.4547795215999987E-2</v>
      </c>
    </row>
    <row r="41" spans="1:37" x14ac:dyDescent="0.3">
      <c r="A41">
        <v>283</v>
      </c>
      <c r="B41">
        <v>2025</v>
      </c>
      <c r="C41" t="s">
        <v>92</v>
      </c>
      <c r="D41">
        <v>12.66666666666667</v>
      </c>
      <c r="E41">
        <v>19802.150000000001</v>
      </c>
      <c r="F41">
        <v>43651.39</v>
      </c>
      <c r="G41">
        <v>90.408000000000001</v>
      </c>
      <c r="H41">
        <v>199.29300000000001</v>
      </c>
      <c r="I41">
        <v>4</v>
      </c>
      <c r="J41">
        <v>0.7</v>
      </c>
      <c r="K41">
        <v>-3.9889999999999999</v>
      </c>
      <c r="L41">
        <v>17.675000000000001</v>
      </c>
      <c r="M41">
        <v>59.597999999999999</v>
      </c>
      <c r="N41">
        <v>-0.90600000000000003</v>
      </c>
      <c r="O41">
        <v>-0.496</v>
      </c>
      <c r="P41">
        <v>3.4929999999999999</v>
      </c>
      <c r="Q41">
        <v>19.762376237623759</v>
      </c>
      <c r="R41">
        <v>3.3718811881188122</v>
      </c>
      <c r="S41">
        <v>3.9599000000000002</v>
      </c>
      <c r="T41">
        <v>1.3552</v>
      </c>
      <c r="U41">
        <v>-4.6931999999999992</v>
      </c>
      <c r="V41">
        <v>-1.2283999999999999</v>
      </c>
      <c r="W41">
        <v>2.4599980000000001</v>
      </c>
      <c r="X41">
        <v>27.77710559681217</v>
      </c>
      <c r="Y41">
        <v>170.10981453545119</v>
      </c>
      <c r="Z41">
        <v>6.1241015174372171</v>
      </c>
      <c r="AA41">
        <v>0.441106</v>
      </c>
      <c r="AB41">
        <v>0.264681</v>
      </c>
      <c r="AC41">
        <v>0.245147</v>
      </c>
      <c r="AD41">
        <v>-7.3801000000000005E-2</v>
      </c>
      <c r="AE41">
        <v>-0.263428</v>
      </c>
      <c r="AF41">
        <v>-0.55411900000000003</v>
      </c>
      <c r="AG41">
        <v>0</v>
      </c>
      <c r="AH41">
        <v>1</v>
      </c>
      <c r="AI41">
        <v>0</v>
      </c>
      <c r="AJ41">
        <v>0</v>
      </c>
      <c r="AK41">
        <v>0</v>
      </c>
    </row>
    <row r="42" spans="1:37" x14ac:dyDescent="0.3">
      <c r="A42">
        <v>288</v>
      </c>
      <c r="B42">
        <v>2025</v>
      </c>
      <c r="C42" t="s">
        <v>93</v>
      </c>
      <c r="D42">
        <v>12.33333333333333</v>
      </c>
      <c r="E42">
        <v>6798.7560000000003</v>
      </c>
      <c r="F42">
        <v>19717.189999999999</v>
      </c>
      <c r="G42">
        <v>47.398000000000003</v>
      </c>
      <c r="H42">
        <v>137.459</v>
      </c>
      <c r="I42">
        <v>4.4000000000000004</v>
      </c>
      <c r="J42">
        <v>4</v>
      </c>
      <c r="K42">
        <v>-1.663</v>
      </c>
      <c r="L42">
        <v>18.635999999999999</v>
      </c>
      <c r="M42">
        <v>41.706000000000003</v>
      </c>
      <c r="N42">
        <v>-3.5339999999999998</v>
      </c>
      <c r="O42">
        <v>0.35199999999999998</v>
      </c>
      <c r="P42">
        <v>2.0150000000000001</v>
      </c>
      <c r="Q42">
        <v>10.812406095728701</v>
      </c>
      <c r="R42">
        <v>2.2379265936896329</v>
      </c>
      <c r="S42">
        <v>3.1221999999999999</v>
      </c>
      <c r="T42">
        <v>4.2511000000000001</v>
      </c>
      <c r="U42">
        <v>-2.4489000000000001</v>
      </c>
      <c r="V42">
        <v>-2.4157999999999999</v>
      </c>
      <c r="W42">
        <v>6.9575490000000002</v>
      </c>
      <c r="X42">
        <v>2.986165787640561</v>
      </c>
      <c r="Y42">
        <v>62.064074457083763</v>
      </c>
      <c r="Z42">
        <v>20.783867631851081</v>
      </c>
      <c r="AA42">
        <v>-0.14977799999999999</v>
      </c>
      <c r="AB42">
        <v>-7.3835999999999999E-2</v>
      </c>
      <c r="AC42">
        <v>-0.35450999999999999</v>
      </c>
      <c r="AD42">
        <v>-0.14118800000000001</v>
      </c>
      <c r="AE42">
        <v>-0.58358500000000002</v>
      </c>
      <c r="AF42">
        <v>-1.024886</v>
      </c>
      <c r="AG42">
        <v>0</v>
      </c>
      <c r="AH42">
        <v>1</v>
      </c>
      <c r="AI42">
        <v>0</v>
      </c>
      <c r="AJ42">
        <v>0</v>
      </c>
      <c r="AK42">
        <v>0</v>
      </c>
    </row>
    <row r="43" spans="1:37" x14ac:dyDescent="0.3">
      <c r="A43">
        <v>293</v>
      </c>
      <c r="B43">
        <v>2025</v>
      </c>
      <c r="C43" t="s">
        <v>94</v>
      </c>
      <c r="D43">
        <v>14</v>
      </c>
      <c r="E43">
        <v>9255.7219999999998</v>
      </c>
      <c r="F43">
        <v>18980.189999999999</v>
      </c>
      <c r="G43">
        <v>318.48</v>
      </c>
      <c r="H43">
        <v>653.08900000000006</v>
      </c>
      <c r="I43">
        <v>2.93</v>
      </c>
      <c r="J43">
        <v>2.0419999999999998</v>
      </c>
      <c r="K43">
        <v>-2.4209999999999998</v>
      </c>
      <c r="L43">
        <v>19.399000000000001</v>
      </c>
      <c r="M43">
        <v>32.125999999999998</v>
      </c>
      <c r="N43">
        <v>1.762</v>
      </c>
      <c r="O43">
        <v>-0.878</v>
      </c>
      <c r="P43">
        <v>1.5429999999999999</v>
      </c>
      <c r="Q43">
        <v>7.9540182483633162</v>
      </c>
      <c r="R43">
        <v>1.6560647456054429</v>
      </c>
      <c r="S43">
        <v>2.1254</v>
      </c>
      <c r="T43">
        <v>3.2177000000000011</v>
      </c>
      <c r="U43">
        <v>-2.7576999999999998</v>
      </c>
      <c r="V43">
        <v>-8.3100000000000021E-2</v>
      </c>
      <c r="W43">
        <v>16.64472</v>
      </c>
      <c r="X43">
        <v>1.2542259059079051</v>
      </c>
      <c r="Y43">
        <v>32.851888300741848</v>
      </c>
      <c r="Z43">
        <v>26.19295945490866</v>
      </c>
      <c r="AA43">
        <v>4.5574999999999997E-2</v>
      </c>
      <c r="AB43">
        <v>-0.65442199999999995</v>
      </c>
      <c r="AC43">
        <v>-0.20041300000000001</v>
      </c>
      <c r="AD43">
        <v>8.2815E-2</v>
      </c>
      <c r="AE43">
        <v>-0.50577499999999997</v>
      </c>
      <c r="AF43">
        <v>-0.72038999999999997</v>
      </c>
      <c r="AG43">
        <v>0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>
        <v>298</v>
      </c>
      <c r="B44">
        <v>2025</v>
      </c>
      <c r="C44" t="s">
        <v>96</v>
      </c>
      <c r="D44">
        <v>14.66666666666667</v>
      </c>
      <c r="E44">
        <v>24379.61</v>
      </c>
      <c r="F44">
        <v>37190.129999999997</v>
      </c>
      <c r="G44">
        <v>84.986000000000004</v>
      </c>
      <c r="H44">
        <v>129.642</v>
      </c>
      <c r="I44">
        <v>2.4710000000000001</v>
      </c>
      <c r="J44">
        <v>3.95</v>
      </c>
      <c r="K44">
        <v>-3.2919999999999998</v>
      </c>
      <c r="L44">
        <v>28.925000000000001</v>
      </c>
      <c r="M44">
        <v>66.611000000000004</v>
      </c>
      <c r="N44">
        <v>-1.371</v>
      </c>
      <c r="O44">
        <v>-0.98799999999999999</v>
      </c>
      <c r="P44">
        <v>2.3039999999999998</v>
      </c>
      <c r="Q44">
        <v>7.9654278305963686</v>
      </c>
      <c r="R44">
        <v>2.3028867761452032</v>
      </c>
      <c r="S44">
        <v>1.8492999999999999</v>
      </c>
      <c r="T44">
        <v>5.8213999999999997</v>
      </c>
      <c r="U44">
        <v>-3.1379000000000001</v>
      </c>
      <c r="V44">
        <v>-1.9220999999999999</v>
      </c>
      <c r="W44">
        <v>13.04701</v>
      </c>
      <c r="X44">
        <v>3.3406211630762361</v>
      </c>
      <c r="Y44">
        <v>69.757190471750889</v>
      </c>
      <c r="Z44">
        <v>20.881502890173412</v>
      </c>
      <c r="AA44">
        <v>1.2278089999999999</v>
      </c>
      <c r="AB44">
        <v>1.277938</v>
      </c>
      <c r="AC44">
        <v>0.69047999999999998</v>
      </c>
      <c r="AD44">
        <v>0.64684799999999998</v>
      </c>
      <c r="AE44">
        <v>0.95056399999999996</v>
      </c>
      <c r="AF44">
        <v>1.5279259999999999</v>
      </c>
      <c r="AG44">
        <v>0</v>
      </c>
      <c r="AH44">
        <v>1</v>
      </c>
      <c r="AI44">
        <v>1</v>
      </c>
      <c r="AJ44">
        <v>1</v>
      </c>
      <c r="AK44">
        <v>2.8830125559670679E-2</v>
      </c>
    </row>
    <row r="45" spans="1:37" x14ac:dyDescent="0.3">
      <c r="A45">
        <v>299</v>
      </c>
      <c r="B45">
        <v>2025</v>
      </c>
      <c r="C45" t="s">
        <v>97</v>
      </c>
      <c r="D45">
        <v>1</v>
      </c>
      <c r="E45">
        <v>3102.94</v>
      </c>
      <c r="F45">
        <v>8785.4500000000007</v>
      </c>
      <c r="G45">
        <v>82.766999999999996</v>
      </c>
      <c r="H45">
        <v>234.34</v>
      </c>
      <c r="I45">
        <v>0.5</v>
      </c>
      <c r="J45">
        <v>548.6</v>
      </c>
      <c r="K45">
        <v>-3.6</v>
      </c>
      <c r="L45">
        <v>13.983000000000001</v>
      </c>
      <c r="M45">
        <v>164.32400000000001</v>
      </c>
      <c r="N45">
        <v>4.25</v>
      </c>
      <c r="O45">
        <v>-2.9319999999999999</v>
      </c>
      <c r="P45">
        <v>0.66800000000000015</v>
      </c>
      <c r="Q45">
        <v>4.7772294929557324</v>
      </c>
      <c r="R45">
        <v>11.75169849102482</v>
      </c>
      <c r="S45">
        <v>-2.0344285714285708</v>
      </c>
      <c r="T45">
        <v>756.4000000000002</v>
      </c>
      <c r="U45">
        <v>-3.5875714285714291</v>
      </c>
      <c r="V45">
        <v>2.4745714285714291</v>
      </c>
      <c r="W45">
        <v>19.03903</v>
      </c>
      <c r="X45">
        <v>8.1068075381953637</v>
      </c>
      <c r="Y45">
        <v>47.026221232222603</v>
      </c>
      <c r="Z45">
        <v>5.8008310929620253</v>
      </c>
      <c r="AA45">
        <v>-1.8174490000000001</v>
      </c>
      <c r="AB45">
        <v>-1.740424</v>
      </c>
      <c r="AC45">
        <v>-1.4662500000000001</v>
      </c>
      <c r="AD45">
        <v>-1.903073</v>
      </c>
      <c r="AE45">
        <v>-2.2042739999999998</v>
      </c>
      <c r="AF45">
        <v>-1.58714</v>
      </c>
      <c r="AG45">
        <v>0</v>
      </c>
      <c r="AH45">
        <v>1</v>
      </c>
      <c r="AI45">
        <v>1</v>
      </c>
      <c r="AJ45">
        <v>1</v>
      </c>
      <c r="AK45">
        <v>0.27538748137402541</v>
      </c>
    </row>
    <row r="46" spans="1:37" x14ac:dyDescent="0.3">
      <c r="A46">
        <v>316</v>
      </c>
      <c r="B46">
        <v>2025</v>
      </c>
      <c r="C46" t="s">
        <v>99</v>
      </c>
      <c r="D46">
        <v>8.3333333333333339</v>
      </c>
      <c r="E46">
        <v>25926.58</v>
      </c>
      <c r="F46">
        <v>23183.919999999998</v>
      </c>
      <c r="G46">
        <v>7.5590000000000002</v>
      </c>
      <c r="H46">
        <v>6.76</v>
      </c>
      <c r="I46">
        <v>2.7</v>
      </c>
      <c r="J46">
        <v>3.343</v>
      </c>
      <c r="K46">
        <v>-0.34</v>
      </c>
      <c r="L46">
        <v>27.411999999999999</v>
      </c>
      <c r="M46">
        <v>99.778000000000006</v>
      </c>
      <c r="N46">
        <v>-6.282</v>
      </c>
      <c r="O46">
        <v>4.4260000000000002</v>
      </c>
      <c r="P46">
        <v>4.766</v>
      </c>
      <c r="Q46">
        <v>17.38654603823143</v>
      </c>
      <c r="R46">
        <v>3.639938712972421</v>
      </c>
      <c r="S46">
        <v>2.1417999999999999</v>
      </c>
      <c r="T46">
        <v>2.3081999999999998</v>
      </c>
      <c r="U46">
        <v>-1.252</v>
      </c>
      <c r="V46">
        <v>-6.645999999999999</v>
      </c>
      <c r="W46">
        <v>8.1259519999999998</v>
      </c>
      <c r="X46">
        <v>0.98091165513571055</v>
      </c>
      <c r="Y46">
        <v>24.25813371939984</v>
      </c>
      <c r="Z46">
        <v>24.73019215583048</v>
      </c>
      <c r="AA46">
        <v>0.99395999999999995</v>
      </c>
      <c r="AB46">
        <v>1.272222</v>
      </c>
      <c r="AC46">
        <v>0.60457000000000005</v>
      </c>
      <c r="AD46">
        <v>0.44050299999999998</v>
      </c>
      <c r="AE46">
        <v>0.72777499999999995</v>
      </c>
      <c r="AF46">
        <v>1.2257720000000001</v>
      </c>
      <c r="AG46">
        <v>0</v>
      </c>
      <c r="AH46">
        <v>1</v>
      </c>
      <c r="AI46">
        <v>1</v>
      </c>
      <c r="AJ46">
        <v>1</v>
      </c>
      <c r="AK46">
        <v>0.32355727553541302</v>
      </c>
    </row>
    <row r="47" spans="1:37" x14ac:dyDescent="0.3">
      <c r="A47">
        <v>339</v>
      </c>
      <c r="B47">
        <v>2025</v>
      </c>
      <c r="C47" t="s">
        <v>100</v>
      </c>
      <c r="D47">
        <v>6.5</v>
      </c>
      <c r="E47">
        <v>7896.84</v>
      </c>
      <c r="F47">
        <v>14920.77</v>
      </c>
      <c r="G47">
        <v>3.2970000000000002</v>
      </c>
      <c r="H47">
        <v>6.2290000000000001</v>
      </c>
      <c r="I47">
        <v>1.4890000000000001</v>
      </c>
      <c r="J47">
        <v>1.4670000000000001</v>
      </c>
      <c r="K47">
        <v>-1.1299999999999999</v>
      </c>
      <c r="L47">
        <v>26.251000000000001</v>
      </c>
      <c r="M47">
        <v>64.715999999999994</v>
      </c>
      <c r="N47">
        <v>-1.7250000000000001</v>
      </c>
      <c r="O47">
        <v>1.3149999999999999</v>
      </c>
      <c r="P47">
        <v>2.4449999999999998</v>
      </c>
      <c r="Q47">
        <v>9.3139308978705557</v>
      </c>
      <c r="R47">
        <v>2.465277513237591</v>
      </c>
      <c r="S47">
        <v>2.7902999999999989</v>
      </c>
      <c r="T47">
        <v>2.4818000000000011</v>
      </c>
      <c r="U47">
        <v>-2.4318</v>
      </c>
      <c r="V47">
        <v>-3.1105</v>
      </c>
      <c r="W47">
        <v>4.0699959999999997</v>
      </c>
      <c r="X47">
        <v>3.3053854389721629</v>
      </c>
      <c r="Y47">
        <v>46.847192716236727</v>
      </c>
      <c r="Z47">
        <v>14.172989377845219</v>
      </c>
      <c r="AA47">
        <v>0.103961</v>
      </c>
      <c r="AB47">
        <v>0.78472200000000003</v>
      </c>
      <c r="AC47">
        <v>-0.12909499999999999</v>
      </c>
      <c r="AD47">
        <v>-0.45007799999999998</v>
      </c>
      <c r="AE47">
        <v>-0.39715</v>
      </c>
      <c r="AF47">
        <v>-0.160413</v>
      </c>
      <c r="AG47">
        <v>0</v>
      </c>
      <c r="AH47">
        <v>1</v>
      </c>
      <c r="AI47">
        <v>1</v>
      </c>
      <c r="AJ47">
        <v>1</v>
      </c>
      <c r="AK47">
        <v>0.52477374303029434</v>
      </c>
    </row>
    <row r="48" spans="1:37" x14ac:dyDescent="0.3">
      <c r="A48">
        <v>343</v>
      </c>
      <c r="B48">
        <v>2025</v>
      </c>
      <c r="C48" t="s">
        <v>101</v>
      </c>
      <c r="D48">
        <v>10</v>
      </c>
      <c r="E48">
        <v>8404.9120000000003</v>
      </c>
      <c r="F48">
        <v>13924.09</v>
      </c>
      <c r="G48">
        <v>23.137</v>
      </c>
      <c r="H48">
        <v>38.331000000000003</v>
      </c>
      <c r="I48">
        <v>2.1</v>
      </c>
      <c r="J48">
        <v>4.5</v>
      </c>
      <c r="K48">
        <v>7.0000000000000001E-3</v>
      </c>
      <c r="L48">
        <v>29.815999999999999</v>
      </c>
      <c r="M48">
        <v>59.228000000000002</v>
      </c>
      <c r="N48">
        <v>1.8440000000000001</v>
      </c>
      <c r="O48">
        <v>4.7649999999999997</v>
      </c>
      <c r="P48">
        <v>4.758</v>
      </c>
      <c r="Q48">
        <v>15.95787496646096</v>
      </c>
      <c r="R48">
        <v>1.9864502280654679</v>
      </c>
      <c r="S48">
        <v>1.4347000000000001</v>
      </c>
      <c r="T48">
        <v>5.8231000000000002</v>
      </c>
      <c r="U48">
        <v>-0.4284</v>
      </c>
      <c r="V48">
        <v>0.6835</v>
      </c>
      <c r="W48">
        <v>10.403079999999999</v>
      </c>
      <c r="X48">
        <v>2.8641519529159978</v>
      </c>
      <c r="Y48">
        <v>78.185491723466399</v>
      </c>
      <c r="Z48">
        <v>27.297955209347609</v>
      </c>
      <c r="AA48">
        <v>0.485209</v>
      </c>
      <c r="AB48">
        <v>0.476823</v>
      </c>
      <c r="AC48">
        <v>0.171262</v>
      </c>
      <c r="AD48">
        <v>9.0879000000000001E-2</v>
      </c>
      <c r="AE48">
        <v>-7.7670000000000003E-2</v>
      </c>
      <c r="AF48">
        <v>-9.6271999999999996E-2</v>
      </c>
      <c r="AG48">
        <v>0</v>
      </c>
      <c r="AH48">
        <v>1</v>
      </c>
      <c r="AI48">
        <v>1</v>
      </c>
      <c r="AJ48">
        <v>1</v>
      </c>
      <c r="AK48">
        <v>0.14451611938433279</v>
      </c>
    </row>
    <row r="49" spans="1:37" x14ac:dyDescent="0.3">
      <c r="A49">
        <v>366</v>
      </c>
      <c r="B49">
        <v>2025</v>
      </c>
      <c r="C49" t="s">
        <v>102</v>
      </c>
      <c r="D49">
        <v>4.3333333333333321</v>
      </c>
      <c r="E49">
        <v>6843.4709999999995</v>
      </c>
      <c r="F49">
        <v>22303.23</v>
      </c>
      <c r="G49">
        <v>4.4960000000000004</v>
      </c>
      <c r="H49">
        <v>14.654</v>
      </c>
      <c r="I49">
        <v>2.734</v>
      </c>
      <c r="J49">
        <v>10.569000000000001</v>
      </c>
      <c r="K49">
        <v>-9.6240000000000006</v>
      </c>
      <c r="L49">
        <v>27.751999999999999</v>
      </c>
      <c r="M49">
        <v>89.078999999999994</v>
      </c>
      <c r="N49">
        <v>-33.445</v>
      </c>
      <c r="O49">
        <v>-5.7649999999999997</v>
      </c>
      <c r="P49">
        <v>3.8590000000000009</v>
      </c>
      <c r="Q49">
        <v>13.905304122225431</v>
      </c>
      <c r="R49">
        <v>3.209822715479965</v>
      </c>
      <c r="S49">
        <v>7.5224999999999991</v>
      </c>
      <c r="T49">
        <v>25.269799999999989</v>
      </c>
      <c r="U49">
        <v>-2.8532999999999999</v>
      </c>
      <c r="V49">
        <v>-10.5183</v>
      </c>
      <c r="W49">
        <v>17.838519999999999</v>
      </c>
      <c r="X49">
        <v>3.2042704626334522</v>
      </c>
      <c r="Y49">
        <v>101.0776829815896</v>
      </c>
      <c r="Z49">
        <v>31.544678940278398</v>
      </c>
      <c r="AA49">
        <v>5.5409E-2</v>
      </c>
      <c r="AB49">
        <v>0.47822799999999999</v>
      </c>
      <c r="AC49">
        <v>-0.45429199999999997</v>
      </c>
      <c r="AD49">
        <v>-0.91874400000000001</v>
      </c>
      <c r="AE49">
        <v>-0.20857600000000001</v>
      </c>
      <c r="AF49">
        <v>-0.37687500000000002</v>
      </c>
      <c r="AG49">
        <v>0</v>
      </c>
      <c r="AH49">
        <v>1</v>
      </c>
      <c r="AI49">
        <v>1</v>
      </c>
      <c r="AJ49">
        <v>1</v>
      </c>
      <c r="AK49">
        <v>0.44664771992900421</v>
      </c>
    </row>
    <row r="50" spans="1:37" x14ac:dyDescent="0.3">
      <c r="A50">
        <v>369</v>
      </c>
      <c r="B50">
        <v>2025</v>
      </c>
      <c r="C50" t="s">
        <v>104</v>
      </c>
      <c r="D50">
        <v>12</v>
      </c>
      <c r="E50">
        <v>18120.73</v>
      </c>
      <c r="F50">
        <v>35899.58</v>
      </c>
      <c r="G50">
        <v>26.001999999999999</v>
      </c>
      <c r="H50">
        <v>51.512999999999998</v>
      </c>
      <c r="I50">
        <v>1.0209999999999999</v>
      </c>
      <c r="J50">
        <v>2.1859999999999999</v>
      </c>
      <c r="K50">
        <v>-5.2009999999999996</v>
      </c>
      <c r="L50">
        <v>29.88</v>
      </c>
      <c r="M50">
        <v>65.34</v>
      </c>
      <c r="N50">
        <v>4.9009999999999998</v>
      </c>
      <c r="O50">
        <v>-1.077</v>
      </c>
      <c r="P50">
        <v>4.1239999999999997</v>
      </c>
      <c r="Q50">
        <v>13.801874163319949</v>
      </c>
      <c r="R50">
        <v>2.1867469879518069</v>
      </c>
      <c r="S50">
        <v>0.61010000000000009</v>
      </c>
      <c r="T50">
        <v>2.4899</v>
      </c>
      <c r="U50">
        <v>-4.5813000000000006</v>
      </c>
      <c r="V50">
        <v>6.4607000000000001</v>
      </c>
      <c r="W50">
        <v>9.0262799999999999</v>
      </c>
      <c r="X50">
        <v>5.6046448184233837</v>
      </c>
      <c r="Y50">
        <v>122.1175698625907</v>
      </c>
      <c r="Z50">
        <v>21.78863671452833</v>
      </c>
      <c r="AA50">
        <v>0.406302</v>
      </c>
      <c r="AB50">
        <v>0.360014</v>
      </c>
      <c r="AC50">
        <v>0.111293</v>
      </c>
      <c r="AD50">
        <v>-0.20657400000000001</v>
      </c>
      <c r="AE50">
        <v>-0.371533</v>
      </c>
      <c r="AF50">
        <v>-0.33981899999999998</v>
      </c>
      <c r="AG50">
        <v>0</v>
      </c>
      <c r="AH50">
        <v>1</v>
      </c>
      <c r="AI50">
        <v>0</v>
      </c>
      <c r="AJ50">
        <v>0</v>
      </c>
      <c r="AK50">
        <v>0</v>
      </c>
    </row>
    <row r="51" spans="1:37" x14ac:dyDescent="0.3">
      <c r="A51">
        <v>419</v>
      </c>
      <c r="B51">
        <v>2025</v>
      </c>
      <c r="C51" t="s">
        <v>105</v>
      </c>
      <c r="D51">
        <v>8.6666666666666661</v>
      </c>
      <c r="E51">
        <v>29252.84</v>
      </c>
      <c r="F51">
        <v>69270.720000000001</v>
      </c>
      <c r="G51">
        <v>47.390999999999998</v>
      </c>
      <c r="H51">
        <v>112.221</v>
      </c>
      <c r="I51">
        <v>2.867</v>
      </c>
      <c r="J51">
        <v>0.5</v>
      </c>
      <c r="K51">
        <v>-10.696</v>
      </c>
      <c r="L51">
        <v>17.983000000000001</v>
      </c>
      <c r="M51">
        <v>142.48599999999999</v>
      </c>
      <c r="N51">
        <v>3.544</v>
      </c>
      <c r="O51">
        <v>-4.1180000000000003</v>
      </c>
      <c r="P51">
        <v>6.5779999999999994</v>
      </c>
      <c r="Q51">
        <v>36.578991269532331</v>
      </c>
      <c r="R51">
        <v>7.9233720736250897</v>
      </c>
      <c r="S51">
        <v>2.6852999999999998</v>
      </c>
      <c r="T51">
        <v>0.8173999999999999</v>
      </c>
      <c r="U51">
        <v>-10.325100000000001</v>
      </c>
      <c r="V51">
        <v>4.0387000000000004</v>
      </c>
      <c r="W51">
        <v>4.2571050000000001</v>
      </c>
      <c r="X51">
        <v>14.53973985740944</v>
      </c>
      <c r="Y51">
        <v>223.4591437321273</v>
      </c>
      <c r="Z51">
        <v>15.3688543208875</v>
      </c>
      <c r="AA51">
        <v>-1.3214710000000001</v>
      </c>
      <c r="AB51">
        <v>-0.27586699999999997</v>
      </c>
      <c r="AC51">
        <v>0.60025300000000004</v>
      </c>
      <c r="AD51">
        <v>0.95024299999999995</v>
      </c>
      <c r="AE51">
        <v>0.167937</v>
      </c>
      <c r="AF51">
        <v>0.25406600000000001</v>
      </c>
      <c r="AG51">
        <v>0</v>
      </c>
      <c r="AH51">
        <v>1</v>
      </c>
      <c r="AI51">
        <v>0</v>
      </c>
      <c r="AJ51">
        <v>0</v>
      </c>
      <c r="AK51">
        <v>0</v>
      </c>
    </row>
    <row r="52" spans="1:37" x14ac:dyDescent="0.3">
      <c r="A52">
        <v>423</v>
      </c>
      <c r="B52">
        <v>2025</v>
      </c>
      <c r="C52" t="s">
        <v>107</v>
      </c>
      <c r="D52">
        <v>16</v>
      </c>
      <c r="E52">
        <v>42412.82</v>
      </c>
      <c r="F52">
        <v>65304.13</v>
      </c>
      <c r="G52">
        <v>39.942999999999998</v>
      </c>
      <c r="H52">
        <v>61.500999999999998</v>
      </c>
      <c r="I52">
        <v>2.9460000000000002</v>
      </c>
      <c r="J52">
        <v>-0.4</v>
      </c>
      <c r="K52">
        <v>3.411</v>
      </c>
      <c r="L52">
        <v>44.575000000000003</v>
      </c>
      <c r="M52">
        <v>57.707999999999998</v>
      </c>
      <c r="N52">
        <v>-8.4619999999999997</v>
      </c>
      <c r="O52">
        <v>4.6920000000000002</v>
      </c>
      <c r="P52">
        <v>1.2809999999999999</v>
      </c>
      <c r="Q52">
        <v>2.8738081884464379</v>
      </c>
      <c r="R52">
        <v>1.2946270330902969</v>
      </c>
      <c r="S52">
        <v>3.6269999999999998</v>
      </c>
      <c r="T52">
        <v>2.4281000000000001</v>
      </c>
      <c r="U52">
        <v>1.5587</v>
      </c>
      <c r="V52">
        <v>-8.8765999999999998</v>
      </c>
      <c r="W52">
        <v>0.54794200000000004</v>
      </c>
      <c r="X52">
        <v>364.27672358515213</v>
      </c>
      <c r="Y52">
        <v>478.13591022443887</v>
      </c>
      <c r="Z52">
        <v>1.312562344139651</v>
      </c>
      <c r="AA52">
        <v>0.88733300000000004</v>
      </c>
      <c r="AB52">
        <v>0.38586100000000001</v>
      </c>
      <c r="AC52">
        <v>0.86963699999999999</v>
      </c>
      <c r="AD52">
        <v>0.73958199999999996</v>
      </c>
      <c r="AE52">
        <v>0.689191</v>
      </c>
      <c r="AF52">
        <v>0.53247800000000001</v>
      </c>
      <c r="AG52">
        <v>1</v>
      </c>
      <c r="AH52">
        <v>0</v>
      </c>
      <c r="AI52">
        <v>1</v>
      </c>
      <c r="AJ52">
        <v>1</v>
      </c>
      <c r="AK52">
        <v>0.14451611938433279</v>
      </c>
    </row>
    <row r="53" spans="1:37" x14ac:dyDescent="0.3">
      <c r="A53">
        <v>433</v>
      </c>
      <c r="B53">
        <v>2025</v>
      </c>
      <c r="C53" t="s">
        <v>109</v>
      </c>
      <c r="D53">
        <v>6.6666666666666679</v>
      </c>
      <c r="E53">
        <v>5831.5519999999997</v>
      </c>
      <c r="F53">
        <v>15390.57</v>
      </c>
      <c r="G53">
        <v>265.45499999999998</v>
      </c>
      <c r="H53">
        <v>700.58600000000001</v>
      </c>
      <c r="I53">
        <v>0.45200000000000001</v>
      </c>
      <c r="J53">
        <v>1.8</v>
      </c>
      <c r="K53">
        <v>-6.2949999999999999</v>
      </c>
      <c r="L53">
        <v>37.963999999999999</v>
      </c>
      <c r="M53">
        <v>53.106000000000002</v>
      </c>
      <c r="N53">
        <v>0.42099999999999999</v>
      </c>
      <c r="O53">
        <v>-4.7720000000000002</v>
      </c>
      <c r="P53">
        <v>1.5229999999999999</v>
      </c>
      <c r="Q53">
        <v>4.0116952902749956</v>
      </c>
      <c r="R53">
        <v>1.3988515435675899</v>
      </c>
      <c r="S53">
        <v>1.3142</v>
      </c>
      <c r="T53">
        <v>3.3976000000000002</v>
      </c>
      <c r="U53">
        <v>-4.3073999999999986</v>
      </c>
      <c r="V53">
        <v>2.2743000000000002</v>
      </c>
      <c r="W53">
        <v>13.9</v>
      </c>
      <c r="X53">
        <v>0.15504703997997679</v>
      </c>
      <c r="Y53">
        <v>3.2737751511323649</v>
      </c>
      <c r="Z53">
        <v>21.114722032456399</v>
      </c>
      <c r="AA53">
        <v>-1.021604</v>
      </c>
      <c r="AB53">
        <v>-2.064276</v>
      </c>
      <c r="AC53">
        <v>-1.101885</v>
      </c>
      <c r="AD53">
        <v>-1.030546</v>
      </c>
      <c r="AE53">
        <v>-1.358161</v>
      </c>
      <c r="AF53">
        <v>-1.2050160000000001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 x14ac:dyDescent="0.3">
      <c r="A54">
        <v>436</v>
      </c>
      <c r="B54">
        <v>2025</v>
      </c>
      <c r="C54" t="s">
        <v>110</v>
      </c>
      <c r="D54">
        <v>16.333333333333329</v>
      </c>
      <c r="E54">
        <v>60008.97</v>
      </c>
      <c r="F54">
        <v>55766.41</v>
      </c>
      <c r="G54">
        <v>610.75199999999995</v>
      </c>
      <c r="H54">
        <v>567.57299999999998</v>
      </c>
      <c r="I54">
        <v>2.4950000000000001</v>
      </c>
      <c r="J54">
        <v>2.7829999999999999</v>
      </c>
      <c r="K54">
        <v>-6.3730000000000002</v>
      </c>
      <c r="L54">
        <v>37.417999999999999</v>
      </c>
      <c r="M54">
        <v>69.242000000000004</v>
      </c>
      <c r="N54">
        <v>2.7850000000000001</v>
      </c>
      <c r="O54">
        <v>-3.4359999999999999</v>
      </c>
      <c r="P54">
        <v>2.9369999999999998</v>
      </c>
      <c r="Q54">
        <v>7.8491635041958423</v>
      </c>
      <c r="R54">
        <v>1.85049975947405</v>
      </c>
      <c r="S54">
        <v>3.3279000000000001</v>
      </c>
      <c r="T54">
        <v>2.5028000000000001</v>
      </c>
      <c r="U54">
        <v>-5.125</v>
      </c>
      <c r="V54">
        <v>3.0236999999999998</v>
      </c>
      <c r="W54">
        <v>20.449000000000002</v>
      </c>
      <c r="X54">
        <v>0.72085461223144975</v>
      </c>
      <c r="Y54">
        <v>24.370931333523352</v>
      </c>
      <c r="Z54">
        <v>33.808386490143469</v>
      </c>
      <c r="AA54">
        <v>0.29515599999999997</v>
      </c>
      <c r="AB54">
        <v>-1.0375019999999999</v>
      </c>
      <c r="AC54">
        <v>1.1726240000000001</v>
      </c>
      <c r="AD54">
        <v>1.113877</v>
      </c>
      <c r="AE54">
        <v>0.59971799999999997</v>
      </c>
      <c r="AF54">
        <v>0.85331900000000005</v>
      </c>
      <c r="AG54">
        <v>0</v>
      </c>
      <c r="AH54">
        <v>1</v>
      </c>
      <c r="AI54">
        <v>0</v>
      </c>
      <c r="AJ54">
        <v>0</v>
      </c>
      <c r="AK54">
        <v>0</v>
      </c>
    </row>
    <row r="55" spans="1:37" x14ac:dyDescent="0.3">
      <c r="A55">
        <v>439</v>
      </c>
      <c r="B55">
        <v>2025</v>
      </c>
      <c r="C55" t="s">
        <v>112</v>
      </c>
      <c r="D55">
        <v>10</v>
      </c>
      <c r="E55">
        <v>4907.88</v>
      </c>
      <c r="F55">
        <v>11510.85</v>
      </c>
      <c r="G55">
        <v>56.156999999999996</v>
      </c>
      <c r="H55">
        <v>131.708</v>
      </c>
      <c r="I55">
        <v>2.7</v>
      </c>
      <c r="J55">
        <v>2.2370000000000001</v>
      </c>
      <c r="K55">
        <v>-7.484</v>
      </c>
      <c r="L55">
        <v>26.196999999999999</v>
      </c>
      <c r="M55">
        <v>89.703000000000003</v>
      </c>
      <c r="N55">
        <v>-5.5060000000000002</v>
      </c>
      <c r="O55">
        <v>-1.917</v>
      </c>
      <c r="P55">
        <v>5.5670000000000002</v>
      </c>
      <c r="Q55">
        <v>21.250524869259841</v>
      </c>
      <c r="R55">
        <v>3.4241707065694551</v>
      </c>
      <c r="S55">
        <v>2.5173000000000001</v>
      </c>
      <c r="T55">
        <v>2.1366999999999998</v>
      </c>
      <c r="U55">
        <v>-6.3689999999999998</v>
      </c>
      <c r="V55">
        <v>-5.7915999999999999</v>
      </c>
      <c r="W55">
        <v>8.0545840000000002</v>
      </c>
      <c r="X55">
        <v>2.622134600715837</v>
      </c>
      <c r="Y55">
        <v>80.381754083027559</v>
      </c>
      <c r="Z55">
        <v>30.65508309950356</v>
      </c>
      <c r="AA55">
        <v>-0.71374000000000004</v>
      </c>
      <c r="AB55">
        <v>-0.35016900000000001</v>
      </c>
      <c r="AC55">
        <v>0.21621099999999999</v>
      </c>
      <c r="AD55">
        <v>0.27600999999999998</v>
      </c>
      <c r="AE55">
        <v>0.16853399999999999</v>
      </c>
      <c r="AF55">
        <v>0.27219300000000002</v>
      </c>
      <c r="AG55">
        <v>0</v>
      </c>
      <c r="AH55">
        <v>1</v>
      </c>
      <c r="AI55">
        <v>0</v>
      </c>
      <c r="AJ55">
        <v>0</v>
      </c>
      <c r="AK55">
        <v>0</v>
      </c>
    </row>
    <row r="56" spans="1:37" x14ac:dyDescent="0.3">
      <c r="A56">
        <v>443</v>
      </c>
      <c r="B56">
        <v>2025</v>
      </c>
      <c r="C56" t="s">
        <v>113</v>
      </c>
      <c r="D56">
        <v>18.333333333333329</v>
      </c>
      <c r="E56">
        <v>30805.16</v>
      </c>
      <c r="F56">
        <v>52866.1</v>
      </c>
      <c r="G56">
        <v>157.46899999999999</v>
      </c>
      <c r="H56">
        <v>270.23899999999998</v>
      </c>
      <c r="I56">
        <v>2.5739999999999998</v>
      </c>
      <c r="J56">
        <v>2.2069999999999999</v>
      </c>
      <c r="K56">
        <v>26.759</v>
      </c>
      <c r="L56">
        <v>77.67</v>
      </c>
      <c r="M56">
        <v>7.2859999999999996</v>
      </c>
      <c r="N56">
        <v>26.53</v>
      </c>
      <c r="O56">
        <v>-3.915</v>
      </c>
      <c r="P56">
        <v>-30.673999999999999</v>
      </c>
      <c r="Q56">
        <v>-39.492725634092963</v>
      </c>
      <c r="R56">
        <v>9.3807132741084071E-2</v>
      </c>
      <c r="S56">
        <v>1.2698</v>
      </c>
      <c r="T56">
        <v>2.6585999999999999</v>
      </c>
      <c r="U56">
        <v>22.241700000000002</v>
      </c>
      <c r="V56">
        <v>24.037099999999999</v>
      </c>
      <c r="W56">
        <v>12.970840000000001</v>
      </c>
      <c r="X56">
        <v>1.267588830516809</v>
      </c>
      <c r="Y56">
        <v>31.330932490693002</v>
      </c>
      <c r="Z56">
        <v>24.716952166515281</v>
      </c>
      <c r="AA56">
        <v>-0.71834200000000004</v>
      </c>
      <c r="AB56">
        <v>0.293937</v>
      </c>
      <c r="AC56">
        <v>0.32789600000000002</v>
      </c>
      <c r="AD56">
        <v>0.40351300000000001</v>
      </c>
      <c r="AE56">
        <v>0.230827</v>
      </c>
      <c r="AF56">
        <v>0.21834600000000001</v>
      </c>
      <c r="AG56">
        <v>0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>
        <v>446</v>
      </c>
      <c r="B57">
        <v>2025</v>
      </c>
      <c r="C57" t="s">
        <v>114</v>
      </c>
      <c r="D57">
        <v>1.3333333333333319</v>
      </c>
      <c r="E57">
        <v>5282.1540000000005</v>
      </c>
      <c r="F57">
        <v>11815.59</v>
      </c>
      <c r="G57">
        <v>28.28</v>
      </c>
      <c r="H57">
        <v>63.26</v>
      </c>
      <c r="I57">
        <v>-7.5</v>
      </c>
      <c r="J57">
        <v>18.116</v>
      </c>
      <c r="K57">
        <v>-0.188</v>
      </c>
      <c r="L57">
        <v>16.295000000000002</v>
      </c>
      <c r="M57">
        <v>163.76</v>
      </c>
      <c r="N57">
        <v>-19.677</v>
      </c>
      <c r="O57">
        <v>0.40200000000000002</v>
      </c>
      <c r="P57">
        <v>0.59000000000000008</v>
      </c>
      <c r="Q57">
        <v>3.6207425590671991</v>
      </c>
      <c r="R57">
        <v>10.049708499539729</v>
      </c>
      <c r="S57">
        <v>-5.9562000000000008</v>
      </c>
      <c r="T57">
        <v>140.53899999999999</v>
      </c>
      <c r="U57">
        <v>-3.9382000000000001</v>
      </c>
      <c r="V57">
        <v>-21.750800000000002</v>
      </c>
      <c r="W57">
        <v>7.0343289999999996</v>
      </c>
      <c r="X57">
        <v>9.5095861011752678</v>
      </c>
      <c r="Y57">
        <v>246.75497215592679</v>
      </c>
      <c r="Z57">
        <v>25.948024396711752</v>
      </c>
      <c r="AA57">
        <v>-0.773254</v>
      </c>
      <c r="AB57">
        <v>-1.3896809999999999</v>
      </c>
      <c r="AC57">
        <v>-1.13012</v>
      </c>
      <c r="AD57">
        <v>-0.95887900000000004</v>
      </c>
      <c r="AE57">
        <v>-1.085353</v>
      </c>
      <c r="AF57">
        <v>-1.3041339999999999</v>
      </c>
      <c r="AG57">
        <v>0</v>
      </c>
      <c r="AH57">
        <v>1</v>
      </c>
      <c r="AI57">
        <v>1</v>
      </c>
      <c r="AJ57">
        <v>1</v>
      </c>
      <c r="AK57">
        <v>0.44664771992900421</v>
      </c>
    </row>
    <row r="58" spans="1:37" x14ac:dyDescent="0.3">
      <c r="A58">
        <v>449</v>
      </c>
      <c r="B58">
        <v>2025</v>
      </c>
      <c r="C58" t="s">
        <v>115</v>
      </c>
      <c r="D58">
        <v>12.66666666666667</v>
      </c>
      <c r="E58">
        <v>19118.88</v>
      </c>
      <c r="F58">
        <v>42211.199999999997</v>
      </c>
      <c r="G58">
        <v>105.19</v>
      </c>
      <c r="H58">
        <v>232.24199999999999</v>
      </c>
      <c r="I58">
        <v>2.8849999999999998</v>
      </c>
      <c r="J58">
        <v>0.53400000000000003</v>
      </c>
      <c r="K58">
        <v>0.41199999999999998</v>
      </c>
      <c r="L58">
        <v>28.861000000000001</v>
      </c>
      <c r="M58">
        <v>35.049999999999997</v>
      </c>
      <c r="N58">
        <v>-1.0229999999999999</v>
      </c>
      <c r="O58">
        <v>0.64600000000000002</v>
      </c>
      <c r="P58">
        <v>0.23400000000000001</v>
      </c>
      <c r="Q58">
        <v>0.81078271716156758</v>
      </c>
      <c r="R58">
        <v>1.214441634039015</v>
      </c>
      <c r="S58">
        <v>2.8578999999999999</v>
      </c>
      <c r="T58">
        <v>1.3557999999999999</v>
      </c>
      <c r="U58">
        <v>1.2828999999999999</v>
      </c>
      <c r="V58">
        <v>-1.1169</v>
      </c>
      <c r="W58">
        <v>5.3207409999999999</v>
      </c>
      <c r="X58">
        <v>3.476006200838262</v>
      </c>
      <c r="Y58">
        <v>55.373583456047129</v>
      </c>
      <c r="Z58">
        <v>15.93023149460821</v>
      </c>
      <c r="AA58">
        <v>-0.88768499999999995</v>
      </c>
      <c r="AB58">
        <v>0.62723600000000002</v>
      </c>
      <c r="AC58">
        <v>0.56750999999999996</v>
      </c>
      <c r="AD58">
        <v>0.68751499999999999</v>
      </c>
      <c r="AE58">
        <v>0.44935799999999998</v>
      </c>
      <c r="AF58">
        <v>0.50724899999999995</v>
      </c>
      <c r="AG58">
        <v>0</v>
      </c>
      <c r="AH58">
        <v>1</v>
      </c>
      <c r="AI58">
        <v>0</v>
      </c>
      <c r="AJ58">
        <v>0</v>
      </c>
      <c r="AK58">
        <v>0</v>
      </c>
    </row>
    <row r="59" spans="1:37" x14ac:dyDescent="0.3">
      <c r="A59">
        <v>453</v>
      </c>
      <c r="B59">
        <v>2025</v>
      </c>
      <c r="C59" t="s">
        <v>116</v>
      </c>
      <c r="D59">
        <v>20</v>
      </c>
      <c r="E59">
        <v>71441.42</v>
      </c>
      <c r="F59">
        <v>122283.22</v>
      </c>
      <c r="G59">
        <v>222.119</v>
      </c>
      <c r="H59">
        <v>380.19099999999997</v>
      </c>
      <c r="I59">
        <v>2.8820000000000001</v>
      </c>
      <c r="J59">
        <v>0.13600000000000001</v>
      </c>
      <c r="K59">
        <v>-0.32300000000000001</v>
      </c>
      <c r="L59">
        <v>26.524000000000001</v>
      </c>
      <c r="M59">
        <v>40.616</v>
      </c>
      <c r="N59">
        <v>10.834</v>
      </c>
      <c r="O59">
        <v>0.94499999999999995</v>
      </c>
      <c r="P59">
        <v>1.268</v>
      </c>
      <c r="Q59">
        <v>4.780576082038908</v>
      </c>
      <c r="R59">
        <v>1.531292414417132</v>
      </c>
      <c r="S59">
        <v>2.8035999999999999</v>
      </c>
      <c r="T59">
        <v>1.8069</v>
      </c>
      <c r="U59">
        <v>2.3784999999999998</v>
      </c>
      <c r="V59">
        <v>13.0185</v>
      </c>
      <c r="W59">
        <v>14.148949999999999</v>
      </c>
      <c r="X59">
        <v>3.9747478360397741</v>
      </c>
      <c r="Y59">
        <v>72.256708136460176</v>
      </c>
      <c r="Z59">
        <v>18.178941436559889</v>
      </c>
      <c r="AA59">
        <v>-0.95437700000000003</v>
      </c>
      <c r="AB59">
        <v>0.95117499999999999</v>
      </c>
      <c r="AC59">
        <v>1.1342699999999999</v>
      </c>
      <c r="AD59">
        <v>0.966337</v>
      </c>
      <c r="AE59">
        <v>0.58959300000000003</v>
      </c>
      <c r="AF59">
        <v>0.75482899999999997</v>
      </c>
      <c r="AG59">
        <v>0</v>
      </c>
      <c r="AH59">
        <v>1</v>
      </c>
      <c r="AI59">
        <v>0</v>
      </c>
      <c r="AJ59">
        <v>0</v>
      </c>
      <c r="AK59">
        <v>0</v>
      </c>
    </row>
    <row r="60" spans="1:37" x14ac:dyDescent="0.3">
      <c r="A60">
        <v>456</v>
      </c>
      <c r="B60">
        <v>2025</v>
      </c>
      <c r="C60" t="s">
        <v>117</v>
      </c>
      <c r="D60">
        <v>18.333333333333329</v>
      </c>
      <c r="E60">
        <v>35230.93</v>
      </c>
      <c r="F60">
        <v>74668.070000000007</v>
      </c>
      <c r="G60">
        <v>1268.5350000000001</v>
      </c>
      <c r="H60">
        <v>2688.52</v>
      </c>
      <c r="I60">
        <v>4.0209999999999999</v>
      </c>
      <c r="J60">
        <v>2.1</v>
      </c>
      <c r="K60">
        <v>-3.6509999999999998</v>
      </c>
      <c r="L60">
        <v>24.216000000000001</v>
      </c>
      <c r="M60">
        <v>29.212</v>
      </c>
      <c r="N60">
        <v>-2.085</v>
      </c>
      <c r="O60">
        <v>-3.3530000000000002</v>
      </c>
      <c r="P60">
        <v>0.2979999999999996</v>
      </c>
      <c r="Q60">
        <v>1.230591344565575</v>
      </c>
      <c r="R60">
        <v>1.206309877766766</v>
      </c>
      <c r="S60">
        <v>3.5139</v>
      </c>
      <c r="T60">
        <v>1.9359999999999999</v>
      </c>
      <c r="U60">
        <v>-3.2465999999999999</v>
      </c>
      <c r="V60">
        <v>0.13769999999999991</v>
      </c>
      <c r="W60">
        <v>17.396000000000001</v>
      </c>
      <c r="X60">
        <v>0.6038493633421983</v>
      </c>
      <c r="Y60">
        <v>18.651132863709609</v>
      </c>
      <c r="Z60">
        <v>30.887062231015559</v>
      </c>
      <c r="AA60">
        <v>-1.547261</v>
      </c>
      <c r="AB60">
        <v>-4.8170999999999999E-2</v>
      </c>
      <c r="AC60">
        <v>0.78330200000000005</v>
      </c>
      <c r="AD60">
        <v>0.71025799999999994</v>
      </c>
      <c r="AE60">
        <v>0.21035499999999999</v>
      </c>
      <c r="AF60">
        <v>0.75282800000000005</v>
      </c>
      <c r="AG60">
        <v>0</v>
      </c>
      <c r="AH60">
        <v>1</v>
      </c>
      <c r="AI60">
        <v>0</v>
      </c>
      <c r="AJ60">
        <v>0</v>
      </c>
      <c r="AK60">
        <v>0</v>
      </c>
    </row>
    <row r="61" spans="1:37" x14ac:dyDescent="0.3">
      <c r="A61">
        <v>466</v>
      </c>
      <c r="B61">
        <v>2025</v>
      </c>
      <c r="C61" t="s">
        <v>118</v>
      </c>
      <c r="D61">
        <v>19.666666666666671</v>
      </c>
      <c r="E61">
        <v>51347.9</v>
      </c>
      <c r="F61">
        <v>84402.77</v>
      </c>
      <c r="G61">
        <v>569.09699999999998</v>
      </c>
      <c r="H61">
        <v>935.44899999999996</v>
      </c>
      <c r="I61">
        <v>4.7649999999999997</v>
      </c>
      <c r="J61">
        <v>1.6160000000000001</v>
      </c>
      <c r="K61">
        <v>5.085</v>
      </c>
      <c r="L61">
        <v>28.367999999999999</v>
      </c>
      <c r="M61">
        <v>33.953000000000003</v>
      </c>
      <c r="N61">
        <v>13.183</v>
      </c>
      <c r="O61">
        <v>5.8529999999999998</v>
      </c>
      <c r="P61">
        <v>0.76799999999999979</v>
      </c>
      <c r="Q61">
        <v>2.7072758037225042</v>
      </c>
      <c r="R61">
        <v>1.196876762549351</v>
      </c>
      <c r="S61">
        <v>3.4866000000000001</v>
      </c>
      <c r="T61">
        <v>1.5539000000000001</v>
      </c>
      <c r="U61">
        <v>4.7421000000000006</v>
      </c>
      <c r="V61">
        <v>11.671099999999999</v>
      </c>
      <c r="W61">
        <v>7</v>
      </c>
      <c r="X61">
        <v>2.396606029440123</v>
      </c>
      <c r="Y61">
        <v>104.34235059942139</v>
      </c>
      <c r="Z61">
        <v>43.53754823182058</v>
      </c>
      <c r="AA61">
        <v>-0.85374899999999998</v>
      </c>
      <c r="AB61">
        <v>0.78866999999999998</v>
      </c>
      <c r="AC61">
        <v>1.2599659999999999</v>
      </c>
      <c r="AD61">
        <v>1.125718</v>
      </c>
      <c r="AE61">
        <v>0.49684499999999998</v>
      </c>
      <c r="AF61">
        <v>1.170218</v>
      </c>
      <c r="AG61">
        <v>0</v>
      </c>
      <c r="AH61">
        <v>1</v>
      </c>
      <c r="AI61">
        <v>0</v>
      </c>
      <c r="AJ61">
        <v>0</v>
      </c>
      <c r="AK61">
        <v>0</v>
      </c>
    </row>
    <row r="62" spans="1:37" x14ac:dyDescent="0.3">
      <c r="A62">
        <v>469</v>
      </c>
      <c r="B62">
        <v>2025</v>
      </c>
      <c r="C62" t="s">
        <v>119</v>
      </c>
      <c r="D62">
        <v>7.3333333333333339</v>
      </c>
      <c r="E62">
        <v>3191.08</v>
      </c>
      <c r="F62">
        <v>21758.84</v>
      </c>
      <c r="G62">
        <v>349.26400000000001</v>
      </c>
      <c r="H62">
        <v>2381.5070000000001</v>
      </c>
      <c r="I62">
        <v>4.2699999999999996</v>
      </c>
      <c r="J62">
        <v>14.919</v>
      </c>
      <c r="K62">
        <v>-12.36</v>
      </c>
      <c r="L62">
        <v>16.605</v>
      </c>
      <c r="M62">
        <v>86.97</v>
      </c>
      <c r="N62">
        <v>-5.1050000000000004</v>
      </c>
      <c r="O62">
        <v>2.456</v>
      </c>
      <c r="P62">
        <v>14.816000000000001</v>
      </c>
      <c r="Q62">
        <v>89.226136705811498</v>
      </c>
      <c r="R62">
        <v>5.2375790424570914</v>
      </c>
      <c r="S62">
        <v>4.3099999999999996</v>
      </c>
      <c r="T62">
        <v>13.226699999999999</v>
      </c>
      <c r="U62">
        <v>-7.4439000000000011</v>
      </c>
      <c r="V62">
        <v>-3.9205000000000001</v>
      </c>
      <c r="W62">
        <v>4.5830000000000002</v>
      </c>
      <c r="X62">
        <v>6.7381907857863466</v>
      </c>
      <c r="Y62">
        <v>46.253889027108407</v>
      </c>
      <c r="Z62">
        <v>6.8644374280225406</v>
      </c>
      <c r="AA62">
        <v>-1.6006339999999999</v>
      </c>
      <c r="AB62">
        <v>-0.97792400000000002</v>
      </c>
      <c r="AC62">
        <v>-9.7058000000000005E-2</v>
      </c>
      <c r="AD62">
        <v>-0.499469</v>
      </c>
      <c r="AE62">
        <v>-0.75153999999999999</v>
      </c>
      <c r="AF62">
        <v>-0.82699</v>
      </c>
      <c r="AG62">
        <v>0</v>
      </c>
      <c r="AH62">
        <v>1</v>
      </c>
      <c r="AI62">
        <v>0</v>
      </c>
      <c r="AJ62">
        <v>0</v>
      </c>
      <c r="AK62">
        <v>0</v>
      </c>
    </row>
    <row r="63" spans="1:37" x14ac:dyDescent="0.3">
      <c r="A63">
        <v>513</v>
      </c>
      <c r="B63">
        <v>2025</v>
      </c>
      <c r="C63" t="s">
        <v>120</v>
      </c>
      <c r="D63">
        <v>8.6666666666666661</v>
      </c>
      <c r="E63">
        <v>2734.098</v>
      </c>
      <c r="F63">
        <v>10257.554</v>
      </c>
      <c r="G63">
        <v>475.01100000000002</v>
      </c>
      <c r="H63">
        <v>1782.105</v>
      </c>
      <c r="I63">
        <v>3.76</v>
      </c>
      <c r="J63">
        <v>8.484</v>
      </c>
      <c r="K63">
        <v>-3.79</v>
      </c>
      <c r="L63">
        <v>7.6589999999999998</v>
      </c>
      <c r="M63">
        <v>40.273000000000003</v>
      </c>
      <c r="N63">
        <v>3.1E-2</v>
      </c>
      <c r="O63">
        <v>-1.61</v>
      </c>
      <c r="P63">
        <v>2.1800000000000002</v>
      </c>
      <c r="Q63">
        <v>28.463245854550198</v>
      </c>
      <c r="R63">
        <v>5.2582582582582589</v>
      </c>
      <c r="S63">
        <v>5.4314999999999998</v>
      </c>
      <c r="T63">
        <v>7.1502999999999997</v>
      </c>
      <c r="U63">
        <v>-4.3151000000000002</v>
      </c>
      <c r="V63">
        <v>-1.6141000000000001</v>
      </c>
      <c r="W63">
        <v>4.7742930000000001</v>
      </c>
      <c r="X63">
        <v>4.3106678165660508</v>
      </c>
      <c r="Y63">
        <v>25.351445520100562</v>
      </c>
      <c r="Z63">
        <v>5.8810946699891948</v>
      </c>
      <c r="AA63">
        <v>-1.1608039999999999</v>
      </c>
      <c r="AB63">
        <v>-1.4629509999999999</v>
      </c>
      <c r="AC63">
        <v>-0.61897500000000005</v>
      </c>
      <c r="AD63">
        <v>-0.950071</v>
      </c>
      <c r="AE63">
        <v>-0.960059</v>
      </c>
      <c r="AF63">
        <v>-1.1021570000000001</v>
      </c>
      <c r="AG63">
        <v>0</v>
      </c>
      <c r="AH63">
        <v>1</v>
      </c>
      <c r="AI63">
        <v>0</v>
      </c>
      <c r="AJ63">
        <v>0</v>
      </c>
      <c r="AK63">
        <v>0</v>
      </c>
    </row>
    <row r="64" spans="1:37" x14ac:dyDescent="0.3">
      <c r="A64">
        <v>522</v>
      </c>
      <c r="B64">
        <v>2025</v>
      </c>
      <c r="C64" t="s">
        <v>121</v>
      </c>
      <c r="D64">
        <v>8</v>
      </c>
      <c r="E64">
        <v>2812.212</v>
      </c>
      <c r="F64">
        <v>8707.0709999999999</v>
      </c>
      <c r="G64">
        <v>48.802</v>
      </c>
      <c r="H64">
        <v>151.1</v>
      </c>
      <c r="I64">
        <v>4.774</v>
      </c>
      <c r="J64">
        <v>1.6339999999999999</v>
      </c>
      <c r="K64">
        <v>-3.698</v>
      </c>
      <c r="L64">
        <v>14.464</v>
      </c>
      <c r="M64">
        <v>27.84</v>
      </c>
      <c r="N64">
        <v>-2.476</v>
      </c>
      <c r="O64">
        <v>-3.5590000000000002</v>
      </c>
      <c r="P64">
        <v>0.13899999999999979</v>
      </c>
      <c r="Q64">
        <v>0.96100663716814017</v>
      </c>
      <c r="R64">
        <v>1.9247787610619469</v>
      </c>
      <c r="S64">
        <v>3.9281000000000001</v>
      </c>
      <c r="T64">
        <v>2.7665000000000002</v>
      </c>
      <c r="U64">
        <v>-3.117</v>
      </c>
      <c r="V64">
        <v>-6.4377000000000004</v>
      </c>
      <c r="W64">
        <v>6.6540229999999996</v>
      </c>
      <c r="X64">
        <v>1.142189012524325</v>
      </c>
      <c r="Y64">
        <v>45.795874679897572</v>
      </c>
      <c r="Z64">
        <v>40.094830345710633</v>
      </c>
      <c r="AA64">
        <v>-1.6706559999999999</v>
      </c>
      <c r="AB64">
        <v>0.12842300000000001</v>
      </c>
      <c r="AC64">
        <v>-0.29350100000000001</v>
      </c>
      <c r="AD64">
        <v>-0.63137200000000004</v>
      </c>
      <c r="AE64">
        <v>-1.0562609999999999</v>
      </c>
      <c r="AF64">
        <v>-1.2328589999999999</v>
      </c>
      <c r="AG64">
        <v>0</v>
      </c>
      <c r="AH64">
        <v>1</v>
      </c>
      <c r="AI64">
        <v>0</v>
      </c>
      <c r="AJ64">
        <v>0</v>
      </c>
      <c r="AK64">
        <v>0</v>
      </c>
    </row>
    <row r="65" spans="1:37" x14ac:dyDescent="0.3">
      <c r="A65">
        <v>524</v>
      </c>
      <c r="B65">
        <v>2025</v>
      </c>
      <c r="C65" t="s">
        <v>122</v>
      </c>
      <c r="D65">
        <v>6</v>
      </c>
      <c r="E65">
        <v>4324.8720000000003</v>
      </c>
      <c r="F65">
        <v>14994.050999999999</v>
      </c>
      <c r="G65">
        <v>98.963999999999999</v>
      </c>
      <c r="H65">
        <v>343.101</v>
      </c>
      <c r="I65">
        <v>5.0090000000000003</v>
      </c>
      <c r="J65">
        <v>-1.5349999999999999</v>
      </c>
      <c r="K65">
        <v>-5.6379999999999999</v>
      </c>
      <c r="L65">
        <v>13.682</v>
      </c>
      <c r="M65">
        <v>100.84</v>
      </c>
      <c r="N65">
        <v>1.764</v>
      </c>
      <c r="O65">
        <v>2.1749999999999998</v>
      </c>
      <c r="P65">
        <v>7.8129999999999997</v>
      </c>
      <c r="Q65">
        <v>57.104224528577689</v>
      </c>
      <c r="R65">
        <v>7.3702675047507684</v>
      </c>
      <c r="S65">
        <v>-1.0176000000000001</v>
      </c>
      <c r="T65">
        <v>14.8222</v>
      </c>
      <c r="U65">
        <v>-9.8450000000000006</v>
      </c>
      <c r="V65">
        <v>-0.28019999999999989</v>
      </c>
      <c r="W65">
        <v>4.4825010000000001</v>
      </c>
      <c r="X65">
        <v>12.09699632703034</v>
      </c>
      <c r="Y65">
        <v>83.873329371928733</v>
      </c>
      <c r="Z65">
        <v>6.9334012431264913</v>
      </c>
      <c r="AA65">
        <v>-0.126026</v>
      </c>
      <c r="AB65">
        <v>-0.350302</v>
      </c>
      <c r="AC65">
        <v>-0.27452199999999999</v>
      </c>
      <c r="AD65">
        <v>-0.29921399999999998</v>
      </c>
      <c r="AE65">
        <v>-0.25774599999999998</v>
      </c>
      <c r="AF65">
        <v>-0.38477099999999997</v>
      </c>
      <c r="AG65">
        <v>0</v>
      </c>
      <c r="AH65">
        <v>1</v>
      </c>
      <c r="AI65">
        <v>1</v>
      </c>
      <c r="AJ65">
        <v>1</v>
      </c>
      <c r="AK65">
        <v>0.61656529091383006</v>
      </c>
    </row>
    <row r="66" spans="1:37" x14ac:dyDescent="0.3">
      <c r="A66">
        <v>528</v>
      </c>
      <c r="B66">
        <v>2025</v>
      </c>
      <c r="C66" t="s">
        <v>123</v>
      </c>
      <c r="D66">
        <v>20</v>
      </c>
      <c r="E66">
        <v>37826.620000000003</v>
      </c>
      <c r="F66">
        <v>85126.91</v>
      </c>
      <c r="G66">
        <v>884.38699999999994</v>
      </c>
      <c r="H66">
        <v>1990.268</v>
      </c>
      <c r="I66">
        <v>3.6739999999999999</v>
      </c>
      <c r="J66">
        <v>1.9550000000000001</v>
      </c>
      <c r="K66">
        <v>-0.32300000000000001</v>
      </c>
      <c r="L66">
        <v>16.652000000000001</v>
      </c>
      <c r="M66">
        <v>23.42</v>
      </c>
      <c r="N66">
        <v>13.832000000000001</v>
      </c>
      <c r="O66">
        <v>-0.54732258648091248</v>
      </c>
      <c r="P66">
        <v>-0.22432258648091249</v>
      </c>
      <c r="Q66">
        <v>-1.347120985352585</v>
      </c>
      <c r="R66">
        <v>1.4064376651453281</v>
      </c>
      <c r="S66">
        <v>3.1884000000000001</v>
      </c>
      <c r="T66">
        <v>1.8412999999999999</v>
      </c>
      <c r="U66">
        <v>-1.0670999999999999</v>
      </c>
      <c r="V66">
        <v>13.8817</v>
      </c>
      <c r="W66">
        <v>17.709254999999999</v>
      </c>
      <c r="X66">
        <v>0.38078405025787249</v>
      </c>
      <c r="Y66">
        <v>26.061250202981519</v>
      </c>
      <c r="Z66">
        <v>68.441023686082588</v>
      </c>
      <c r="AA66">
        <v>1.022885</v>
      </c>
      <c r="AB66">
        <v>0.91667200000000004</v>
      </c>
      <c r="AC66">
        <v>1.4952099999999999</v>
      </c>
      <c r="AD66">
        <v>1.295471</v>
      </c>
      <c r="AE66">
        <v>1.2880799999999999</v>
      </c>
      <c r="AF66">
        <v>1.182955</v>
      </c>
      <c r="AG66">
        <v>0</v>
      </c>
      <c r="AH66">
        <v>1</v>
      </c>
      <c r="AI66">
        <v>0</v>
      </c>
      <c r="AJ66">
        <v>0</v>
      </c>
      <c r="AK66">
        <v>0</v>
      </c>
    </row>
    <row r="67" spans="1:37" x14ac:dyDescent="0.3">
      <c r="A67">
        <v>532</v>
      </c>
      <c r="B67">
        <v>2025</v>
      </c>
      <c r="C67" t="s">
        <v>124</v>
      </c>
      <c r="D67">
        <v>19.666666666666671</v>
      </c>
      <c r="E67">
        <v>56843.91</v>
      </c>
      <c r="F67">
        <v>78918.789999999994</v>
      </c>
      <c r="G67">
        <v>428.233</v>
      </c>
      <c r="H67">
        <v>594.53300000000002</v>
      </c>
      <c r="I67">
        <v>2.4380000000000002</v>
      </c>
      <c r="J67">
        <v>3.7770000000000001</v>
      </c>
      <c r="K67">
        <v>-4.8179999999999996</v>
      </c>
      <c r="L67">
        <v>18.472000000000001</v>
      </c>
      <c r="M67">
        <v>11.656000000000001</v>
      </c>
      <c r="N67">
        <v>12.539</v>
      </c>
      <c r="O67">
        <v>-6.0330000000000004</v>
      </c>
      <c r="P67">
        <v>-1.215000000000001</v>
      </c>
      <c r="Q67">
        <v>-6.577522737115638</v>
      </c>
      <c r="R67">
        <v>0.63100909484625378</v>
      </c>
      <c r="S67">
        <v>1.3048999999999999</v>
      </c>
      <c r="T67">
        <v>1.9147000000000001</v>
      </c>
      <c r="U67">
        <v>-3.6814</v>
      </c>
      <c r="V67">
        <v>11.0268</v>
      </c>
      <c r="W67">
        <v>33.496164999999998</v>
      </c>
      <c r="X67">
        <v>4.8891050689390934</v>
      </c>
      <c r="Y67">
        <v>507.3789846517119</v>
      </c>
      <c r="Z67">
        <v>103.77747614284959</v>
      </c>
      <c r="AA67">
        <v>-0.320635</v>
      </c>
      <c r="AB67">
        <v>0.63109899999999997</v>
      </c>
      <c r="AC67">
        <v>1.637453</v>
      </c>
      <c r="AD67">
        <v>1.739924</v>
      </c>
      <c r="AE67">
        <v>0.92098000000000002</v>
      </c>
      <c r="AF67">
        <v>1.572157</v>
      </c>
      <c r="AG67">
        <v>0</v>
      </c>
      <c r="AH67">
        <v>1</v>
      </c>
      <c r="AI67">
        <v>0</v>
      </c>
      <c r="AJ67">
        <v>0</v>
      </c>
      <c r="AK67">
        <v>0</v>
      </c>
    </row>
    <row r="68" spans="1:37" x14ac:dyDescent="0.3">
      <c r="A68">
        <v>534</v>
      </c>
      <c r="B68">
        <v>2025</v>
      </c>
      <c r="C68" t="s">
        <v>125</v>
      </c>
      <c r="D68">
        <v>13.33333333333333</v>
      </c>
      <c r="E68">
        <v>2818.027</v>
      </c>
      <c r="F68">
        <v>12100.965</v>
      </c>
      <c r="G68">
        <v>4125.2129999999997</v>
      </c>
      <c r="H68">
        <v>17714.186000000002</v>
      </c>
      <c r="I68">
        <v>6.6459999999999999</v>
      </c>
      <c r="J68">
        <v>3.2749999999999999</v>
      </c>
      <c r="K68">
        <v>-7.1130000000000004</v>
      </c>
      <c r="L68">
        <v>20.228000000000002</v>
      </c>
      <c r="M68">
        <v>81.361000000000004</v>
      </c>
      <c r="N68">
        <v>-1.004</v>
      </c>
      <c r="O68">
        <v>-1.764</v>
      </c>
      <c r="P68">
        <v>5.3490000000000002</v>
      </c>
      <c r="Q68">
        <v>26.443543602926631</v>
      </c>
      <c r="R68">
        <v>4.0221969547162351</v>
      </c>
      <c r="S68">
        <v>5.9397000000000002</v>
      </c>
      <c r="T68">
        <v>4.5810000000000004</v>
      </c>
      <c r="U68">
        <v>-8.1647999999999996</v>
      </c>
      <c r="V68">
        <v>-1.1164000000000001</v>
      </c>
      <c r="W68">
        <v>9.5227930000000001</v>
      </c>
      <c r="X68">
        <v>1.2486976569057591</v>
      </c>
      <c r="Y68">
        <v>18.218597319326641</v>
      </c>
      <c r="Z68">
        <v>14.590078886246859</v>
      </c>
      <c r="AA68">
        <v>-7.8928999999999999E-2</v>
      </c>
      <c r="AB68">
        <v>-0.78576299999999999</v>
      </c>
      <c r="AC68">
        <v>0.40460499999999999</v>
      </c>
      <c r="AD68">
        <v>-9.6070000000000003E-2</v>
      </c>
      <c r="AE68">
        <v>-3.9229E-2</v>
      </c>
      <c r="AF68">
        <v>-0.29533599999999999</v>
      </c>
      <c r="AG68">
        <v>0</v>
      </c>
      <c r="AH68">
        <v>1</v>
      </c>
      <c r="AI68">
        <v>0</v>
      </c>
      <c r="AJ68">
        <v>0</v>
      </c>
      <c r="AK68">
        <v>0</v>
      </c>
    </row>
    <row r="69" spans="1:37" x14ac:dyDescent="0.3">
      <c r="A69">
        <v>536</v>
      </c>
      <c r="B69">
        <v>2025</v>
      </c>
      <c r="C69" t="s">
        <v>126</v>
      </c>
      <c r="D69">
        <v>14</v>
      </c>
      <c r="E69">
        <v>5074.049</v>
      </c>
      <c r="F69">
        <v>17633.89</v>
      </c>
      <c r="G69">
        <v>1443.2560000000001</v>
      </c>
      <c r="H69">
        <v>5015.7619999999997</v>
      </c>
      <c r="I69">
        <v>4.8609999999999998</v>
      </c>
      <c r="J69">
        <v>2.581</v>
      </c>
      <c r="K69">
        <v>-2.7890000000000001</v>
      </c>
      <c r="L69">
        <v>13.728</v>
      </c>
      <c r="M69">
        <v>40.828000000000003</v>
      </c>
      <c r="N69">
        <v>-1.0529999999999999</v>
      </c>
      <c r="O69">
        <v>-0.499</v>
      </c>
      <c r="P69">
        <v>2.29</v>
      </c>
      <c r="Q69">
        <v>16.681235431235429</v>
      </c>
      <c r="R69">
        <v>2.9740675990675989</v>
      </c>
      <c r="S69">
        <v>4.1853999999999996</v>
      </c>
      <c r="T69">
        <v>2.605</v>
      </c>
      <c r="U69">
        <v>-3.0407999999999999</v>
      </c>
      <c r="V69">
        <v>-0.5635</v>
      </c>
      <c r="W69">
        <v>7.2004937499999997</v>
      </c>
      <c r="X69">
        <v>3.4224453480116912</v>
      </c>
      <c r="Y69">
        <v>30.952825351972908</v>
      </c>
      <c r="Z69">
        <v>9.044067093709856</v>
      </c>
      <c r="AA69">
        <v>-0.175432</v>
      </c>
      <c r="AB69">
        <v>-0.609128</v>
      </c>
      <c r="AC69">
        <v>0.17980399999999999</v>
      </c>
      <c r="AD69">
        <v>0.12472</v>
      </c>
      <c r="AE69">
        <v>-0.206598</v>
      </c>
      <c r="AF69">
        <v>-0.54461499999999996</v>
      </c>
      <c r="AG69">
        <v>0</v>
      </c>
      <c r="AH69">
        <v>1</v>
      </c>
      <c r="AI69">
        <v>0</v>
      </c>
      <c r="AJ69">
        <v>0</v>
      </c>
      <c r="AK69">
        <v>0</v>
      </c>
    </row>
    <row r="70" spans="1:37" x14ac:dyDescent="0.3">
      <c r="A70">
        <v>542</v>
      </c>
      <c r="B70">
        <v>2025</v>
      </c>
      <c r="C70" t="s">
        <v>127</v>
      </c>
      <c r="D70">
        <v>19.666666666666671</v>
      </c>
      <c r="E70">
        <v>35962.339999999997</v>
      </c>
      <c r="F70">
        <v>65080.29</v>
      </c>
      <c r="G70">
        <v>1858.5719999999999</v>
      </c>
      <c r="H70">
        <v>3363.4189999999999</v>
      </c>
      <c r="I70">
        <v>0.89600000000000002</v>
      </c>
      <c r="J70">
        <v>1.88</v>
      </c>
      <c r="K70">
        <v>-1.5169999999999999</v>
      </c>
      <c r="L70">
        <v>22.59</v>
      </c>
      <c r="M70">
        <v>53.37</v>
      </c>
      <c r="N70">
        <v>4.8019999999999996</v>
      </c>
      <c r="O70">
        <v>-1.5740000000000001</v>
      </c>
      <c r="P70">
        <v>-5.7000000000000162E-2</v>
      </c>
      <c r="Q70">
        <v>-0.25232403718459567</v>
      </c>
      <c r="R70">
        <v>2.3625498007968129</v>
      </c>
      <c r="S70">
        <v>1.9262999999999999</v>
      </c>
      <c r="T70">
        <v>2.4262000000000001</v>
      </c>
      <c r="U70">
        <v>-1.1877</v>
      </c>
      <c r="V70">
        <v>3.8881999999999999</v>
      </c>
      <c r="W70">
        <v>7.9466120000000009</v>
      </c>
      <c r="X70">
        <v>1.7188258005143771</v>
      </c>
      <c r="Y70">
        <v>35.982004428722213</v>
      </c>
      <c r="Z70">
        <v>20.934061158468889</v>
      </c>
      <c r="AA70">
        <v>0.80780300000000005</v>
      </c>
      <c r="AB70">
        <v>0.63934999999999997</v>
      </c>
      <c r="AC70">
        <v>1.4867239999999999</v>
      </c>
      <c r="AD70">
        <v>1.013674</v>
      </c>
      <c r="AE70">
        <v>1.1174550000000001</v>
      </c>
      <c r="AF70">
        <v>0.84955899999999995</v>
      </c>
      <c r="AG70">
        <v>0</v>
      </c>
      <c r="AH70">
        <v>1</v>
      </c>
      <c r="AI70">
        <v>0</v>
      </c>
      <c r="AJ70">
        <v>0</v>
      </c>
      <c r="AK70">
        <v>0</v>
      </c>
    </row>
    <row r="71" spans="1:37" x14ac:dyDescent="0.3">
      <c r="A71">
        <v>544</v>
      </c>
      <c r="B71">
        <v>2025</v>
      </c>
      <c r="C71" t="s">
        <v>129</v>
      </c>
      <c r="D71">
        <v>4</v>
      </c>
      <c r="E71">
        <v>2174.3910000000001</v>
      </c>
      <c r="F71">
        <v>10212.325999999999</v>
      </c>
      <c r="G71">
        <v>16.934000000000001</v>
      </c>
      <c r="H71">
        <v>79.531000000000006</v>
      </c>
      <c r="I71">
        <v>3.4870000000000001</v>
      </c>
      <c r="J71">
        <v>4.992</v>
      </c>
      <c r="K71">
        <v>0.442</v>
      </c>
      <c r="L71">
        <v>16.920000000000002</v>
      </c>
      <c r="M71">
        <v>90.674999999999997</v>
      </c>
      <c r="N71">
        <v>5.3339999999999996</v>
      </c>
      <c r="O71">
        <v>4.0449999999999999</v>
      </c>
      <c r="P71">
        <v>3.6030000000000002</v>
      </c>
      <c r="Q71">
        <v>21.294326241134751</v>
      </c>
      <c r="R71">
        <v>5.3590425531914887</v>
      </c>
      <c r="S71">
        <v>2.5255000000000001</v>
      </c>
      <c r="T71">
        <v>12.3117</v>
      </c>
      <c r="U71">
        <v>0.20890000000000011</v>
      </c>
      <c r="V71">
        <v>1.4489000000000001</v>
      </c>
      <c r="W71">
        <v>7.0743530000000003</v>
      </c>
      <c r="X71">
        <v>5.7781721854304644</v>
      </c>
      <c r="Y71">
        <v>97.519168436347385</v>
      </c>
      <c r="Z71">
        <v>16.877165530345369</v>
      </c>
      <c r="AA71">
        <v>-1.4711829999999999</v>
      </c>
      <c r="AB71">
        <v>0.55766000000000004</v>
      </c>
      <c r="AC71">
        <v>-0.581901</v>
      </c>
      <c r="AD71">
        <v>-0.63602800000000004</v>
      </c>
      <c r="AE71">
        <v>-0.74241699999999999</v>
      </c>
      <c r="AF71">
        <v>-0.97989599999999999</v>
      </c>
      <c r="AG71">
        <v>0</v>
      </c>
      <c r="AH71">
        <v>1</v>
      </c>
      <c r="AI71">
        <v>0</v>
      </c>
      <c r="AJ71">
        <v>0</v>
      </c>
      <c r="AK71">
        <v>0</v>
      </c>
    </row>
    <row r="72" spans="1:37" x14ac:dyDescent="0.3">
      <c r="A72">
        <v>546</v>
      </c>
      <c r="B72">
        <v>2025</v>
      </c>
      <c r="C72" t="s">
        <v>130</v>
      </c>
      <c r="D72">
        <v>19.5</v>
      </c>
      <c r="E72">
        <v>74920.67</v>
      </c>
      <c r="F72">
        <v>132648.29</v>
      </c>
      <c r="G72">
        <v>52.378999999999998</v>
      </c>
      <c r="H72">
        <v>92.738</v>
      </c>
      <c r="I72">
        <v>2.593</v>
      </c>
      <c r="J72">
        <v>0.5</v>
      </c>
      <c r="K72">
        <v>4.13</v>
      </c>
      <c r="L72">
        <v>30.481000000000002</v>
      </c>
      <c r="M72">
        <v>0</v>
      </c>
      <c r="N72">
        <v>35.511000000000003</v>
      </c>
      <c r="O72">
        <v>-37.034999999999997</v>
      </c>
      <c r="P72">
        <v>0</v>
      </c>
      <c r="Q72">
        <v>0</v>
      </c>
      <c r="R72">
        <v>0</v>
      </c>
      <c r="S72">
        <v>4.8187000000000006</v>
      </c>
      <c r="T72">
        <v>1.0226999999999999</v>
      </c>
      <c r="U72">
        <v>-3.1259000000000001</v>
      </c>
      <c r="V72">
        <v>27.709199999999999</v>
      </c>
      <c r="W72">
        <v>21.917107932635691</v>
      </c>
      <c r="X72">
        <v>4.3083779004057838</v>
      </c>
      <c r="Y72">
        <v>254.67242680350131</v>
      </c>
      <c r="Z72">
        <v>59.110976959452657</v>
      </c>
      <c r="AA72">
        <v>6.3617000000000007E-2</v>
      </c>
      <c r="AB72">
        <v>1.0538719999999999</v>
      </c>
      <c r="AC72">
        <v>1.1159269999999999</v>
      </c>
      <c r="AD72">
        <v>1.371391</v>
      </c>
      <c r="AE72">
        <v>0.85209800000000002</v>
      </c>
      <c r="AF72">
        <v>0.573384</v>
      </c>
      <c r="AG72">
        <v>0</v>
      </c>
      <c r="AH72">
        <v>1</v>
      </c>
      <c r="AI72">
        <v>0</v>
      </c>
      <c r="AJ72">
        <v>0</v>
      </c>
      <c r="AK72">
        <v>0</v>
      </c>
    </row>
    <row r="73" spans="1:37" x14ac:dyDescent="0.3">
      <c r="A73">
        <v>548</v>
      </c>
      <c r="B73">
        <v>2025</v>
      </c>
      <c r="C73" t="s">
        <v>131</v>
      </c>
      <c r="D73">
        <v>15.66666666666667</v>
      </c>
      <c r="E73">
        <v>13900.84</v>
      </c>
      <c r="F73">
        <v>43664.71</v>
      </c>
      <c r="G73">
        <v>470.572</v>
      </c>
      <c r="H73">
        <v>1478.1389999999999</v>
      </c>
      <c r="I73">
        <v>4.5</v>
      </c>
      <c r="J73">
        <v>2.363</v>
      </c>
      <c r="K73">
        <v>-3.605</v>
      </c>
      <c r="L73">
        <v>19.760000000000002</v>
      </c>
      <c r="M73">
        <v>70.438000000000002</v>
      </c>
      <c r="N73">
        <v>1.522</v>
      </c>
      <c r="O73">
        <v>-1.5009999999999999</v>
      </c>
      <c r="P73">
        <v>2.1040000000000001</v>
      </c>
      <c r="Q73">
        <v>10.647773279352229</v>
      </c>
      <c r="R73">
        <v>3.5646761133603242</v>
      </c>
      <c r="S73">
        <v>3.6032000000000002</v>
      </c>
      <c r="T73">
        <v>1.9207000000000001</v>
      </c>
      <c r="U73">
        <v>-4.1501000000000001</v>
      </c>
      <c r="V73">
        <v>2.3321999999999998</v>
      </c>
      <c r="W73">
        <v>5.4864199999999999</v>
      </c>
      <c r="X73">
        <v>2.736968484502968</v>
      </c>
      <c r="Y73">
        <v>66.52700167534617</v>
      </c>
      <c r="Z73">
        <v>24.306820503060131</v>
      </c>
      <c r="AA73">
        <v>-0.12672</v>
      </c>
      <c r="AB73">
        <v>0.38478000000000001</v>
      </c>
      <c r="AC73">
        <v>0.91477299999999995</v>
      </c>
      <c r="AD73">
        <v>0.68047599999999997</v>
      </c>
      <c r="AE73">
        <v>0.345136</v>
      </c>
      <c r="AF73">
        <v>0.49839699999999998</v>
      </c>
      <c r="AG73">
        <v>0</v>
      </c>
      <c r="AH73">
        <v>1</v>
      </c>
      <c r="AI73">
        <v>0</v>
      </c>
      <c r="AJ73">
        <v>0</v>
      </c>
      <c r="AK73">
        <v>0</v>
      </c>
    </row>
    <row r="74" spans="1:37" x14ac:dyDescent="0.3">
      <c r="A74">
        <v>556</v>
      </c>
      <c r="B74">
        <v>2025</v>
      </c>
      <c r="C74" t="s">
        <v>132</v>
      </c>
      <c r="D74">
        <v>4</v>
      </c>
      <c r="E74">
        <v>18683.901999999998</v>
      </c>
      <c r="F74">
        <v>36065.760000000002</v>
      </c>
      <c r="G74">
        <v>7.6760000000000002</v>
      </c>
      <c r="H74">
        <v>14.816000000000001</v>
      </c>
      <c r="I74">
        <v>4.7859999999999996</v>
      </c>
      <c r="J74">
        <v>3</v>
      </c>
      <c r="K74">
        <v>-9.39</v>
      </c>
      <c r="L74">
        <v>31.757999999999999</v>
      </c>
      <c r="M74">
        <v>131.81899999999999</v>
      </c>
      <c r="N74">
        <v>-12.475</v>
      </c>
      <c r="O74">
        <v>-5.8570000000000002</v>
      </c>
      <c r="P74">
        <v>3.5329999999999999</v>
      </c>
      <c r="Q74">
        <v>11.124755967000439</v>
      </c>
      <c r="R74">
        <v>4.1507336734051261</v>
      </c>
      <c r="S74">
        <v>4.7988</v>
      </c>
      <c r="T74">
        <v>1.8653</v>
      </c>
      <c r="U74">
        <v>-13.2713</v>
      </c>
      <c r="V74">
        <v>-15.2822</v>
      </c>
      <c r="W74">
        <v>2.5195720000000001</v>
      </c>
      <c r="X74">
        <v>8.0621755319148942</v>
      </c>
      <c r="Y74">
        <v>82.971889968523342</v>
      </c>
      <c r="Z74">
        <v>10.291501300123169</v>
      </c>
      <c r="AA74">
        <v>-0.41187499999999999</v>
      </c>
      <c r="AB74">
        <v>-5.4455999999999997E-2</v>
      </c>
      <c r="AC74">
        <v>-0.22128700000000001</v>
      </c>
      <c r="AD74">
        <v>-0.235351</v>
      </c>
      <c r="AE74">
        <v>4.4349E-2</v>
      </c>
      <c r="AF74">
        <v>-0.33595399999999997</v>
      </c>
      <c r="AG74">
        <v>0</v>
      </c>
      <c r="AH74">
        <v>1</v>
      </c>
      <c r="AI74">
        <v>0</v>
      </c>
      <c r="AJ74">
        <v>0</v>
      </c>
      <c r="AK74">
        <v>0</v>
      </c>
    </row>
    <row r="75" spans="1:37" x14ac:dyDescent="0.3">
      <c r="A75">
        <v>564</v>
      </c>
      <c r="B75">
        <v>2025</v>
      </c>
      <c r="C75" t="s">
        <v>134</v>
      </c>
      <c r="D75">
        <v>6.6666666666666679</v>
      </c>
      <c r="E75">
        <v>1706.912</v>
      </c>
      <c r="F75">
        <v>6949.8990000000003</v>
      </c>
      <c r="G75">
        <v>410.495</v>
      </c>
      <c r="H75">
        <v>1671.3810000000001</v>
      </c>
      <c r="I75">
        <v>2.6760000000000002</v>
      </c>
      <c r="J75">
        <v>3.2349999999999999</v>
      </c>
      <c r="K75">
        <v>-5.335</v>
      </c>
      <c r="L75">
        <v>15.734999999999999</v>
      </c>
      <c r="M75">
        <v>71.554000000000002</v>
      </c>
      <c r="N75">
        <v>0.51500000000000001</v>
      </c>
      <c r="O75">
        <v>2.4140000000000001</v>
      </c>
      <c r="P75">
        <v>7.7490000000000014</v>
      </c>
      <c r="Q75">
        <v>49.246901811248811</v>
      </c>
      <c r="R75">
        <v>4.5474420082618368</v>
      </c>
      <c r="S75">
        <v>3.2658</v>
      </c>
      <c r="T75">
        <v>11.2226</v>
      </c>
      <c r="U75">
        <v>-5.5143000000000004</v>
      </c>
      <c r="V75">
        <v>-1.0521</v>
      </c>
      <c r="W75">
        <v>4.6936080000000002</v>
      </c>
      <c r="X75">
        <v>6.657186520065097</v>
      </c>
      <c r="Y75">
        <v>38.100912116496467</v>
      </c>
      <c r="Z75">
        <v>5.7232754410077584</v>
      </c>
      <c r="AA75">
        <v>-1.1663300000000001</v>
      </c>
      <c r="AB75">
        <v>-2.063431</v>
      </c>
      <c r="AC75">
        <v>-0.60032700000000006</v>
      </c>
      <c r="AD75">
        <v>-0.79280399999999995</v>
      </c>
      <c r="AE75">
        <v>-1.017096</v>
      </c>
      <c r="AF75">
        <v>-1.0656239999999999</v>
      </c>
      <c r="AG75">
        <v>0</v>
      </c>
      <c r="AH75">
        <v>1</v>
      </c>
      <c r="AI75">
        <v>1</v>
      </c>
      <c r="AJ75">
        <v>1</v>
      </c>
      <c r="AK75">
        <v>1.512929290198174E-2</v>
      </c>
    </row>
    <row r="76" spans="1:37" x14ac:dyDescent="0.3">
      <c r="A76">
        <v>566</v>
      </c>
      <c r="B76">
        <v>2025</v>
      </c>
      <c r="C76" t="s">
        <v>135</v>
      </c>
      <c r="D76">
        <v>14.33333333333333</v>
      </c>
      <c r="E76">
        <v>4320.5569999999998</v>
      </c>
      <c r="F76">
        <v>12920.04</v>
      </c>
      <c r="G76">
        <v>494.15800000000002</v>
      </c>
      <c r="H76">
        <v>1477.711</v>
      </c>
      <c r="I76">
        <v>5.4349999999999996</v>
      </c>
      <c r="J76">
        <v>1.5</v>
      </c>
      <c r="K76">
        <v>-3.5720000000000001</v>
      </c>
      <c r="L76">
        <v>20.422999999999998</v>
      </c>
      <c r="M76">
        <v>58.17</v>
      </c>
      <c r="N76">
        <v>-3.81</v>
      </c>
      <c r="O76">
        <v>-0.92200000000000004</v>
      </c>
      <c r="P76">
        <v>2.65</v>
      </c>
      <c r="Q76">
        <v>12.97556676296333</v>
      </c>
      <c r="R76">
        <v>2.8482593154776481</v>
      </c>
      <c r="S76">
        <v>4.4164000000000003</v>
      </c>
      <c r="T76">
        <v>3.4845000000000002</v>
      </c>
      <c r="U76">
        <v>-3.872199999999999</v>
      </c>
      <c r="V76">
        <v>-2.6055999999999999</v>
      </c>
      <c r="W76">
        <v>8.146325749999999</v>
      </c>
      <c r="X76">
        <v>1.44471926361735</v>
      </c>
      <c r="Y76">
        <v>26.153252271854601</v>
      </c>
      <c r="Z76">
        <v>18.102653526174329</v>
      </c>
      <c r="AA76">
        <v>-0.35543599999999997</v>
      </c>
      <c r="AB76">
        <v>-0.77414799999999995</v>
      </c>
      <c r="AC76">
        <v>0.14452100000000001</v>
      </c>
      <c r="AD76">
        <v>7.9296000000000005E-2</v>
      </c>
      <c r="AE76">
        <v>-0.57396800000000003</v>
      </c>
      <c r="AF76">
        <v>-0.57661700000000005</v>
      </c>
      <c r="AG76">
        <v>0</v>
      </c>
      <c r="AH76">
        <v>1</v>
      </c>
      <c r="AI76">
        <v>0</v>
      </c>
      <c r="AJ76">
        <v>0</v>
      </c>
      <c r="AK76">
        <v>0</v>
      </c>
    </row>
    <row r="77" spans="1:37" x14ac:dyDescent="0.3">
      <c r="A77">
        <v>576</v>
      </c>
      <c r="B77">
        <v>2025</v>
      </c>
      <c r="C77" t="s">
        <v>136</v>
      </c>
      <c r="D77">
        <v>22</v>
      </c>
      <c r="E77">
        <v>94480.8</v>
      </c>
      <c r="F77">
        <v>156969.07</v>
      </c>
      <c r="G77">
        <v>574.18499999999995</v>
      </c>
      <c r="H77">
        <v>953.94299999999998</v>
      </c>
      <c r="I77">
        <v>2.226</v>
      </c>
      <c r="J77">
        <v>1.1000000000000001</v>
      </c>
      <c r="K77">
        <v>3.1080000000000001</v>
      </c>
      <c r="L77">
        <v>19.933</v>
      </c>
      <c r="M77">
        <v>175.614</v>
      </c>
      <c r="N77">
        <v>17.399999999999999</v>
      </c>
      <c r="O77">
        <v>5.2960161729549373</v>
      </c>
      <c r="P77">
        <v>2.1880161729549372</v>
      </c>
      <c r="Q77">
        <v>10.9768533234081</v>
      </c>
      <c r="R77">
        <v>8.8102142176290581</v>
      </c>
      <c r="S77">
        <v>2.7806999999999999</v>
      </c>
      <c r="T77">
        <v>2.3933</v>
      </c>
      <c r="U77">
        <v>1.5719000000000001</v>
      </c>
      <c r="V77">
        <v>17.690000000000001</v>
      </c>
      <c r="W77">
        <v>9.7042339999999996</v>
      </c>
      <c r="X77">
        <v>6.0327132967657304</v>
      </c>
      <c r="Y77">
        <v>398.89285905515658</v>
      </c>
      <c r="Z77">
        <v>66.12163373800837</v>
      </c>
      <c r="AA77">
        <v>3.8300000000000001E-2</v>
      </c>
      <c r="AB77">
        <v>1.231878</v>
      </c>
      <c r="AC77">
        <v>2.2796270000000001</v>
      </c>
      <c r="AD77">
        <v>2.13212</v>
      </c>
      <c r="AE77">
        <v>1.431176</v>
      </c>
      <c r="AF77">
        <v>1.9681219999999999</v>
      </c>
      <c r="AG77">
        <v>0</v>
      </c>
      <c r="AH77">
        <v>1</v>
      </c>
      <c r="AI77">
        <v>0</v>
      </c>
      <c r="AJ77">
        <v>0</v>
      </c>
      <c r="AK77">
        <v>0</v>
      </c>
    </row>
    <row r="78" spans="1:37" x14ac:dyDescent="0.3">
      <c r="A78">
        <v>578</v>
      </c>
      <c r="B78">
        <v>2025</v>
      </c>
      <c r="C78" t="s">
        <v>137</v>
      </c>
      <c r="D78">
        <v>15</v>
      </c>
      <c r="E78">
        <v>7942.299</v>
      </c>
      <c r="F78">
        <v>26358.58</v>
      </c>
      <c r="G78">
        <v>558.57299999999998</v>
      </c>
      <c r="H78">
        <v>1853.771</v>
      </c>
      <c r="I78">
        <v>2</v>
      </c>
      <c r="J78">
        <v>0.59499999999999997</v>
      </c>
      <c r="K78">
        <v>-2.5950000000000002</v>
      </c>
      <c r="L78">
        <v>20.92</v>
      </c>
      <c r="M78">
        <v>64.935000000000002</v>
      </c>
      <c r="N78">
        <v>1.6619999999999999</v>
      </c>
      <c r="O78">
        <v>-1.288</v>
      </c>
      <c r="P78">
        <v>1.3069999999999999</v>
      </c>
      <c r="Q78">
        <v>6.2476099426386238</v>
      </c>
      <c r="R78">
        <v>3.103967495219885</v>
      </c>
      <c r="S78">
        <v>1.3219000000000001</v>
      </c>
      <c r="T78">
        <v>1.4492</v>
      </c>
      <c r="U78">
        <v>-3.1395</v>
      </c>
      <c r="V78">
        <v>1.137</v>
      </c>
      <c r="W78">
        <v>9.0343855000000008</v>
      </c>
      <c r="X78">
        <v>0.83269402860722364</v>
      </c>
      <c r="Y78">
        <v>35.709821693236712</v>
      </c>
      <c r="Z78">
        <v>42.884685690571708</v>
      </c>
      <c r="AA78">
        <v>-0.55984</v>
      </c>
      <c r="AB78">
        <v>-0.68333100000000002</v>
      </c>
      <c r="AC78">
        <v>0.25363999999999998</v>
      </c>
      <c r="AD78">
        <v>0.10641200000000001</v>
      </c>
      <c r="AE78">
        <v>-0.21551000000000001</v>
      </c>
      <c r="AF78">
        <v>-0.52734599999999998</v>
      </c>
      <c r="AG78">
        <v>0</v>
      </c>
      <c r="AH78">
        <v>1</v>
      </c>
      <c r="AI78">
        <v>0</v>
      </c>
      <c r="AJ78">
        <v>0</v>
      </c>
      <c r="AK78">
        <v>0</v>
      </c>
    </row>
    <row r="79" spans="1:37" x14ac:dyDescent="0.3">
      <c r="A79">
        <v>582</v>
      </c>
      <c r="B79">
        <v>2025</v>
      </c>
      <c r="C79" t="s">
        <v>138</v>
      </c>
      <c r="D79">
        <v>11.66666666666667</v>
      </c>
      <c r="E79">
        <v>4744.7250000000004</v>
      </c>
      <c r="F79">
        <v>17688.249</v>
      </c>
      <c r="G79">
        <v>484.726</v>
      </c>
      <c r="H79">
        <v>1807.05</v>
      </c>
      <c r="I79">
        <v>6.4569999999999999</v>
      </c>
      <c r="J79">
        <v>3.39</v>
      </c>
      <c r="K79">
        <v>-3.2589999999999999</v>
      </c>
      <c r="L79">
        <v>18.437999999999999</v>
      </c>
      <c r="M79">
        <v>32.045000000000002</v>
      </c>
      <c r="N79">
        <v>4.0469999999999997</v>
      </c>
      <c r="O79">
        <v>-2.4079999999999999</v>
      </c>
      <c r="P79">
        <v>0.85099999999999998</v>
      </c>
      <c r="Q79">
        <v>4.6154680551035909</v>
      </c>
      <c r="R79">
        <v>1.737986766460571</v>
      </c>
      <c r="S79">
        <v>5.4824999999999999</v>
      </c>
      <c r="T79">
        <v>2.9521999999999999</v>
      </c>
      <c r="U79">
        <v>-1.8725000000000001</v>
      </c>
      <c r="V79">
        <v>2.6299000000000001</v>
      </c>
      <c r="W79">
        <v>3.1</v>
      </c>
      <c r="X79">
        <v>1.544579736950267</v>
      </c>
      <c r="Y79">
        <v>28.569297201959881</v>
      </c>
      <c r="Z79">
        <v>18.49648581974099</v>
      </c>
      <c r="AA79">
        <v>-1.098309</v>
      </c>
      <c r="AB79">
        <v>5.6740000000000002E-3</v>
      </c>
      <c r="AC79">
        <v>-9.2297000000000004E-2</v>
      </c>
      <c r="AD79">
        <v>-0.26680599999999999</v>
      </c>
      <c r="AE79">
        <v>-0.31393399999999999</v>
      </c>
      <c r="AF79">
        <v>-0.25169900000000001</v>
      </c>
      <c r="AG79">
        <v>0</v>
      </c>
      <c r="AH79">
        <v>1</v>
      </c>
      <c r="AI79">
        <v>0</v>
      </c>
      <c r="AJ79">
        <v>0</v>
      </c>
      <c r="AK79">
        <v>0</v>
      </c>
    </row>
    <row r="80" spans="1:37" x14ac:dyDescent="0.3">
      <c r="A80">
        <v>612</v>
      </c>
      <c r="B80">
        <v>2025</v>
      </c>
      <c r="C80" t="s">
        <v>139</v>
      </c>
      <c r="E80">
        <v>6095.32</v>
      </c>
      <c r="F80">
        <v>18509.45</v>
      </c>
      <c r="G80">
        <v>288.01299999999998</v>
      </c>
      <c r="H80">
        <v>874.59900000000005</v>
      </c>
      <c r="I80">
        <v>3.3570000000000002</v>
      </c>
      <c r="J80">
        <v>4.6079999999999997</v>
      </c>
      <c r="K80">
        <v>-11.542999999999999</v>
      </c>
      <c r="L80">
        <v>24.082999999999998</v>
      </c>
      <c r="M80">
        <v>54.048000000000002</v>
      </c>
      <c r="N80">
        <v>-3.6789999999999998</v>
      </c>
      <c r="O80">
        <v>-10.513</v>
      </c>
      <c r="P80">
        <v>1.0299999999999989</v>
      </c>
      <c r="Q80">
        <v>4.2768758045094026</v>
      </c>
      <c r="R80">
        <v>2.2442386745837308</v>
      </c>
      <c r="S80">
        <v>2.44</v>
      </c>
      <c r="T80">
        <v>5.107899999999999</v>
      </c>
      <c r="U80">
        <v>-9.3296000000000028</v>
      </c>
      <c r="V80">
        <v>-2.1480000000000001</v>
      </c>
      <c r="W80">
        <v>15.1725525</v>
      </c>
      <c r="X80">
        <v>0.1392975085756234</v>
      </c>
      <c r="Y80">
        <v>2.8387785370314291</v>
      </c>
      <c r="Z80">
        <v>20.379248459352599</v>
      </c>
      <c r="AA80">
        <v>-1.0484059999999999</v>
      </c>
      <c r="AB80">
        <v>-0.69358799999999998</v>
      </c>
      <c r="AC80">
        <v>-0.251191</v>
      </c>
      <c r="AD80">
        <v>-0.75264699999999995</v>
      </c>
      <c r="AE80">
        <v>-0.69677699999999998</v>
      </c>
      <c r="AF80">
        <v>-0.59339500000000001</v>
      </c>
      <c r="AG80">
        <v>0</v>
      </c>
      <c r="AH80">
        <v>1</v>
      </c>
      <c r="AI80">
        <v>0</v>
      </c>
      <c r="AJ80">
        <v>0</v>
      </c>
      <c r="AK80">
        <v>0</v>
      </c>
    </row>
    <row r="81" spans="1:37" x14ac:dyDescent="0.3">
      <c r="A81">
        <v>614</v>
      </c>
      <c r="B81">
        <v>2025</v>
      </c>
      <c r="C81" t="s">
        <v>140</v>
      </c>
      <c r="D81">
        <v>7</v>
      </c>
      <c r="E81">
        <v>2930.6869999999999</v>
      </c>
      <c r="F81">
        <v>10216.56</v>
      </c>
      <c r="G81">
        <v>115.167</v>
      </c>
      <c r="H81">
        <v>401.48</v>
      </c>
      <c r="I81">
        <v>2.09</v>
      </c>
      <c r="J81">
        <v>20.010000000000002</v>
      </c>
      <c r="K81">
        <v>-2.7589999999999999</v>
      </c>
      <c r="L81">
        <v>15.563000000000001</v>
      </c>
      <c r="M81">
        <v>62.366</v>
      </c>
      <c r="N81">
        <v>0.94</v>
      </c>
      <c r="O81">
        <v>1.609</v>
      </c>
      <c r="P81">
        <v>4.3680000000000003</v>
      </c>
      <c r="Q81">
        <v>28.066568142388999</v>
      </c>
      <c r="R81">
        <v>4.0073250658613384</v>
      </c>
      <c r="S81">
        <v>2.0472000000000001</v>
      </c>
      <c r="T81">
        <v>17.6968</v>
      </c>
      <c r="U81">
        <v>-1.4375</v>
      </c>
      <c r="V81">
        <v>3.2515000000000009</v>
      </c>
      <c r="W81">
        <v>10.51413</v>
      </c>
      <c r="X81">
        <v>4.7885308277682874</v>
      </c>
      <c r="Y81">
        <v>46.909097824433289</v>
      </c>
      <c r="Z81">
        <v>9.7961357066788377</v>
      </c>
      <c r="AA81">
        <v>-1.0588930000000001</v>
      </c>
      <c r="AB81">
        <v>-0.57359599999999999</v>
      </c>
      <c r="AC81">
        <v>-0.78519099999999997</v>
      </c>
      <c r="AD81">
        <v>-0.77302000000000004</v>
      </c>
      <c r="AE81">
        <v>-1.1697409999999999</v>
      </c>
      <c r="AF81">
        <v>-0.62257899999999999</v>
      </c>
      <c r="AG81">
        <v>0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>
        <v>616</v>
      </c>
      <c r="B82">
        <v>2025</v>
      </c>
      <c r="C82" t="s">
        <v>142</v>
      </c>
      <c r="D82">
        <v>15</v>
      </c>
      <c r="E82">
        <v>6943.1570000000002</v>
      </c>
      <c r="F82">
        <v>19053.099999999999</v>
      </c>
      <c r="G82">
        <v>19.186</v>
      </c>
      <c r="H82">
        <v>52.65</v>
      </c>
      <c r="I82">
        <v>-0.877</v>
      </c>
      <c r="J82">
        <v>5</v>
      </c>
      <c r="K82">
        <v>-10.148</v>
      </c>
      <c r="L82">
        <v>24.085000000000001</v>
      </c>
      <c r="M82">
        <v>38.798000000000002</v>
      </c>
      <c r="N82">
        <v>-7.6</v>
      </c>
      <c r="O82">
        <v>-8.5619999999999994</v>
      </c>
      <c r="P82">
        <v>1.5860000000000001</v>
      </c>
      <c r="Q82">
        <v>6.5850114178949566</v>
      </c>
      <c r="R82">
        <v>1.610878139921113</v>
      </c>
      <c r="S82">
        <v>2.4788000000000001</v>
      </c>
      <c r="T82">
        <v>5.1560000000000006</v>
      </c>
      <c r="U82">
        <v>-6.4628999999999994</v>
      </c>
      <c r="V82">
        <v>-3.7727999999999988</v>
      </c>
      <c r="W82">
        <v>6.1849400000000001</v>
      </c>
      <c r="X82">
        <v>1.6189004492787891</v>
      </c>
      <c r="Y82">
        <v>29.081343980970178</v>
      </c>
      <c r="Z82">
        <v>17.9636394528927</v>
      </c>
      <c r="AA82">
        <v>0.295265</v>
      </c>
      <c r="AB82">
        <v>1.032294</v>
      </c>
      <c r="AC82">
        <v>0.41688900000000001</v>
      </c>
      <c r="AD82">
        <v>0.40193400000000001</v>
      </c>
      <c r="AE82">
        <v>0.31208399999999997</v>
      </c>
      <c r="AF82">
        <v>0.63114099999999995</v>
      </c>
      <c r="AG82">
        <v>0</v>
      </c>
      <c r="AH82">
        <v>1</v>
      </c>
      <c r="AI82">
        <v>0</v>
      </c>
      <c r="AJ82">
        <v>0</v>
      </c>
      <c r="AK82">
        <v>0</v>
      </c>
    </row>
    <row r="83" spans="1:37" x14ac:dyDescent="0.3">
      <c r="A83">
        <v>622</v>
      </c>
      <c r="B83">
        <v>2025</v>
      </c>
      <c r="C83" t="s">
        <v>143</v>
      </c>
      <c r="D83">
        <v>7</v>
      </c>
      <c r="E83">
        <v>2027.3989999999999</v>
      </c>
      <c r="F83">
        <v>5791.09</v>
      </c>
      <c r="G83">
        <v>60.576999999999998</v>
      </c>
      <c r="H83">
        <v>173.03399999999999</v>
      </c>
      <c r="I83">
        <v>3.7959999999999998</v>
      </c>
      <c r="J83">
        <v>3.6</v>
      </c>
      <c r="K83">
        <v>-0.83899999999999997</v>
      </c>
      <c r="L83">
        <v>15.044</v>
      </c>
      <c r="M83">
        <v>37.915999999999997</v>
      </c>
      <c r="N83">
        <v>-3.3610000000000002</v>
      </c>
      <c r="O83">
        <v>0.38600000000000001</v>
      </c>
      <c r="P83">
        <v>1.2250000000000001</v>
      </c>
      <c r="Q83">
        <v>8.1427811752193566</v>
      </c>
      <c r="R83">
        <v>2.5203403350172819</v>
      </c>
      <c r="S83">
        <v>3.5289000000000001</v>
      </c>
      <c r="T83">
        <v>3.809600000000001</v>
      </c>
      <c r="U83">
        <v>-1.4823999999999999</v>
      </c>
      <c r="V83">
        <v>-3.6387999999999998</v>
      </c>
      <c r="W83">
        <v>7.044861</v>
      </c>
      <c r="X83">
        <v>4.0494162210338676</v>
      </c>
      <c r="Y83">
        <v>32.18193086839495</v>
      </c>
      <c r="Z83">
        <v>7.9473013174670637</v>
      </c>
      <c r="AA83">
        <v>-1.2417670000000001</v>
      </c>
      <c r="AB83">
        <v>-1.5568040000000001</v>
      </c>
      <c r="AC83">
        <v>-0.80078899999999997</v>
      </c>
      <c r="AD83">
        <v>-0.72867199999999999</v>
      </c>
      <c r="AE83">
        <v>-1.253722</v>
      </c>
      <c r="AF83">
        <v>-1.2242850000000001</v>
      </c>
      <c r="AG83">
        <v>0</v>
      </c>
      <c r="AH83">
        <v>1</v>
      </c>
      <c r="AI83">
        <v>0</v>
      </c>
      <c r="AJ83">
        <v>0</v>
      </c>
      <c r="AK83">
        <v>0</v>
      </c>
    </row>
    <row r="84" spans="1:37" x14ac:dyDescent="0.3">
      <c r="A84">
        <v>624</v>
      </c>
      <c r="B84">
        <v>2025</v>
      </c>
      <c r="C84" t="s">
        <v>144</v>
      </c>
      <c r="D84">
        <v>8</v>
      </c>
      <c r="E84">
        <v>5671.0010000000002</v>
      </c>
      <c r="F84">
        <v>12335.268</v>
      </c>
      <c r="G84">
        <v>2.915</v>
      </c>
      <c r="H84">
        <v>6.34</v>
      </c>
      <c r="I84">
        <v>5.1859999999999999</v>
      </c>
      <c r="J84">
        <v>2</v>
      </c>
      <c r="K84">
        <v>-1.5840000000000001</v>
      </c>
      <c r="L84">
        <v>26.489000000000001</v>
      </c>
      <c r="M84">
        <v>106.018</v>
      </c>
      <c r="N84">
        <v>-0.872</v>
      </c>
      <c r="O84">
        <v>0.442</v>
      </c>
      <c r="P84">
        <v>2.0259999999999998</v>
      </c>
      <c r="Q84">
        <v>7.6484578504284801</v>
      </c>
      <c r="R84">
        <v>4.002340594208917</v>
      </c>
      <c r="S84">
        <v>3.8399000000000001</v>
      </c>
      <c r="T84">
        <v>2.4931000000000001</v>
      </c>
      <c r="U84">
        <v>-2.5396999999999998</v>
      </c>
      <c r="V84">
        <v>-4.2984</v>
      </c>
      <c r="W84">
        <v>8.0378399999999992</v>
      </c>
      <c r="X84">
        <v>3.056653215636822</v>
      </c>
      <c r="Y84">
        <v>78.520440557175249</v>
      </c>
      <c r="Z84">
        <v>25.688370586329771</v>
      </c>
      <c r="AA84">
        <v>0.79108000000000001</v>
      </c>
      <c r="AB84">
        <v>0.76958300000000002</v>
      </c>
      <c r="AC84">
        <v>0.41519499999999998</v>
      </c>
      <c r="AD84">
        <v>4.5143000000000003E-2</v>
      </c>
      <c r="AE84">
        <v>0.42420099999999999</v>
      </c>
      <c r="AF84">
        <v>0.94076800000000005</v>
      </c>
      <c r="AG84">
        <v>0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>
        <v>634</v>
      </c>
      <c r="B85">
        <v>2025</v>
      </c>
      <c r="C85" t="s">
        <v>145</v>
      </c>
      <c r="D85">
        <v>5.6666666666666679</v>
      </c>
      <c r="E85">
        <v>2419.7640000000001</v>
      </c>
      <c r="F85">
        <v>6515.3580000000002</v>
      </c>
      <c r="G85">
        <v>15.695</v>
      </c>
      <c r="H85">
        <v>42.259</v>
      </c>
      <c r="I85">
        <v>2.6539999999999999</v>
      </c>
      <c r="J85">
        <v>3.4</v>
      </c>
      <c r="K85">
        <v>3.2309999999999999</v>
      </c>
      <c r="L85">
        <v>25.13</v>
      </c>
      <c r="M85">
        <v>93.144999999999996</v>
      </c>
      <c r="N85">
        <v>-5.8650000000000002</v>
      </c>
      <c r="O85">
        <v>6.6769999999999996</v>
      </c>
      <c r="P85">
        <v>3.4460000000000002</v>
      </c>
      <c r="Q85">
        <v>13.712693991245519</v>
      </c>
      <c r="R85">
        <v>3.7065260644647831</v>
      </c>
      <c r="S85">
        <v>1.6780999999999999</v>
      </c>
      <c r="T85">
        <v>3.2839999999999998</v>
      </c>
      <c r="U85">
        <v>3.802</v>
      </c>
      <c r="V85">
        <v>1.4752999999999989</v>
      </c>
      <c r="W85">
        <v>2.085175</v>
      </c>
      <c r="X85">
        <v>13.71089569126327</v>
      </c>
      <c r="Y85">
        <v>55.342837746096407</v>
      </c>
      <c r="Z85">
        <v>4.0364130099364317</v>
      </c>
      <c r="AA85">
        <v>-1.314781</v>
      </c>
      <c r="AB85">
        <v>-0.25841500000000001</v>
      </c>
      <c r="AC85">
        <v>-1.110638</v>
      </c>
      <c r="AD85">
        <v>-1.151562</v>
      </c>
      <c r="AE85">
        <v>-1.1785600000000001</v>
      </c>
      <c r="AF85">
        <v>-1.4235690000000001</v>
      </c>
      <c r="AG85">
        <v>0</v>
      </c>
      <c r="AH85">
        <v>1</v>
      </c>
      <c r="AI85">
        <v>1</v>
      </c>
      <c r="AJ85">
        <v>1</v>
      </c>
      <c r="AK85">
        <v>0.27538748137402541</v>
      </c>
    </row>
    <row r="86" spans="1:37" x14ac:dyDescent="0.3">
      <c r="A86">
        <v>636</v>
      </c>
      <c r="B86">
        <v>2025</v>
      </c>
      <c r="C86" t="s">
        <v>146</v>
      </c>
      <c r="D86">
        <v>7</v>
      </c>
      <c r="E86">
        <v>772.03200000000004</v>
      </c>
      <c r="F86">
        <v>1974.5050000000001</v>
      </c>
      <c r="G86">
        <v>82.262</v>
      </c>
      <c r="H86">
        <v>210.38800000000001</v>
      </c>
      <c r="I86">
        <v>5.28</v>
      </c>
      <c r="J86">
        <v>7.8550000000000004</v>
      </c>
      <c r="K86">
        <v>-2.21</v>
      </c>
      <c r="L86">
        <v>14.557</v>
      </c>
      <c r="M86">
        <v>19.07</v>
      </c>
      <c r="N86">
        <v>-3.2610000000000001</v>
      </c>
      <c r="O86">
        <v>-1.7270000000000001</v>
      </c>
      <c r="P86">
        <v>0.48299999999999987</v>
      </c>
      <c r="Q86">
        <v>3.3179913443704052</v>
      </c>
      <c r="R86">
        <v>1.310022669506079</v>
      </c>
      <c r="S86">
        <v>5.4394</v>
      </c>
      <c r="T86">
        <v>10.527200000000001</v>
      </c>
      <c r="U86">
        <v>-1.7401</v>
      </c>
      <c r="V86">
        <v>-2.9986000000000002</v>
      </c>
      <c r="W86">
        <v>2.37</v>
      </c>
      <c r="X86">
        <v>1.8533318432424379</v>
      </c>
      <c r="Y86">
        <v>15.354060193072121</v>
      </c>
      <c r="Z86">
        <v>8.284571513221243</v>
      </c>
      <c r="AA86">
        <v>-1.2136130000000001</v>
      </c>
      <c r="AB86">
        <v>-2.1191759999999999</v>
      </c>
      <c r="AC86">
        <v>-1.6934450000000001</v>
      </c>
      <c r="AD86">
        <v>-1.2848459999999999</v>
      </c>
      <c r="AE86">
        <v>-1.6266050000000001</v>
      </c>
      <c r="AF86">
        <v>-1.5153399999999999</v>
      </c>
      <c r="AG86">
        <v>0</v>
      </c>
      <c r="AH86">
        <v>1</v>
      </c>
      <c r="AI86">
        <v>0</v>
      </c>
      <c r="AJ86">
        <v>0</v>
      </c>
      <c r="AK86">
        <v>0</v>
      </c>
    </row>
    <row r="87" spans="1:37" x14ac:dyDescent="0.3">
      <c r="A87">
        <v>638</v>
      </c>
      <c r="B87">
        <v>2025</v>
      </c>
      <c r="C87" t="s">
        <v>148</v>
      </c>
      <c r="D87">
        <v>9.3333333333333339</v>
      </c>
      <c r="E87">
        <v>1635.2360000000001</v>
      </c>
      <c r="F87">
        <v>4719.2439999999997</v>
      </c>
      <c r="G87">
        <v>24.402000000000001</v>
      </c>
      <c r="H87">
        <v>70.423000000000002</v>
      </c>
      <c r="I87">
        <v>7.0410000000000004</v>
      </c>
      <c r="J87">
        <v>2.1</v>
      </c>
      <c r="K87">
        <v>-2.9</v>
      </c>
      <c r="L87">
        <v>15.569000000000001</v>
      </c>
      <c r="M87">
        <v>50.741</v>
      </c>
      <c r="N87">
        <v>-5.5460000000000003</v>
      </c>
      <c r="O87">
        <v>-1.0169999999999999</v>
      </c>
      <c r="P87">
        <v>1.883</v>
      </c>
      <c r="Q87">
        <v>12.094546855931659</v>
      </c>
      <c r="R87">
        <v>3.2591046309974949</v>
      </c>
      <c r="S87">
        <v>6.3849999999999998</v>
      </c>
      <c r="T87">
        <v>1.9023000000000001</v>
      </c>
      <c r="U87">
        <v>-3.7639</v>
      </c>
      <c r="V87">
        <v>-5.0410999999999992</v>
      </c>
      <c r="W87">
        <v>2.4761999999999999E-2</v>
      </c>
      <c r="X87">
        <v>1274.405</v>
      </c>
      <c r="Y87">
        <v>63.170143335123313</v>
      </c>
      <c r="Z87">
        <v>4.9568342352017847E-2</v>
      </c>
      <c r="AA87">
        <v>-0.38047500000000001</v>
      </c>
      <c r="AB87">
        <v>-0.40300999999999998</v>
      </c>
      <c r="AC87">
        <v>-0.185421</v>
      </c>
      <c r="AD87">
        <v>-0.27726200000000001</v>
      </c>
      <c r="AE87">
        <v>-0.41247899999999998</v>
      </c>
      <c r="AF87">
        <v>-0.24071500000000001</v>
      </c>
      <c r="AG87">
        <v>0</v>
      </c>
      <c r="AH87">
        <v>1</v>
      </c>
      <c r="AI87">
        <v>0</v>
      </c>
      <c r="AJ87">
        <v>0</v>
      </c>
      <c r="AK87">
        <v>0</v>
      </c>
    </row>
    <row r="88" spans="1:37" x14ac:dyDescent="0.3">
      <c r="A88">
        <v>644</v>
      </c>
      <c r="B88">
        <v>2025</v>
      </c>
      <c r="C88" t="s">
        <v>149</v>
      </c>
      <c r="D88">
        <v>2</v>
      </c>
      <c r="E88">
        <v>994.04200000000003</v>
      </c>
      <c r="F88">
        <v>4419.777</v>
      </c>
      <c r="G88">
        <v>109.492</v>
      </c>
      <c r="H88">
        <v>486.83</v>
      </c>
      <c r="I88">
        <v>7.2240000000000002</v>
      </c>
      <c r="J88">
        <v>9.8030000000000008</v>
      </c>
      <c r="K88">
        <v>-1.5469999999999999</v>
      </c>
      <c r="L88">
        <v>10.46</v>
      </c>
      <c r="M88">
        <v>46.741999999999997</v>
      </c>
      <c r="N88">
        <v>-2.8780000000000001</v>
      </c>
      <c r="O88">
        <v>-0.46700000000000003</v>
      </c>
      <c r="P88">
        <v>1.08</v>
      </c>
      <c r="Q88">
        <v>10.325047801147219</v>
      </c>
      <c r="R88">
        <v>4.4686424474187376</v>
      </c>
      <c r="S88">
        <v>7.1742999999999997</v>
      </c>
      <c r="T88">
        <v>17.366299999999999</v>
      </c>
      <c r="U88">
        <v>-2.2591999999999999</v>
      </c>
      <c r="V88">
        <v>-3.0491999999999999</v>
      </c>
      <c r="W88">
        <v>4.2070639999999999</v>
      </c>
      <c r="X88">
        <v>5.7836049308478659</v>
      </c>
      <c r="Y88">
        <v>32.11960360330275</v>
      </c>
      <c r="Z88">
        <v>5.5535611417694248</v>
      </c>
      <c r="AA88">
        <v>-1.242397</v>
      </c>
      <c r="AB88">
        <v>-1.8849739999999999</v>
      </c>
      <c r="AC88">
        <v>-0.64599099999999998</v>
      </c>
      <c r="AD88">
        <v>-0.83323800000000003</v>
      </c>
      <c r="AE88">
        <v>-1.048924</v>
      </c>
      <c r="AF88">
        <v>-0.437863</v>
      </c>
      <c r="AG88">
        <v>0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>
        <v>646</v>
      </c>
      <c r="B89">
        <v>2025</v>
      </c>
      <c r="C89" t="s">
        <v>150</v>
      </c>
      <c r="D89">
        <v>5</v>
      </c>
      <c r="E89">
        <v>9303.0400000000009</v>
      </c>
      <c r="F89">
        <v>24738.799999999999</v>
      </c>
      <c r="G89">
        <v>21.454999999999998</v>
      </c>
      <c r="H89">
        <v>57.054000000000002</v>
      </c>
      <c r="I89">
        <v>1.8740000000000001</v>
      </c>
      <c r="J89">
        <v>1.95</v>
      </c>
      <c r="K89">
        <v>-5.4059999999999997</v>
      </c>
      <c r="L89">
        <v>20.361000000000001</v>
      </c>
      <c r="M89">
        <v>76.222999999999999</v>
      </c>
      <c r="N89">
        <v>1.7749999999999999</v>
      </c>
      <c r="O89">
        <v>-1.968</v>
      </c>
      <c r="P89">
        <v>3.4380000000000002</v>
      </c>
      <c r="Q89">
        <v>16.88522174745837</v>
      </c>
      <c r="R89">
        <v>3.7435784097048281</v>
      </c>
      <c r="S89">
        <v>2.1381999999999999</v>
      </c>
      <c r="T89">
        <v>2.2216999999999998</v>
      </c>
      <c r="U89">
        <v>-4.6105</v>
      </c>
      <c r="V89">
        <v>2.1131000000000002</v>
      </c>
      <c r="W89">
        <v>2.290365</v>
      </c>
      <c r="X89">
        <v>10.21665916760405</v>
      </c>
      <c r="Y89">
        <v>42.929574136219692</v>
      </c>
      <c r="Z89">
        <v>4.201918986623812</v>
      </c>
      <c r="AA89">
        <v>-1.020837</v>
      </c>
      <c r="AB89">
        <v>-0.27688699999999999</v>
      </c>
      <c r="AC89">
        <v>-0.56715499999999996</v>
      </c>
      <c r="AD89">
        <v>-0.72345800000000005</v>
      </c>
      <c r="AE89">
        <v>-1.155705</v>
      </c>
      <c r="AF89">
        <v>-0.93677699999999997</v>
      </c>
      <c r="AG89">
        <v>0</v>
      </c>
      <c r="AH89">
        <v>1</v>
      </c>
      <c r="AI89">
        <v>0</v>
      </c>
      <c r="AJ89">
        <v>0</v>
      </c>
      <c r="AK89">
        <v>0</v>
      </c>
    </row>
    <row r="90" spans="1:37" x14ac:dyDescent="0.3">
      <c r="A90">
        <v>652</v>
      </c>
      <c r="B90">
        <v>2025</v>
      </c>
      <c r="C90" t="s">
        <v>151</v>
      </c>
      <c r="D90">
        <v>6.3333333333333321</v>
      </c>
      <c r="E90">
        <v>3193.0709999999999</v>
      </c>
      <c r="F90">
        <v>8410.2939999999999</v>
      </c>
      <c r="G90">
        <v>111.96299999999999</v>
      </c>
      <c r="H90">
        <v>294.90100000000001</v>
      </c>
      <c r="I90">
        <v>4.0259999999999998</v>
      </c>
      <c r="J90">
        <v>11.978</v>
      </c>
      <c r="K90">
        <v>-2.7280000000000002</v>
      </c>
      <c r="L90">
        <v>16.140999999999998</v>
      </c>
      <c r="M90">
        <v>59.081000000000003</v>
      </c>
      <c r="N90">
        <v>1.8080000000000001</v>
      </c>
      <c r="O90">
        <v>1.4530000000000001</v>
      </c>
      <c r="P90">
        <v>4.181</v>
      </c>
      <c r="Q90">
        <v>25.90297998884828</v>
      </c>
      <c r="R90">
        <v>3.6603060529087421</v>
      </c>
      <c r="S90">
        <v>4.1981999999999999</v>
      </c>
      <c r="T90">
        <v>16.824000000000002</v>
      </c>
      <c r="U90">
        <v>-6.2271000000000001</v>
      </c>
      <c r="V90">
        <v>-0.30659999999999987</v>
      </c>
      <c r="W90">
        <v>6.7070299999999996</v>
      </c>
      <c r="X90">
        <v>4.937214751426243</v>
      </c>
      <c r="Y90">
        <v>54.160278044746427</v>
      </c>
      <c r="Z90">
        <v>10.96980398292394</v>
      </c>
      <c r="AA90">
        <v>0.204316</v>
      </c>
      <c r="AB90">
        <v>1.1461000000000001E-2</v>
      </c>
      <c r="AC90">
        <v>5.9580000000000001E-2</v>
      </c>
      <c r="AD90">
        <v>-8.9855000000000004E-2</v>
      </c>
      <c r="AE90">
        <v>5.3969999999999997E-2</v>
      </c>
      <c r="AF90">
        <v>-0.19347900000000001</v>
      </c>
      <c r="AG90">
        <v>0</v>
      </c>
      <c r="AH90">
        <v>1</v>
      </c>
      <c r="AI90">
        <v>1</v>
      </c>
      <c r="AJ90">
        <v>1</v>
      </c>
      <c r="AK90">
        <v>0.61656529091383006</v>
      </c>
    </row>
    <row r="91" spans="1:37" x14ac:dyDescent="0.3">
      <c r="A91">
        <v>662</v>
      </c>
      <c r="B91">
        <v>2025</v>
      </c>
      <c r="C91" t="s">
        <v>152</v>
      </c>
      <c r="D91">
        <v>10.66666666666667</v>
      </c>
      <c r="E91">
        <v>3015.643</v>
      </c>
      <c r="F91">
        <v>8112.67</v>
      </c>
      <c r="G91">
        <v>99.206999999999994</v>
      </c>
      <c r="H91">
        <v>266.88600000000002</v>
      </c>
      <c r="I91">
        <v>6.4</v>
      </c>
      <c r="J91">
        <v>1</v>
      </c>
      <c r="K91">
        <v>-3.012</v>
      </c>
      <c r="L91">
        <v>17.420000000000002</v>
      </c>
      <c r="M91">
        <v>55.595999999999997</v>
      </c>
      <c r="N91">
        <v>-2.1480000000000001</v>
      </c>
      <c r="O91">
        <v>-0.23499999999999999</v>
      </c>
      <c r="P91">
        <v>2.7770000000000001</v>
      </c>
      <c r="Q91">
        <v>15.9414466130884</v>
      </c>
      <c r="R91">
        <v>3.191504018369689</v>
      </c>
      <c r="S91">
        <v>5.9512999999999998</v>
      </c>
      <c r="T91">
        <v>2.7456999999999998</v>
      </c>
      <c r="U91">
        <v>-4.1180000000000003</v>
      </c>
      <c r="V91">
        <v>-3.8685999999999998</v>
      </c>
      <c r="W91">
        <v>5.7812289999999997</v>
      </c>
      <c r="X91">
        <v>5.7880767108167772</v>
      </c>
      <c r="Y91">
        <v>43.203143021914663</v>
      </c>
      <c r="Z91">
        <v>7.4641621354424119</v>
      </c>
      <c r="AA91">
        <v>-0.61667499999999997</v>
      </c>
      <c r="AB91">
        <v>-0.84383300000000006</v>
      </c>
      <c r="AC91">
        <v>-0.315718</v>
      </c>
      <c r="AD91">
        <v>-0.16695699999999999</v>
      </c>
      <c r="AE91">
        <v>-0.57814399999999999</v>
      </c>
      <c r="AF91">
        <v>-0.28504699999999999</v>
      </c>
      <c r="AG91">
        <v>0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>
        <v>664</v>
      </c>
      <c r="B92">
        <v>2025</v>
      </c>
      <c r="C92" t="s">
        <v>153</v>
      </c>
      <c r="D92">
        <v>7</v>
      </c>
      <c r="E92">
        <v>2549.2840000000001</v>
      </c>
      <c r="F92">
        <v>7556.076</v>
      </c>
      <c r="G92">
        <v>136.01400000000001</v>
      </c>
      <c r="H92">
        <v>403.14600000000002</v>
      </c>
      <c r="I92">
        <v>4.8150000000000004</v>
      </c>
      <c r="J92">
        <v>4.4210000000000003</v>
      </c>
      <c r="K92">
        <v>-5.9640000000000004</v>
      </c>
      <c r="L92">
        <v>17.225000000000001</v>
      </c>
      <c r="M92">
        <v>68.019000000000005</v>
      </c>
      <c r="N92">
        <v>-2.8130000000000002</v>
      </c>
      <c r="O92">
        <v>-0.51800000000000002</v>
      </c>
      <c r="P92">
        <v>5.4460000000000006</v>
      </c>
      <c r="Q92">
        <v>31.616835994194481</v>
      </c>
      <c r="R92">
        <v>3.9488534107402029</v>
      </c>
      <c r="S92">
        <v>4.7343999999999999</v>
      </c>
      <c r="T92">
        <v>5.4747000000000003</v>
      </c>
      <c r="U92">
        <v>-5.9291999999999998</v>
      </c>
      <c r="V92">
        <v>-3.5451000000000001</v>
      </c>
      <c r="W92">
        <v>5.4442199999999996</v>
      </c>
      <c r="X92">
        <v>6.4230284217673876</v>
      </c>
      <c r="Y92">
        <v>51.399583928460537</v>
      </c>
      <c r="Z92">
        <v>8.0023908588461783</v>
      </c>
      <c r="AA92">
        <v>-0.35422900000000002</v>
      </c>
      <c r="AB92">
        <v>-1.3556820000000001</v>
      </c>
      <c r="AC92">
        <v>-0.29788999999999999</v>
      </c>
      <c r="AD92">
        <v>-0.33356799999999998</v>
      </c>
      <c r="AE92">
        <v>-0.464532</v>
      </c>
      <c r="AF92">
        <v>-0.80183000000000004</v>
      </c>
      <c r="AG92">
        <v>0</v>
      </c>
      <c r="AH92">
        <v>1</v>
      </c>
      <c r="AI92">
        <v>0</v>
      </c>
      <c r="AJ92">
        <v>0</v>
      </c>
      <c r="AK92">
        <v>0</v>
      </c>
    </row>
    <row r="93" spans="1:37" x14ac:dyDescent="0.3">
      <c r="A93">
        <v>666</v>
      </c>
      <c r="B93">
        <v>2025</v>
      </c>
      <c r="C93" t="s">
        <v>154</v>
      </c>
      <c r="D93">
        <v>8</v>
      </c>
      <c r="E93">
        <v>1001.076</v>
      </c>
      <c r="F93">
        <v>3089.2930000000001</v>
      </c>
      <c r="G93">
        <v>2.39</v>
      </c>
      <c r="H93">
        <v>7.375</v>
      </c>
      <c r="I93">
        <v>1.43</v>
      </c>
      <c r="J93">
        <v>4.8310000000000004</v>
      </c>
      <c r="K93">
        <v>2.9529999999999998</v>
      </c>
      <c r="L93">
        <v>59.621000000000002</v>
      </c>
      <c r="M93">
        <v>57.054000000000002</v>
      </c>
      <c r="N93">
        <v>-3.9039999999999999</v>
      </c>
      <c r="O93">
        <v>4.6349999999999998</v>
      </c>
      <c r="P93">
        <v>1.6819999999999999</v>
      </c>
      <c r="Q93">
        <v>2.821153620368662</v>
      </c>
      <c r="R93">
        <v>0.95694470069270898</v>
      </c>
      <c r="S93">
        <v>0.92389999999999994</v>
      </c>
      <c r="T93">
        <v>5.6649999999999991</v>
      </c>
      <c r="U93">
        <v>2.0169000000000001</v>
      </c>
      <c r="V93">
        <v>-4.2249999999999996</v>
      </c>
      <c r="W93">
        <v>6.7069999999999999</v>
      </c>
      <c r="X93">
        <v>1.884670632465236</v>
      </c>
      <c r="Y93">
        <v>78.264840182648413</v>
      </c>
      <c r="Z93">
        <v>41.527065172270653</v>
      </c>
      <c r="AA93">
        <v>-0.155138</v>
      </c>
      <c r="AB93">
        <v>-0.25886599999999999</v>
      </c>
      <c r="AC93">
        <v>-0.64708900000000003</v>
      </c>
      <c r="AD93">
        <v>-0.48485200000000001</v>
      </c>
      <c r="AE93">
        <v>-0.40658699999999998</v>
      </c>
      <c r="AF93">
        <v>-0.302427</v>
      </c>
      <c r="AG93">
        <v>0</v>
      </c>
      <c r="AH93">
        <v>1</v>
      </c>
      <c r="AI93">
        <v>0</v>
      </c>
      <c r="AJ93">
        <v>0</v>
      </c>
      <c r="AK93">
        <v>0</v>
      </c>
    </row>
    <row r="94" spans="1:37" x14ac:dyDescent="0.3">
      <c r="A94">
        <v>674</v>
      </c>
      <c r="B94">
        <v>2025</v>
      </c>
      <c r="C94" t="s">
        <v>155</v>
      </c>
      <c r="D94">
        <v>7</v>
      </c>
      <c r="E94">
        <v>616.221</v>
      </c>
      <c r="F94">
        <v>2039.7239999999999</v>
      </c>
      <c r="G94">
        <v>19.376999999999999</v>
      </c>
      <c r="H94">
        <v>64.138000000000005</v>
      </c>
      <c r="I94">
        <v>3.8490000000000002</v>
      </c>
      <c r="J94">
        <v>8.3000000000000007</v>
      </c>
      <c r="K94">
        <v>-3.8610000000000002</v>
      </c>
      <c r="L94">
        <v>12.242000000000001</v>
      </c>
      <c r="M94">
        <v>49.747999999999998</v>
      </c>
      <c r="N94">
        <v>-6.0039999999999996</v>
      </c>
      <c r="O94">
        <v>-2.907</v>
      </c>
      <c r="P94">
        <v>0.95400000000000018</v>
      </c>
      <c r="Q94">
        <v>7.7928443064858683</v>
      </c>
      <c r="R94">
        <v>4.0637150792354184</v>
      </c>
      <c r="S94">
        <v>3.3069999999999999</v>
      </c>
      <c r="T94">
        <v>7.1952000000000016</v>
      </c>
      <c r="U94">
        <v>-3.8241000000000001</v>
      </c>
      <c r="V94">
        <v>-5.4013000000000009</v>
      </c>
      <c r="W94">
        <v>6.6445169999999996</v>
      </c>
      <c r="X94">
        <v>2.5669813391877061</v>
      </c>
      <c r="Y94">
        <v>37.135083633283926</v>
      </c>
      <c r="Z94">
        <v>14.46644082151175</v>
      </c>
      <c r="AA94">
        <v>-0.72536800000000001</v>
      </c>
      <c r="AB94">
        <v>-0.48055799999999999</v>
      </c>
      <c r="AC94">
        <v>-0.86319299999999999</v>
      </c>
      <c r="AD94">
        <v>-0.74858899999999995</v>
      </c>
      <c r="AE94">
        <v>-0.88270700000000002</v>
      </c>
      <c r="AF94">
        <v>-1.009917</v>
      </c>
      <c r="AG94">
        <v>0</v>
      </c>
      <c r="AH94">
        <v>1</v>
      </c>
      <c r="AI94">
        <v>0</v>
      </c>
      <c r="AJ94">
        <v>0</v>
      </c>
      <c r="AK94">
        <v>0</v>
      </c>
    </row>
    <row r="95" spans="1:37" x14ac:dyDescent="0.3">
      <c r="A95">
        <v>684</v>
      </c>
      <c r="B95">
        <v>2025</v>
      </c>
      <c r="C95" t="s">
        <v>156</v>
      </c>
      <c r="D95">
        <v>13</v>
      </c>
      <c r="E95">
        <v>12518.848</v>
      </c>
      <c r="F95">
        <v>33023.74</v>
      </c>
      <c r="G95">
        <v>15.73</v>
      </c>
      <c r="H95">
        <v>41.493000000000002</v>
      </c>
      <c r="I95">
        <v>3.2</v>
      </c>
      <c r="J95">
        <v>4.0030000000000001</v>
      </c>
      <c r="K95">
        <v>-2.5550000000000002</v>
      </c>
      <c r="L95">
        <v>28.962</v>
      </c>
      <c r="M95">
        <v>88.132000000000005</v>
      </c>
      <c r="N95">
        <v>-4.7930000000000001</v>
      </c>
      <c r="O95">
        <v>0.308</v>
      </c>
      <c r="P95">
        <v>2.863</v>
      </c>
      <c r="Q95">
        <v>9.8853670326634901</v>
      </c>
      <c r="R95">
        <v>3.0430218907534008</v>
      </c>
      <c r="S95">
        <v>2.4283000000000001</v>
      </c>
      <c r="T95">
        <v>4.6428999999999991</v>
      </c>
      <c r="U95">
        <v>-3.0324</v>
      </c>
      <c r="V95">
        <v>-6.5385000000000009</v>
      </c>
      <c r="W95">
        <v>13.0586</v>
      </c>
      <c r="X95">
        <v>0.75873850791258468</v>
      </c>
      <c r="Y95">
        <v>31.284054188416601</v>
      </c>
      <c r="Z95">
        <v>41.231667909520262</v>
      </c>
      <c r="AA95">
        <v>0.36890499999999998</v>
      </c>
      <c r="AB95">
        <v>0.79035200000000005</v>
      </c>
      <c r="AC95">
        <v>0.76535299999999995</v>
      </c>
      <c r="AD95">
        <v>0.94000499999999998</v>
      </c>
      <c r="AE95">
        <v>0.63861400000000001</v>
      </c>
      <c r="AF95">
        <v>0.34048200000000001</v>
      </c>
      <c r="AG95">
        <v>0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>
        <v>686</v>
      </c>
      <c r="B96">
        <v>2025</v>
      </c>
      <c r="C96" t="s">
        <v>157</v>
      </c>
      <c r="D96">
        <v>12.33333333333333</v>
      </c>
      <c r="E96">
        <v>4762.7290000000003</v>
      </c>
      <c r="F96">
        <v>11437.15</v>
      </c>
      <c r="G96">
        <v>179.61199999999999</v>
      </c>
      <c r="H96">
        <v>431.31799999999998</v>
      </c>
      <c r="I96">
        <v>4.3940000000000001</v>
      </c>
      <c r="J96">
        <v>1.181</v>
      </c>
      <c r="K96">
        <v>-3.7989999999999999</v>
      </c>
      <c r="L96">
        <v>30.667000000000002</v>
      </c>
      <c r="M96">
        <v>67.206000000000003</v>
      </c>
      <c r="N96">
        <v>-2.2850000000000001</v>
      </c>
      <c r="O96">
        <v>-1.248</v>
      </c>
      <c r="P96">
        <v>2.5510000000000002</v>
      </c>
      <c r="Q96">
        <v>8.3183878436103953</v>
      </c>
      <c r="R96">
        <v>2.191476179606743</v>
      </c>
      <c r="S96">
        <v>3.0741000000000001</v>
      </c>
      <c r="T96">
        <v>2.4506999999999999</v>
      </c>
      <c r="U96">
        <v>-4.3277999999999999</v>
      </c>
      <c r="V96">
        <v>-2.3471000000000002</v>
      </c>
      <c r="W96">
        <v>7.4210000000000003</v>
      </c>
      <c r="X96">
        <v>1.834059598878963</v>
      </c>
      <c r="Y96">
        <v>46.238225877677188</v>
      </c>
      <c r="Z96">
        <v>25.210863325237359</v>
      </c>
      <c r="AA96">
        <v>-0.72670500000000005</v>
      </c>
      <c r="AB96">
        <v>-0.44080000000000003</v>
      </c>
      <c r="AC96">
        <v>0.17635600000000001</v>
      </c>
      <c r="AD96">
        <v>-2.6686000000000001E-2</v>
      </c>
      <c r="AE96">
        <v>-0.36780400000000002</v>
      </c>
      <c r="AF96">
        <v>-0.51869100000000001</v>
      </c>
      <c r="AG96">
        <v>0</v>
      </c>
      <c r="AH96">
        <v>1</v>
      </c>
      <c r="AI96">
        <v>0</v>
      </c>
      <c r="AJ96">
        <v>0</v>
      </c>
      <c r="AK96">
        <v>0</v>
      </c>
    </row>
    <row r="97" spans="1:37" x14ac:dyDescent="0.3">
      <c r="A97">
        <v>688</v>
      </c>
      <c r="B97">
        <v>2025</v>
      </c>
      <c r="C97" t="s">
        <v>158</v>
      </c>
      <c r="D97">
        <v>5.3333333333333321</v>
      </c>
      <c r="E97">
        <v>690.01</v>
      </c>
      <c r="F97">
        <v>1732.595</v>
      </c>
      <c r="G97">
        <v>24.725999999999999</v>
      </c>
      <c r="H97">
        <v>62.087000000000003</v>
      </c>
      <c r="I97">
        <v>2.48</v>
      </c>
      <c r="J97">
        <v>5</v>
      </c>
      <c r="K97">
        <v>-5.3170000000000002</v>
      </c>
      <c r="L97">
        <v>25.84</v>
      </c>
      <c r="M97">
        <v>97.215999999999994</v>
      </c>
      <c r="N97">
        <v>-39.905999999999999</v>
      </c>
      <c r="O97">
        <v>-1.0589999999999999</v>
      </c>
      <c r="P97">
        <v>4.258</v>
      </c>
      <c r="Q97">
        <v>16.47832817337461</v>
      </c>
      <c r="R97">
        <v>3.7622291021671819</v>
      </c>
      <c r="S97">
        <v>3.6577000000000011</v>
      </c>
      <c r="T97">
        <v>5.8034999999999997</v>
      </c>
      <c r="U97">
        <v>-4.5347</v>
      </c>
      <c r="V97">
        <v>-25.851800000000001</v>
      </c>
      <c r="W97">
        <v>4.6900000000000004</v>
      </c>
      <c r="X97">
        <v>10.451229985529579</v>
      </c>
      <c r="Y97">
        <v>198.05261397837481</v>
      </c>
      <c r="Z97">
        <v>18.950172778954411</v>
      </c>
      <c r="AA97">
        <v>-1.0056259999999999</v>
      </c>
      <c r="AB97">
        <v>-1.758197</v>
      </c>
      <c r="AC97">
        <v>-0.71579300000000001</v>
      </c>
      <c r="AD97">
        <v>-0.76351000000000002</v>
      </c>
      <c r="AE97">
        <v>-1.1949510000000001</v>
      </c>
      <c r="AF97">
        <v>-1.0618099999999999</v>
      </c>
      <c r="AG97">
        <v>0</v>
      </c>
      <c r="AH97">
        <v>1</v>
      </c>
      <c r="AI97">
        <v>1</v>
      </c>
      <c r="AJ97">
        <v>1</v>
      </c>
      <c r="AK97">
        <v>0.27538748137402541</v>
      </c>
    </row>
    <row r="98" spans="1:37" x14ac:dyDescent="0.3">
      <c r="A98">
        <v>692</v>
      </c>
      <c r="B98">
        <v>2025</v>
      </c>
      <c r="C98" t="s">
        <v>160</v>
      </c>
      <c r="D98">
        <v>4</v>
      </c>
      <c r="E98">
        <v>788.61599999999999</v>
      </c>
      <c r="F98">
        <v>2095.2379999999998</v>
      </c>
      <c r="G98">
        <v>22.969000000000001</v>
      </c>
      <c r="H98">
        <v>61.024999999999999</v>
      </c>
      <c r="I98">
        <v>6.649</v>
      </c>
      <c r="J98">
        <v>3.6</v>
      </c>
      <c r="K98">
        <v>-2.97</v>
      </c>
      <c r="L98">
        <v>11.114000000000001</v>
      </c>
      <c r="M98">
        <v>42.23</v>
      </c>
      <c r="N98">
        <v>-3.3010000000000002</v>
      </c>
      <c r="O98">
        <v>-1.2849999999999999</v>
      </c>
      <c r="P98">
        <v>1.6850000000000001</v>
      </c>
      <c r="Q98">
        <v>15.16105812488753</v>
      </c>
      <c r="R98">
        <v>3.799712074860536</v>
      </c>
      <c r="S98">
        <v>6.1375999999999999</v>
      </c>
      <c r="T98">
        <v>3.496</v>
      </c>
      <c r="U98">
        <v>-4.2271999999999998</v>
      </c>
      <c r="V98">
        <v>-8.3861000000000026</v>
      </c>
      <c r="W98">
        <v>2.8818E-2</v>
      </c>
      <c r="X98">
        <v>1246.6510000000001</v>
      </c>
      <c r="Y98">
        <v>32.972916023804267</v>
      </c>
      <c r="Z98">
        <v>2.6449195503636769E-2</v>
      </c>
      <c r="AA98">
        <v>-0.97067400000000004</v>
      </c>
      <c r="AB98">
        <v>-1.7634209999999999</v>
      </c>
      <c r="AC98">
        <v>-0.76966599999999996</v>
      </c>
      <c r="AD98">
        <v>-0.76245799999999997</v>
      </c>
      <c r="AE98">
        <v>-0.94572400000000001</v>
      </c>
      <c r="AF98">
        <v>-0.61691399999999996</v>
      </c>
      <c r="AG98">
        <v>0</v>
      </c>
      <c r="AH98">
        <v>1</v>
      </c>
      <c r="AI98">
        <v>0</v>
      </c>
      <c r="AJ98">
        <v>0</v>
      </c>
      <c r="AK98">
        <v>0</v>
      </c>
    </row>
    <row r="99" spans="1:37" x14ac:dyDescent="0.3">
      <c r="A99">
        <v>694</v>
      </c>
      <c r="B99">
        <v>2025</v>
      </c>
      <c r="C99" t="s">
        <v>162</v>
      </c>
      <c r="D99">
        <v>7.3333333333333339</v>
      </c>
      <c r="E99">
        <v>1199.623</v>
      </c>
      <c r="F99">
        <v>9488.1560000000009</v>
      </c>
      <c r="G99">
        <v>285.00299999999999</v>
      </c>
      <c r="H99">
        <v>2254.1669999999999</v>
      </c>
      <c r="I99">
        <v>3.931</v>
      </c>
      <c r="J99">
        <v>21.016999999999999</v>
      </c>
      <c r="K99">
        <v>-2.931</v>
      </c>
      <c r="L99">
        <v>9.5709999999999997</v>
      </c>
      <c r="M99">
        <v>36.381999999999998</v>
      </c>
      <c r="N99">
        <v>5.6849999999999996</v>
      </c>
      <c r="O99">
        <v>-0.311</v>
      </c>
      <c r="P99">
        <v>2.62</v>
      </c>
      <c r="Q99">
        <v>27.37436004597221</v>
      </c>
      <c r="R99">
        <v>3.801274683941072</v>
      </c>
      <c r="S99">
        <v>2.6536</v>
      </c>
      <c r="T99">
        <v>17.605</v>
      </c>
      <c r="U99">
        <v>-3.2443</v>
      </c>
      <c r="V99">
        <v>2.1800000000000002</v>
      </c>
      <c r="W99">
        <v>8.6271799999999992</v>
      </c>
      <c r="X99">
        <v>2.5293093995089269</v>
      </c>
      <c r="Y99">
        <v>20.516201886449501</v>
      </c>
      <c r="Z99">
        <v>8.111384827191479</v>
      </c>
      <c r="AA99">
        <v>-0.726545</v>
      </c>
      <c r="AB99">
        <v>-2.0025620000000002</v>
      </c>
      <c r="AC99">
        <v>-1.006589</v>
      </c>
      <c r="AD99">
        <v>-0.63329500000000005</v>
      </c>
      <c r="AE99">
        <v>-1.006945</v>
      </c>
      <c r="AF99">
        <v>-1.1145910000000001</v>
      </c>
      <c r="AG99">
        <v>0</v>
      </c>
      <c r="AH99">
        <v>1</v>
      </c>
      <c r="AI99">
        <v>0</v>
      </c>
      <c r="AJ99">
        <v>0</v>
      </c>
      <c r="AK99">
        <v>0</v>
      </c>
    </row>
    <row r="100" spans="1:37" x14ac:dyDescent="0.3">
      <c r="A100">
        <v>714</v>
      </c>
      <c r="B100">
        <v>2025</v>
      </c>
      <c r="C100" t="s">
        <v>163</v>
      </c>
      <c r="D100">
        <v>8.6666666666666661</v>
      </c>
      <c r="E100">
        <v>1042.998</v>
      </c>
      <c r="F100">
        <v>4100.683</v>
      </c>
      <c r="G100">
        <v>14.771000000000001</v>
      </c>
      <c r="H100">
        <v>58.073999999999998</v>
      </c>
      <c r="I100">
        <v>7.109</v>
      </c>
      <c r="J100">
        <v>6.3</v>
      </c>
      <c r="K100">
        <v>-6.29</v>
      </c>
      <c r="L100">
        <v>21.091000000000001</v>
      </c>
      <c r="M100">
        <v>73.203999999999994</v>
      </c>
      <c r="N100">
        <v>-13.802</v>
      </c>
      <c r="O100">
        <v>-3.718</v>
      </c>
      <c r="P100">
        <v>2.5720000000000001</v>
      </c>
      <c r="Q100">
        <v>12.19477502252145</v>
      </c>
      <c r="R100">
        <v>3.4708643497226301</v>
      </c>
      <c r="S100">
        <v>6.8751000000000007</v>
      </c>
      <c r="T100">
        <v>6.5901000000000014</v>
      </c>
      <c r="U100">
        <v>-5.2321999999999989</v>
      </c>
      <c r="V100">
        <v>-11.824199999999999</v>
      </c>
      <c r="W100">
        <v>4.6507160000000001</v>
      </c>
      <c r="X100">
        <v>6.73452048192771</v>
      </c>
      <c r="Y100">
        <v>94.375160397109468</v>
      </c>
      <c r="Z100">
        <v>14.01364219625853</v>
      </c>
      <c r="AA100">
        <v>-0.58891300000000002</v>
      </c>
      <c r="AB100">
        <v>-4.3688999999999999E-2</v>
      </c>
      <c r="AC100">
        <v>0.348908</v>
      </c>
      <c r="AD100">
        <v>0.26960499999999998</v>
      </c>
      <c r="AE100">
        <v>0.100276</v>
      </c>
      <c r="AF100">
        <v>0.62549399999999999</v>
      </c>
      <c r="AG100">
        <v>0</v>
      </c>
      <c r="AH100">
        <v>1</v>
      </c>
      <c r="AI100">
        <v>0</v>
      </c>
      <c r="AJ100">
        <v>0</v>
      </c>
      <c r="AK100">
        <v>0</v>
      </c>
    </row>
    <row r="101" spans="1:37" x14ac:dyDescent="0.3">
      <c r="A101">
        <v>718</v>
      </c>
      <c r="B101">
        <v>2025</v>
      </c>
      <c r="C101" t="s">
        <v>164</v>
      </c>
      <c r="D101">
        <v>11</v>
      </c>
      <c r="E101">
        <v>21955.93</v>
      </c>
      <c r="F101">
        <v>42110.400000000001</v>
      </c>
      <c r="G101">
        <v>2.23</v>
      </c>
      <c r="H101">
        <v>4.2779999999999996</v>
      </c>
      <c r="I101">
        <v>3.903</v>
      </c>
      <c r="J101">
        <v>0.76500000000000001</v>
      </c>
      <c r="K101">
        <v>-2.0990000000000002</v>
      </c>
      <c r="L101">
        <v>34.210999999999999</v>
      </c>
      <c r="M101">
        <v>56.707999999999998</v>
      </c>
      <c r="N101">
        <v>-6.6219999999999999</v>
      </c>
      <c r="O101">
        <v>0.65700000000000003</v>
      </c>
      <c r="P101">
        <v>2.7559999999999998</v>
      </c>
      <c r="Q101">
        <v>8.0558884569290576</v>
      </c>
      <c r="R101">
        <v>1.657595510216012</v>
      </c>
      <c r="S101">
        <v>2.4094000000000002</v>
      </c>
      <c r="T101">
        <v>2.3300999999999998</v>
      </c>
      <c r="U101">
        <v>-3.0996000000000001</v>
      </c>
      <c r="V101">
        <v>-8.2330000000000005</v>
      </c>
      <c r="W101">
        <v>5.5671400000000002</v>
      </c>
      <c r="X101">
        <v>5.0843280977312393</v>
      </c>
      <c r="Y101">
        <v>163.94597636465949</v>
      </c>
      <c r="Z101">
        <v>32.245357343837917</v>
      </c>
      <c r="AA101">
        <v>0.63436499999999996</v>
      </c>
      <c r="AB101">
        <v>0.91644400000000004</v>
      </c>
      <c r="AC101">
        <v>0.62676699999999996</v>
      </c>
      <c r="AD101">
        <v>0.38967400000000002</v>
      </c>
      <c r="AE101">
        <v>0.59689899999999996</v>
      </c>
      <c r="AF101">
        <v>1.230796</v>
      </c>
      <c r="AG101">
        <v>0</v>
      </c>
      <c r="AH101">
        <v>1</v>
      </c>
      <c r="AI101">
        <v>0</v>
      </c>
      <c r="AJ101">
        <v>0</v>
      </c>
      <c r="AK101">
        <v>0</v>
      </c>
    </row>
    <row r="102" spans="1:37" x14ac:dyDescent="0.3">
      <c r="A102">
        <v>722</v>
      </c>
      <c r="B102">
        <v>2025</v>
      </c>
      <c r="C102" t="s">
        <v>166</v>
      </c>
      <c r="D102">
        <v>6.5</v>
      </c>
      <c r="E102">
        <v>1921.3910000000001</v>
      </c>
      <c r="F102">
        <v>5354.6970000000001</v>
      </c>
      <c r="G102">
        <v>36.838999999999999</v>
      </c>
      <c r="H102">
        <v>102.666</v>
      </c>
      <c r="I102">
        <v>5.9550000000000001</v>
      </c>
      <c r="J102">
        <v>2</v>
      </c>
      <c r="K102">
        <v>-7.9269999999999996</v>
      </c>
      <c r="L102">
        <v>21.824000000000002</v>
      </c>
      <c r="M102">
        <v>122.949</v>
      </c>
      <c r="N102">
        <v>-8.0259999999999998</v>
      </c>
      <c r="O102">
        <v>-2.9860000000000002</v>
      </c>
      <c r="P102">
        <v>4.9409999999999989</v>
      </c>
      <c r="Q102">
        <v>22.640212609970671</v>
      </c>
      <c r="R102">
        <v>5.633660190615835</v>
      </c>
      <c r="S102">
        <v>4.2645</v>
      </c>
      <c r="T102">
        <v>3.0081000000000002</v>
      </c>
      <c r="U102">
        <v>-8.9516000000000009</v>
      </c>
      <c r="V102">
        <v>-10.5464</v>
      </c>
      <c r="W102">
        <v>6.0503220000000004</v>
      </c>
      <c r="X102">
        <v>7.9684310054296947</v>
      </c>
      <c r="Y102">
        <v>117.8179830025192</v>
      </c>
      <c r="Z102">
        <v>14.785593666085321</v>
      </c>
      <c r="AA102">
        <v>1.6080000000000001E-2</v>
      </c>
      <c r="AB102">
        <v>-0.22855600000000001</v>
      </c>
      <c r="AC102">
        <v>0.23441300000000001</v>
      </c>
      <c r="AD102">
        <v>-0.241645</v>
      </c>
      <c r="AE102">
        <v>-0.20467399999999999</v>
      </c>
      <c r="AF102">
        <v>0.113041</v>
      </c>
      <c r="AG102">
        <v>0</v>
      </c>
      <c r="AH102">
        <v>1</v>
      </c>
      <c r="AI102">
        <v>0</v>
      </c>
      <c r="AJ102">
        <v>0</v>
      </c>
      <c r="AK102">
        <v>0</v>
      </c>
    </row>
    <row r="103" spans="1:37" x14ac:dyDescent="0.3">
      <c r="A103">
        <v>728</v>
      </c>
      <c r="B103">
        <v>2025</v>
      </c>
      <c r="C103" t="s">
        <v>167</v>
      </c>
      <c r="D103">
        <v>9.5</v>
      </c>
      <c r="E103">
        <v>4816.3</v>
      </c>
      <c r="F103">
        <v>12341.51</v>
      </c>
      <c r="G103">
        <v>14.686</v>
      </c>
      <c r="H103">
        <v>37.631999999999998</v>
      </c>
      <c r="I103">
        <v>3.5960000000000001</v>
      </c>
      <c r="J103">
        <v>3.9</v>
      </c>
      <c r="K103">
        <v>-5.3659999999999997</v>
      </c>
      <c r="L103">
        <v>34.088999999999999</v>
      </c>
      <c r="M103">
        <v>63.566000000000003</v>
      </c>
      <c r="N103">
        <v>-14.654999999999999</v>
      </c>
      <c r="O103">
        <v>-0.16800000000000001</v>
      </c>
      <c r="P103">
        <v>5.1980000000000004</v>
      </c>
      <c r="Q103">
        <v>15.248320572618731</v>
      </c>
      <c r="R103">
        <v>1.8647070902637219</v>
      </c>
      <c r="S103">
        <v>2.5493000000000001</v>
      </c>
      <c r="T103">
        <v>3.8953000000000002</v>
      </c>
      <c r="U103">
        <v>-5.2472000000000003</v>
      </c>
      <c r="V103">
        <v>-11.1144</v>
      </c>
      <c r="W103">
        <v>5.5690489999999997</v>
      </c>
      <c r="X103">
        <v>3.406344475618079</v>
      </c>
      <c r="Y103">
        <v>71.285290465020012</v>
      </c>
      <c r="Z103">
        <v>20.927211259831651</v>
      </c>
      <c r="AA103">
        <v>0.33654000000000001</v>
      </c>
      <c r="AB103">
        <v>0.54673300000000002</v>
      </c>
      <c r="AC103">
        <v>9.9343000000000001E-2</v>
      </c>
      <c r="AD103">
        <v>0.134905</v>
      </c>
      <c r="AE103">
        <v>0.32785700000000001</v>
      </c>
      <c r="AF103">
        <v>0.12651999999999999</v>
      </c>
      <c r="AG103">
        <v>0</v>
      </c>
      <c r="AH103">
        <v>1</v>
      </c>
      <c r="AI103">
        <v>0</v>
      </c>
      <c r="AJ103">
        <v>0</v>
      </c>
      <c r="AK103">
        <v>0</v>
      </c>
    </row>
    <row r="104" spans="1:37" x14ac:dyDescent="0.3">
      <c r="A104">
        <v>738</v>
      </c>
      <c r="B104">
        <v>2025</v>
      </c>
      <c r="C104" t="s">
        <v>168</v>
      </c>
      <c r="D104">
        <v>9</v>
      </c>
      <c r="E104">
        <v>1301.7370000000001</v>
      </c>
      <c r="F104">
        <v>4371.1289999999999</v>
      </c>
      <c r="G104">
        <v>87.444000000000003</v>
      </c>
      <c r="H104">
        <v>293.63099999999997</v>
      </c>
      <c r="I104">
        <v>5.9980000000000002</v>
      </c>
      <c r="J104">
        <v>3.1989999999999998</v>
      </c>
      <c r="K104">
        <v>-2.9780000000000002</v>
      </c>
      <c r="L104">
        <v>16.931999999999999</v>
      </c>
      <c r="M104">
        <v>49.585000000000001</v>
      </c>
      <c r="N104">
        <v>-2.5819999999999999</v>
      </c>
      <c r="O104">
        <v>-0.42099999999999999</v>
      </c>
      <c r="P104">
        <v>2.5569999999999999</v>
      </c>
      <c r="Q104">
        <v>15.10158280179542</v>
      </c>
      <c r="R104">
        <v>2.928478620363808</v>
      </c>
      <c r="S104">
        <v>5.6478000000000002</v>
      </c>
      <c r="T104">
        <v>3.7605999999999988</v>
      </c>
      <c r="U104">
        <v>-3.1745999999999999</v>
      </c>
      <c r="V104">
        <v>-3.3184999999999998</v>
      </c>
      <c r="W104">
        <v>5.8008300000000004</v>
      </c>
      <c r="X104">
        <v>6.3212246363799611</v>
      </c>
      <c r="Y104">
        <v>44.969916071588258</v>
      </c>
      <c r="Z104">
        <v>7.1141145360943261</v>
      </c>
      <c r="AA104">
        <v>-0.64499399999999996</v>
      </c>
      <c r="AB104">
        <v>-0.389596</v>
      </c>
      <c r="AC104">
        <v>-0.29245100000000002</v>
      </c>
      <c r="AD104">
        <v>-0.53537100000000004</v>
      </c>
      <c r="AE104">
        <v>-0.51942299999999997</v>
      </c>
      <c r="AF104">
        <v>-0.29410500000000001</v>
      </c>
      <c r="AG104">
        <v>0</v>
      </c>
      <c r="AH104">
        <v>1</v>
      </c>
      <c r="AI104">
        <v>0</v>
      </c>
      <c r="AJ104">
        <v>0</v>
      </c>
      <c r="AK104">
        <v>0</v>
      </c>
    </row>
    <row r="105" spans="1:37" x14ac:dyDescent="0.3">
      <c r="A105">
        <v>742</v>
      </c>
      <c r="B105">
        <v>2025</v>
      </c>
      <c r="C105" t="s">
        <v>169</v>
      </c>
      <c r="D105">
        <v>8</v>
      </c>
      <c r="E105">
        <v>1119.598</v>
      </c>
      <c r="F105">
        <v>3372.9140000000002</v>
      </c>
      <c r="G105">
        <v>10.951000000000001</v>
      </c>
      <c r="H105">
        <v>32.991</v>
      </c>
      <c r="I105">
        <v>5.2</v>
      </c>
      <c r="J105">
        <v>5.5890000000000004</v>
      </c>
      <c r="K105">
        <v>-7.577</v>
      </c>
      <c r="L105">
        <v>18.812000000000001</v>
      </c>
      <c r="M105">
        <v>71.853999999999999</v>
      </c>
      <c r="N105">
        <v>-1.798</v>
      </c>
      <c r="O105">
        <v>-4.9480000000000004</v>
      </c>
      <c r="P105">
        <v>2.629</v>
      </c>
      <c r="Q105">
        <v>13.97512226238571</v>
      </c>
      <c r="R105">
        <v>3.8195832447374012</v>
      </c>
      <c r="S105">
        <v>5.1877000000000004</v>
      </c>
      <c r="T105">
        <v>3.6177999999999999</v>
      </c>
      <c r="U105">
        <v>-5.3804999999999996</v>
      </c>
      <c r="V105">
        <v>-1.6437999999999999</v>
      </c>
      <c r="W105">
        <v>2.3251999999999998E-2</v>
      </c>
      <c r="X105">
        <v>617.98216666666667</v>
      </c>
      <c r="Y105">
        <v>33.088461538461537</v>
      </c>
      <c r="Z105">
        <v>5.3542744958058178E-2</v>
      </c>
      <c r="AA105">
        <v>-0.9718</v>
      </c>
      <c r="AB105">
        <v>-0.80944700000000003</v>
      </c>
      <c r="AC105">
        <v>-0.80145900000000003</v>
      </c>
      <c r="AD105">
        <v>-0.40811399999999998</v>
      </c>
      <c r="AE105">
        <v>-0.63286100000000001</v>
      </c>
      <c r="AF105">
        <v>-0.66337599999999997</v>
      </c>
      <c r="AG105">
        <v>0</v>
      </c>
      <c r="AH105">
        <v>1</v>
      </c>
      <c r="AI105">
        <v>0</v>
      </c>
      <c r="AJ105">
        <v>0</v>
      </c>
      <c r="AK105">
        <v>0</v>
      </c>
    </row>
    <row r="106" spans="1:37" x14ac:dyDescent="0.3">
      <c r="A106">
        <v>744</v>
      </c>
      <c r="B106">
        <v>2025</v>
      </c>
      <c r="C106" t="s">
        <v>170</v>
      </c>
      <c r="D106">
        <v>6.5</v>
      </c>
      <c r="E106">
        <v>4751.55</v>
      </c>
      <c r="F106">
        <v>14982.77</v>
      </c>
      <c r="G106">
        <v>59.069000000000003</v>
      </c>
      <c r="H106">
        <v>186.25899999999999</v>
      </c>
      <c r="I106">
        <v>2.464</v>
      </c>
      <c r="J106">
        <v>5.3620000000000001</v>
      </c>
      <c r="K106">
        <v>-5.3840000000000003</v>
      </c>
      <c r="L106">
        <v>27.489000000000001</v>
      </c>
      <c r="M106">
        <v>80.623000000000005</v>
      </c>
      <c r="N106">
        <v>-3.145</v>
      </c>
      <c r="O106">
        <v>-2.246</v>
      </c>
      <c r="P106">
        <v>3.1379999999999999</v>
      </c>
      <c r="Q106">
        <v>11.4154752810215</v>
      </c>
      <c r="R106">
        <v>2.932918621994252</v>
      </c>
      <c r="S106">
        <v>0.91609999999999991</v>
      </c>
      <c r="T106">
        <v>7.0314999999999994</v>
      </c>
      <c r="U106">
        <v>-6.5813000000000006</v>
      </c>
      <c r="V106">
        <v>-4.3038000000000007</v>
      </c>
      <c r="W106">
        <v>3.407</v>
      </c>
      <c r="X106">
        <v>7.5500228408279808</v>
      </c>
      <c r="Y106">
        <v>100.3451409706675</v>
      </c>
      <c r="Z106">
        <v>13.29070694038629</v>
      </c>
      <c r="AA106">
        <v>-0.68371099999999996</v>
      </c>
      <c r="AB106">
        <v>-0.92481800000000003</v>
      </c>
      <c r="AC106">
        <v>-0.239347</v>
      </c>
      <c r="AD106">
        <v>-0.39011699999999999</v>
      </c>
      <c r="AE106">
        <v>-0.36449399999999998</v>
      </c>
      <c r="AF106">
        <v>-0.22015499999999999</v>
      </c>
      <c r="AG106">
        <v>0</v>
      </c>
      <c r="AH106">
        <v>1</v>
      </c>
      <c r="AI106">
        <v>0</v>
      </c>
      <c r="AJ106">
        <v>0</v>
      </c>
      <c r="AK106">
        <v>0</v>
      </c>
    </row>
    <row r="107" spans="1:37" x14ac:dyDescent="0.3">
      <c r="A107">
        <v>746</v>
      </c>
      <c r="B107">
        <v>2025</v>
      </c>
      <c r="C107" t="s">
        <v>171</v>
      </c>
      <c r="D107">
        <v>7.3333333333333339</v>
      </c>
      <c r="E107">
        <v>1353.414</v>
      </c>
      <c r="F107">
        <v>3904.2449999999999</v>
      </c>
      <c r="G107">
        <v>64.992999999999995</v>
      </c>
      <c r="H107">
        <v>187.489</v>
      </c>
      <c r="I107">
        <v>6.4059999999999997</v>
      </c>
      <c r="J107">
        <v>3.8090000000000002</v>
      </c>
      <c r="K107">
        <v>-6.6849999999999996</v>
      </c>
      <c r="L107">
        <v>15.106</v>
      </c>
      <c r="M107">
        <v>52.350999999999999</v>
      </c>
      <c r="N107">
        <v>-5.0389999999999997</v>
      </c>
      <c r="O107">
        <v>-2.5070000000000001</v>
      </c>
      <c r="P107">
        <v>4.177999999999999</v>
      </c>
      <c r="Q107">
        <v>27.65788428439031</v>
      </c>
      <c r="R107">
        <v>3.4655765920826158</v>
      </c>
      <c r="S107">
        <v>5.7381000000000002</v>
      </c>
      <c r="T107">
        <v>4.4837000000000007</v>
      </c>
      <c r="U107">
        <v>-5.7732000000000001</v>
      </c>
      <c r="V107">
        <v>-5.7213000000000003</v>
      </c>
      <c r="W107">
        <v>6.0649600000000001</v>
      </c>
      <c r="X107">
        <v>5.7040487692661603</v>
      </c>
      <c r="Y107">
        <v>55.499474002283058</v>
      </c>
      <c r="Z107">
        <v>9.7298386194238642</v>
      </c>
      <c r="AA107">
        <v>-1.0129300000000001</v>
      </c>
      <c r="AB107">
        <v>-1.0222249999999999</v>
      </c>
      <c r="AC107">
        <v>-0.350136</v>
      </c>
      <c r="AD107">
        <v>-0.52428200000000003</v>
      </c>
      <c r="AE107">
        <v>-0.73852399999999996</v>
      </c>
      <c r="AF107">
        <v>-1.1161669999999999</v>
      </c>
      <c r="AG107">
        <v>0</v>
      </c>
      <c r="AH107">
        <v>1</v>
      </c>
      <c r="AI107">
        <v>0</v>
      </c>
      <c r="AJ107">
        <v>0</v>
      </c>
      <c r="AK107">
        <v>0</v>
      </c>
    </row>
    <row r="108" spans="1:37" x14ac:dyDescent="0.3">
      <c r="A108">
        <v>748</v>
      </c>
      <c r="B108">
        <v>2025</v>
      </c>
      <c r="C108" t="s">
        <v>172</v>
      </c>
      <c r="D108">
        <v>6</v>
      </c>
      <c r="E108">
        <v>1115.018</v>
      </c>
      <c r="F108">
        <v>3019.0050000000001</v>
      </c>
      <c r="G108">
        <v>26.866</v>
      </c>
      <c r="H108">
        <v>72.742999999999995</v>
      </c>
      <c r="I108">
        <v>3.988</v>
      </c>
      <c r="J108">
        <v>1.33</v>
      </c>
      <c r="K108">
        <v>-4</v>
      </c>
      <c r="L108">
        <v>21.184999999999999</v>
      </c>
      <c r="M108">
        <v>53.182000000000002</v>
      </c>
      <c r="N108">
        <v>-1.617</v>
      </c>
      <c r="O108">
        <v>-1.7729999999999999</v>
      </c>
      <c r="P108">
        <v>2.2269999999999999</v>
      </c>
      <c r="Q108">
        <v>10.512154826528199</v>
      </c>
      <c r="R108">
        <v>2.51036110455511</v>
      </c>
      <c r="S108">
        <v>4.1238000000000001</v>
      </c>
      <c r="T108">
        <v>3.5712000000000002</v>
      </c>
      <c r="U108">
        <v>-5.2790999999999997</v>
      </c>
      <c r="V108">
        <v>-2.3704999999999998</v>
      </c>
      <c r="W108">
        <v>5.1110000000000001E-3</v>
      </c>
      <c r="X108">
        <v>4097.93</v>
      </c>
      <c r="Y108">
        <v>50.88489238410596</v>
      </c>
      <c r="Z108">
        <v>1.241721854304636E-2</v>
      </c>
      <c r="AA108">
        <v>-0.96447799999999995</v>
      </c>
      <c r="AB108">
        <v>-1.906331</v>
      </c>
      <c r="AC108">
        <v>-0.87486699999999995</v>
      </c>
      <c r="AD108">
        <v>-0.52556199999999997</v>
      </c>
      <c r="AE108">
        <v>-0.88385899999999995</v>
      </c>
      <c r="AF108">
        <v>-0.25255699999999998</v>
      </c>
      <c r="AG108">
        <v>0</v>
      </c>
      <c r="AH108">
        <v>1</v>
      </c>
      <c r="AI108">
        <v>0</v>
      </c>
      <c r="AJ108">
        <v>0</v>
      </c>
      <c r="AK108">
        <v>0</v>
      </c>
    </row>
    <row r="109" spans="1:37" x14ac:dyDescent="0.3">
      <c r="A109">
        <v>754</v>
      </c>
      <c r="B109">
        <v>2025</v>
      </c>
      <c r="C109" t="s">
        <v>173</v>
      </c>
      <c r="D109">
        <v>2.3333333333333321</v>
      </c>
      <c r="E109">
        <v>1352.989</v>
      </c>
      <c r="F109">
        <v>4503.4319999999998</v>
      </c>
      <c r="G109">
        <v>29.369</v>
      </c>
      <c r="H109">
        <v>97.756</v>
      </c>
      <c r="I109">
        <v>5.8460000000000001</v>
      </c>
      <c r="J109">
        <v>11.132999999999999</v>
      </c>
      <c r="K109">
        <v>-5.2539999999999996</v>
      </c>
      <c r="L109">
        <v>22.774000000000001</v>
      </c>
      <c r="M109">
        <v>114.943</v>
      </c>
      <c r="N109">
        <v>1.2769999999999999</v>
      </c>
      <c r="O109">
        <v>1.145</v>
      </c>
      <c r="P109">
        <v>6.3989999999999991</v>
      </c>
      <c r="Q109">
        <v>28.097830859752339</v>
      </c>
      <c r="R109">
        <v>5.0471151312900684</v>
      </c>
      <c r="S109">
        <v>4.6760000000000002</v>
      </c>
      <c r="T109">
        <v>11.534700000000001</v>
      </c>
      <c r="U109">
        <v>-5.2112999999999987</v>
      </c>
      <c r="V109">
        <v>3.6661999999999999</v>
      </c>
      <c r="W109">
        <v>3.02</v>
      </c>
      <c r="X109">
        <v>14.26196159833939</v>
      </c>
      <c r="Y109">
        <v>125.4235122307412</v>
      </c>
      <c r="Z109">
        <v>8.7942679810149684</v>
      </c>
      <c r="AA109">
        <v>-0.40756900000000001</v>
      </c>
      <c r="AB109">
        <v>-0.100785</v>
      </c>
      <c r="AC109">
        <v>-0.53305599999999997</v>
      </c>
      <c r="AD109">
        <v>-0.42066100000000001</v>
      </c>
      <c r="AE109">
        <v>-0.56117700000000004</v>
      </c>
      <c r="AF109">
        <v>-0.45682899999999999</v>
      </c>
      <c r="AG109">
        <v>0</v>
      </c>
      <c r="AH109">
        <v>1</v>
      </c>
      <c r="AI109">
        <v>1</v>
      </c>
      <c r="AJ109">
        <v>1</v>
      </c>
      <c r="AK109">
        <v>0.44664771992900421</v>
      </c>
    </row>
    <row r="110" spans="1:37" x14ac:dyDescent="0.3">
      <c r="A110">
        <v>819</v>
      </c>
      <c r="B110">
        <v>2025</v>
      </c>
      <c r="C110" t="s">
        <v>174</v>
      </c>
      <c r="D110">
        <v>9</v>
      </c>
      <c r="E110">
        <v>6825.46</v>
      </c>
      <c r="F110">
        <v>16366.01</v>
      </c>
      <c r="G110">
        <v>6.3360000000000003</v>
      </c>
      <c r="H110">
        <v>15.192</v>
      </c>
      <c r="I110">
        <v>3.1909999999999998</v>
      </c>
      <c r="J110">
        <v>0.5</v>
      </c>
      <c r="K110">
        <v>-3.7029999999999998</v>
      </c>
      <c r="L110">
        <v>28.408000000000001</v>
      </c>
      <c r="M110">
        <v>76.616</v>
      </c>
      <c r="N110">
        <v>-7.5030000000000001</v>
      </c>
      <c r="O110">
        <v>0.4</v>
      </c>
      <c r="P110">
        <v>4.1029999999999998</v>
      </c>
      <c r="Q110">
        <v>14.443114615601241</v>
      </c>
      <c r="R110">
        <v>2.6969867642917489</v>
      </c>
      <c r="S110">
        <v>2.5004</v>
      </c>
      <c r="T110">
        <v>2.246799999999999</v>
      </c>
      <c r="U110">
        <v>-6.8461999999999987</v>
      </c>
      <c r="V110">
        <v>-8.1363000000000003</v>
      </c>
      <c r="W110">
        <v>5.3320150000000002</v>
      </c>
      <c r="X110">
        <v>2.321186</v>
      </c>
      <c r="Y110">
        <v>59.345133799215958</v>
      </c>
      <c r="Z110">
        <v>25.566729163115731</v>
      </c>
      <c r="AA110">
        <v>0.33162999999999998</v>
      </c>
      <c r="AB110">
        <v>0.69843999999999995</v>
      </c>
      <c r="AC110">
        <v>0.60896099999999997</v>
      </c>
      <c r="AD110">
        <v>6.5082000000000001E-2</v>
      </c>
      <c r="AE110">
        <v>0.30577900000000002</v>
      </c>
      <c r="AF110">
        <v>0.56268799999999997</v>
      </c>
      <c r="AG110">
        <v>0</v>
      </c>
      <c r="AH110">
        <v>1</v>
      </c>
      <c r="AI110">
        <v>0</v>
      </c>
      <c r="AJ110">
        <v>0</v>
      </c>
      <c r="AK110">
        <v>0</v>
      </c>
    </row>
    <row r="111" spans="1:37" x14ac:dyDescent="0.3">
      <c r="A111">
        <v>853</v>
      </c>
      <c r="B111">
        <v>2025</v>
      </c>
      <c r="C111" t="s">
        <v>175</v>
      </c>
      <c r="D111">
        <v>7.5</v>
      </c>
      <c r="E111">
        <v>2555.2539999999999</v>
      </c>
      <c r="F111">
        <v>3761.99</v>
      </c>
      <c r="G111">
        <v>32.713999999999999</v>
      </c>
      <c r="H111">
        <v>48.164000000000001</v>
      </c>
      <c r="I111">
        <v>4.74</v>
      </c>
      <c r="J111">
        <v>4.4870000000000001</v>
      </c>
      <c r="K111">
        <v>-2.6070000000000002</v>
      </c>
      <c r="L111">
        <v>17.933</v>
      </c>
      <c r="M111">
        <v>50.363</v>
      </c>
      <c r="N111">
        <v>10.772</v>
      </c>
      <c r="O111">
        <v>-4.1000000000000002E-2</v>
      </c>
      <c r="P111">
        <v>2.5659999999999998</v>
      </c>
      <c r="Q111">
        <v>14.30881614899905</v>
      </c>
      <c r="R111">
        <v>2.8083979256120002</v>
      </c>
      <c r="S111">
        <v>2.7185000000000001</v>
      </c>
      <c r="T111">
        <v>4.0767000000000007</v>
      </c>
      <c r="U111">
        <v>-3.1857000000000002</v>
      </c>
      <c r="V111">
        <v>12.289300000000001</v>
      </c>
      <c r="W111">
        <v>0.60686853937063212</v>
      </c>
      <c r="X111">
        <v>6.4926269243492847</v>
      </c>
      <c r="Y111">
        <v>70.053492963128065</v>
      </c>
      <c r="Z111">
        <v>10.7896994204929</v>
      </c>
      <c r="AA111">
        <v>-0.32644000000000001</v>
      </c>
      <c r="AB111">
        <v>-0.65387499999999998</v>
      </c>
      <c r="AC111">
        <v>-0.900447</v>
      </c>
      <c r="AD111">
        <v>-0.60040099999999996</v>
      </c>
      <c r="AE111">
        <v>-0.57133299999999998</v>
      </c>
      <c r="AF111">
        <v>-0.79735100000000003</v>
      </c>
      <c r="AG111">
        <v>0</v>
      </c>
      <c r="AH111">
        <v>1</v>
      </c>
      <c r="AI111">
        <v>0</v>
      </c>
      <c r="AJ111">
        <v>0</v>
      </c>
      <c r="AK111">
        <v>0</v>
      </c>
    </row>
    <row r="112" spans="1:37" x14ac:dyDescent="0.3">
      <c r="A112">
        <v>911</v>
      </c>
      <c r="B112">
        <v>2025</v>
      </c>
      <c r="C112" t="s">
        <v>176</v>
      </c>
      <c r="D112">
        <v>10</v>
      </c>
      <c r="E112">
        <v>8968.9159999999993</v>
      </c>
      <c r="F112">
        <v>23954.240000000002</v>
      </c>
      <c r="G112">
        <v>27.859000000000002</v>
      </c>
      <c r="H112">
        <v>74.406999999999996</v>
      </c>
      <c r="I112">
        <v>4.8</v>
      </c>
      <c r="J112">
        <v>3.1539999999999999</v>
      </c>
      <c r="K112">
        <v>-5.5090000000000003</v>
      </c>
      <c r="L112">
        <v>25.126999999999999</v>
      </c>
      <c r="M112">
        <v>53.439</v>
      </c>
      <c r="N112">
        <v>-4.657</v>
      </c>
      <c r="O112">
        <v>-2.129</v>
      </c>
      <c r="P112">
        <v>3.38</v>
      </c>
      <c r="Q112">
        <v>13.451665539061571</v>
      </c>
      <c r="R112">
        <v>2.12675607911808</v>
      </c>
      <c r="S112">
        <v>4.9931999999999999</v>
      </c>
      <c r="T112">
        <v>3.6320999999999999</v>
      </c>
      <c r="U112">
        <v>-3.7938999999999998</v>
      </c>
      <c r="V112">
        <v>-3.6673</v>
      </c>
      <c r="W112">
        <v>2.5912063187006349</v>
      </c>
      <c r="X112">
        <v>4.3932627719244639</v>
      </c>
      <c r="Y112">
        <v>63.010065003145321</v>
      </c>
      <c r="Z112">
        <v>14.342430278884461</v>
      </c>
      <c r="AA112">
        <v>0.120185</v>
      </c>
      <c r="AB112">
        <v>-0.72329699999999997</v>
      </c>
      <c r="AC112">
        <v>-0.36402899999999999</v>
      </c>
      <c r="AD112">
        <v>0.137992</v>
      </c>
      <c r="AE112">
        <v>-0.14239399999999999</v>
      </c>
      <c r="AF112">
        <v>0.144681</v>
      </c>
      <c r="AG112">
        <v>0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>
        <v>912</v>
      </c>
      <c r="B113">
        <v>2025</v>
      </c>
      <c r="C113" t="s">
        <v>177</v>
      </c>
      <c r="D113">
        <v>12.66666666666667</v>
      </c>
      <c r="E113">
        <v>7365.2780000000002</v>
      </c>
      <c r="F113">
        <v>26081.08</v>
      </c>
      <c r="G113">
        <v>76.39</v>
      </c>
      <c r="H113">
        <v>270.50299999999999</v>
      </c>
      <c r="I113">
        <v>3.0150000000000001</v>
      </c>
      <c r="J113">
        <v>5.2</v>
      </c>
      <c r="K113">
        <v>-1.911</v>
      </c>
      <c r="L113">
        <v>34.649000000000001</v>
      </c>
      <c r="M113">
        <v>22.387</v>
      </c>
      <c r="N113">
        <v>4.2670000000000003</v>
      </c>
      <c r="O113">
        <v>-0.80800000000000005</v>
      </c>
      <c r="P113">
        <v>1.103</v>
      </c>
      <c r="Q113">
        <v>3.18335305492222</v>
      </c>
      <c r="R113">
        <v>0.64610811278824787</v>
      </c>
      <c r="S113">
        <v>2.4430999999999998</v>
      </c>
      <c r="T113">
        <v>5.7223000000000006</v>
      </c>
      <c r="U113">
        <v>0.68140000000000023</v>
      </c>
      <c r="V113">
        <v>6.8488999999999987</v>
      </c>
      <c r="W113">
        <v>8.7100000000000009</v>
      </c>
      <c r="X113">
        <v>1.9704547643240251</v>
      </c>
      <c r="Y113">
        <v>39.932277422267063</v>
      </c>
      <c r="Z113">
        <v>20.265513395820609</v>
      </c>
      <c r="AA113">
        <v>-1.5042390000000001</v>
      </c>
      <c r="AB113">
        <v>-0.140406</v>
      </c>
      <c r="AC113">
        <v>0.16611799999999999</v>
      </c>
      <c r="AD113">
        <v>0.13489300000000001</v>
      </c>
      <c r="AE113">
        <v>-0.485371</v>
      </c>
      <c r="AF113">
        <v>-0.77507800000000004</v>
      </c>
      <c r="AG113">
        <v>0</v>
      </c>
      <c r="AH113">
        <v>1</v>
      </c>
      <c r="AI113">
        <v>0</v>
      </c>
      <c r="AJ113">
        <v>0</v>
      </c>
      <c r="AK113">
        <v>0</v>
      </c>
    </row>
    <row r="114" spans="1:37" x14ac:dyDescent="0.3">
      <c r="A114">
        <v>913</v>
      </c>
      <c r="B114">
        <v>2025</v>
      </c>
      <c r="C114" t="s">
        <v>178</v>
      </c>
      <c r="D114">
        <v>1.3333333333333319</v>
      </c>
      <c r="E114">
        <v>9435.3760000000002</v>
      </c>
      <c r="F114">
        <v>34069.08</v>
      </c>
      <c r="G114">
        <v>85.739000000000004</v>
      </c>
      <c r="H114">
        <v>309.58499999999998</v>
      </c>
      <c r="I114">
        <v>2.0960000000000001</v>
      </c>
      <c r="J114">
        <v>8.0570000000000004</v>
      </c>
      <c r="K114">
        <v>0.8</v>
      </c>
      <c r="L114">
        <v>42.790999999999997</v>
      </c>
      <c r="M114">
        <v>35.780999999999999</v>
      </c>
      <c r="N114">
        <v>-1.7869999999999999</v>
      </c>
      <c r="O114">
        <v>2.2000000000000002</v>
      </c>
      <c r="P114">
        <v>1.4</v>
      </c>
      <c r="Q114">
        <v>3.2717160150498938</v>
      </c>
      <c r="R114">
        <v>0.83618050524643039</v>
      </c>
      <c r="S114">
        <v>1.2410000000000001</v>
      </c>
      <c r="T114">
        <v>7.3168000000000006</v>
      </c>
      <c r="U114">
        <v>0.16589999999999999</v>
      </c>
      <c r="V114">
        <v>-1.1586000000000001</v>
      </c>
      <c r="W114">
        <v>0.139566</v>
      </c>
      <c r="X114">
        <v>79.974982698961938</v>
      </c>
      <c r="Y114">
        <v>56.447643819223117</v>
      </c>
      <c r="Z114">
        <v>0.70581626796595476</v>
      </c>
      <c r="AA114">
        <v>-1.690418</v>
      </c>
      <c r="AB114">
        <v>-0.37730000000000002</v>
      </c>
      <c r="AC114">
        <v>-0.701546</v>
      </c>
      <c r="AD114">
        <v>-1.2322690000000001</v>
      </c>
      <c r="AE114">
        <v>-1.2305999999999999</v>
      </c>
      <c r="AF114">
        <v>-0.578129</v>
      </c>
      <c r="AG114">
        <v>0</v>
      </c>
      <c r="AH114">
        <v>1</v>
      </c>
      <c r="AI114">
        <v>1</v>
      </c>
      <c r="AJ114">
        <v>1</v>
      </c>
      <c r="AK114">
        <v>0.61656529091383006</v>
      </c>
    </row>
    <row r="115" spans="1:37" x14ac:dyDescent="0.3">
      <c r="A115">
        <v>914</v>
      </c>
      <c r="B115">
        <v>2025</v>
      </c>
      <c r="C115" t="s">
        <v>179</v>
      </c>
      <c r="D115">
        <v>10.5</v>
      </c>
      <c r="E115">
        <v>11108.181</v>
      </c>
      <c r="F115">
        <v>23327.05</v>
      </c>
      <c r="G115">
        <v>29.939</v>
      </c>
      <c r="H115">
        <v>62.871000000000002</v>
      </c>
      <c r="I115">
        <v>3.3580000000000001</v>
      </c>
      <c r="J115">
        <v>2.6749999999999998</v>
      </c>
      <c r="K115">
        <v>-1.7230000000000001</v>
      </c>
      <c r="L115">
        <v>28.585000000000001</v>
      </c>
      <c r="M115">
        <v>54.116999999999997</v>
      </c>
      <c r="N115">
        <v>-2.3860000000000001</v>
      </c>
      <c r="O115">
        <v>0.36399999999999999</v>
      </c>
      <c r="P115">
        <v>2.0870000000000002</v>
      </c>
      <c r="Q115">
        <v>7.3010320097953478</v>
      </c>
      <c r="R115">
        <v>1.893195732027287</v>
      </c>
      <c r="S115">
        <v>3.601399999999999</v>
      </c>
      <c r="T115">
        <v>3.2900999999999998</v>
      </c>
      <c r="U115">
        <v>-2.6183000000000001</v>
      </c>
      <c r="V115">
        <v>-3.9434</v>
      </c>
      <c r="W115">
        <v>10.54781</v>
      </c>
      <c r="X115">
        <v>1.4676915005246589</v>
      </c>
      <c r="Y115">
        <v>36.193815500064687</v>
      </c>
      <c r="Z115">
        <v>24.660370034933369</v>
      </c>
      <c r="AA115">
        <v>-1.2416999999999999E-2</v>
      </c>
      <c r="AB115">
        <v>2.0466999999999999E-2</v>
      </c>
      <c r="AC115">
        <v>0.31234400000000001</v>
      </c>
      <c r="AD115">
        <v>0.13573499999999999</v>
      </c>
      <c r="AE115">
        <v>-0.118503</v>
      </c>
      <c r="AF115">
        <v>-0.42076000000000002</v>
      </c>
      <c r="AG115">
        <v>0</v>
      </c>
      <c r="AH115">
        <v>1</v>
      </c>
      <c r="AI115">
        <v>0</v>
      </c>
      <c r="AJ115">
        <v>0</v>
      </c>
      <c r="AK115">
        <v>0</v>
      </c>
    </row>
    <row r="116" spans="1:37" x14ac:dyDescent="0.3">
      <c r="A116">
        <v>915</v>
      </c>
      <c r="B116">
        <v>2025</v>
      </c>
      <c r="C116" t="s">
        <v>180</v>
      </c>
      <c r="D116">
        <v>11</v>
      </c>
      <c r="E116">
        <v>10125.977000000001</v>
      </c>
      <c r="F116">
        <v>31089.68</v>
      </c>
      <c r="G116">
        <v>37.402999999999999</v>
      </c>
      <c r="H116">
        <v>114.839</v>
      </c>
      <c r="I116">
        <v>7.2279999999999998</v>
      </c>
      <c r="J116">
        <v>4.3890000000000002</v>
      </c>
      <c r="K116">
        <v>-2.274</v>
      </c>
      <c r="L116">
        <v>27.609000000000002</v>
      </c>
      <c r="M116">
        <v>34.234000000000002</v>
      </c>
      <c r="N116">
        <v>-4.53</v>
      </c>
      <c r="O116">
        <v>-0.45500000000000002</v>
      </c>
      <c r="P116">
        <v>1.819</v>
      </c>
      <c r="Q116">
        <v>6.5884313086312432</v>
      </c>
      <c r="R116">
        <v>1.239957984715129</v>
      </c>
      <c r="S116">
        <v>6.0080000000000009</v>
      </c>
      <c r="T116">
        <v>4.4882000000000009</v>
      </c>
      <c r="U116">
        <v>-3.2888999999999999</v>
      </c>
      <c r="V116">
        <v>-6.0503999999999989</v>
      </c>
      <c r="W116">
        <v>3.5043229999999999</v>
      </c>
      <c r="X116">
        <v>5.4723553953664972</v>
      </c>
      <c r="Y116">
        <v>67.17212892005</v>
      </c>
      <c r="Z116">
        <v>12.27481113103973</v>
      </c>
      <c r="AA116">
        <v>-0.25353799999999999</v>
      </c>
      <c r="AB116">
        <v>-0.61275900000000005</v>
      </c>
      <c r="AC116">
        <v>0.45626699999999998</v>
      </c>
      <c r="AD116">
        <v>0.65004300000000004</v>
      </c>
      <c r="AE116">
        <v>0.14896699999999999</v>
      </c>
      <c r="AF116">
        <v>0.38108599999999998</v>
      </c>
      <c r="AG116">
        <v>0</v>
      </c>
      <c r="AH116">
        <v>1</v>
      </c>
      <c r="AI116">
        <v>0</v>
      </c>
      <c r="AJ116">
        <v>0</v>
      </c>
      <c r="AK116">
        <v>0</v>
      </c>
    </row>
    <row r="117" spans="1:37" x14ac:dyDescent="0.3">
      <c r="A117">
        <v>916</v>
      </c>
      <c r="B117">
        <v>2025</v>
      </c>
      <c r="C117" t="s">
        <v>181</v>
      </c>
      <c r="D117">
        <v>14</v>
      </c>
      <c r="E117">
        <v>14722.579</v>
      </c>
      <c r="F117">
        <v>44777.87</v>
      </c>
      <c r="G117">
        <v>300.05200000000002</v>
      </c>
      <c r="H117">
        <v>912.58900000000006</v>
      </c>
      <c r="I117">
        <v>5.8520000000000003</v>
      </c>
      <c r="J117">
        <v>12.663</v>
      </c>
      <c r="K117">
        <v>-2.4529999999999998</v>
      </c>
      <c r="L117">
        <v>17.835999999999999</v>
      </c>
      <c r="M117">
        <v>24.808</v>
      </c>
      <c r="N117">
        <v>-3.7759999999999998</v>
      </c>
      <c r="O117">
        <v>-1.8009999999999999</v>
      </c>
      <c r="P117">
        <v>0.65199999999999991</v>
      </c>
      <c r="Q117">
        <v>3.6555281453240629</v>
      </c>
      <c r="R117">
        <v>1.390894819466248</v>
      </c>
      <c r="S117">
        <v>3.5804</v>
      </c>
      <c r="T117">
        <v>10.3771</v>
      </c>
      <c r="U117">
        <v>-2.4902000000000002</v>
      </c>
      <c r="V117">
        <v>-2.8088000000000002</v>
      </c>
      <c r="W117">
        <v>5.9738259999999999</v>
      </c>
      <c r="X117">
        <v>9.0610841060584839</v>
      </c>
      <c r="Y117">
        <v>59.2771586506597</v>
      </c>
      <c r="Z117">
        <v>6.5419499429461636</v>
      </c>
      <c r="AA117">
        <v>-0.81571300000000002</v>
      </c>
      <c r="AB117">
        <v>-0.28275600000000001</v>
      </c>
      <c r="AC117">
        <v>0.14676400000000001</v>
      </c>
      <c r="AD117">
        <v>4.7055E-2</v>
      </c>
      <c r="AE117">
        <v>-0.381548</v>
      </c>
      <c r="AF117">
        <v>-6.7089999999999997E-2</v>
      </c>
      <c r="AG117">
        <v>0</v>
      </c>
      <c r="AH117">
        <v>1</v>
      </c>
      <c r="AI117">
        <v>0</v>
      </c>
      <c r="AJ117">
        <v>0</v>
      </c>
      <c r="AK117">
        <v>0</v>
      </c>
    </row>
    <row r="118" spans="1:37" x14ac:dyDescent="0.3">
      <c r="A118">
        <v>917</v>
      </c>
      <c r="B118">
        <v>2025</v>
      </c>
      <c r="C118" t="s">
        <v>182</v>
      </c>
      <c r="D118">
        <v>8</v>
      </c>
      <c r="E118">
        <v>2789.5859999999998</v>
      </c>
      <c r="F118">
        <v>8870.3700000000008</v>
      </c>
      <c r="G118">
        <v>20.16</v>
      </c>
      <c r="H118">
        <v>64.105000000000004</v>
      </c>
      <c r="I118">
        <v>7.9960000000000004</v>
      </c>
      <c r="J118">
        <v>7.9560000000000004</v>
      </c>
      <c r="K118">
        <v>-2.468</v>
      </c>
      <c r="L118">
        <v>34.454000000000001</v>
      </c>
      <c r="M118">
        <v>37.811999999999998</v>
      </c>
      <c r="N118">
        <v>-8.375</v>
      </c>
      <c r="O118">
        <v>-1.337</v>
      </c>
      <c r="P118">
        <v>1.131</v>
      </c>
      <c r="Q118">
        <v>3.2826377198583621</v>
      </c>
      <c r="R118">
        <v>1.0974632843791721</v>
      </c>
      <c r="S118">
        <v>5.5013000000000014</v>
      </c>
      <c r="T118">
        <v>7.8287000000000004</v>
      </c>
      <c r="U118">
        <v>-1.361</v>
      </c>
      <c r="V118">
        <v>-15.2098</v>
      </c>
      <c r="W118">
        <v>2.722931</v>
      </c>
      <c r="X118">
        <v>3.6422571835797681</v>
      </c>
      <c r="Y118">
        <v>47.818477706356497</v>
      </c>
      <c r="Z118">
        <v>13.128803183348641</v>
      </c>
      <c r="AA118">
        <v>-0.80132899999999996</v>
      </c>
      <c r="AB118">
        <v>-0.504525</v>
      </c>
      <c r="AC118">
        <v>-0.88850300000000004</v>
      </c>
      <c r="AD118">
        <v>-0.51674600000000004</v>
      </c>
      <c r="AE118">
        <v>-0.93609399999999998</v>
      </c>
      <c r="AF118">
        <v>-1.1364650000000001</v>
      </c>
      <c r="AG118">
        <v>0</v>
      </c>
      <c r="AH118">
        <v>1</v>
      </c>
      <c r="AI118">
        <v>0</v>
      </c>
      <c r="AJ118">
        <v>0</v>
      </c>
      <c r="AK118">
        <v>0</v>
      </c>
    </row>
    <row r="119" spans="1:37" x14ac:dyDescent="0.3">
      <c r="A119">
        <v>918</v>
      </c>
      <c r="B119">
        <v>2025</v>
      </c>
      <c r="C119" t="s">
        <v>183</v>
      </c>
      <c r="D119">
        <v>15</v>
      </c>
      <c r="E119">
        <v>20425.72</v>
      </c>
      <c r="F119">
        <v>42477.29</v>
      </c>
      <c r="G119">
        <v>127.92400000000001</v>
      </c>
      <c r="H119">
        <v>266.03100000000001</v>
      </c>
      <c r="I119">
        <v>3.05</v>
      </c>
      <c r="J119">
        <v>3.964</v>
      </c>
      <c r="K119">
        <v>-3.4119999999999999</v>
      </c>
      <c r="L119">
        <v>35.570999999999998</v>
      </c>
      <c r="M119">
        <v>28.416</v>
      </c>
      <c r="N119">
        <v>-3.83</v>
      </c>
      <c r="O119">
        <v>-3.0470000000000002</v>
      </c>
      <c r="P119">
        <v>0.36499999999999982</v>
      </c>
      <c r="Q119">
        <v>1.0261167805234599</v>
      </c>
      <c r="R119">
        <v>0.79885299822889433</v>
      </c>
      <c r="S119">
        <v>2.7637</v>
      </c>
      <c r="T119">
        <v>4.2743000000000002</v>
      </c>
      <c r="U119">
        <v>-2.9577</v>
      </c>
      <c r="V119">
        <v>-1.6927000000000001</v>
      </c>
      <c r="W119">
        <v>8.7345240000000004</v>
      </c>
      <c r="X119">
        <v>1.418956508267373</v>
      </c>
      <c r="Y119">
        <v>48.333269101393029</v>
      </c>
      <c r="Z119">
        <v>34.062544425981542</v>
      </c>
      <c r="AA119">
        <v>0.21338599999999999</v>
      </c>
      <c r="AB119">
        <v>3.9926999999999997E-2</v>
      </c>
      <c r="AC119">
        <v>4.2819999999999997E-2</v>
      </c>
      <c r="AD119">
        <v>0.28803400000000001</v>
      </c>
      <c r="AE119">
        <v>-3.3341999999999997E-2</v>
      </c>
      <c r="AF119">
        <v>-0.24001800000000001</v>
      </c>
      <c r="AG119">
        <v>0</v>
      </c>
      <c r="AH119">
        <v>1</v>
      </c>
      <c r="AI119">
        <v>0</v>
      </c>
      <c r="AJ119">
        <v>0</v>
      </c>
      <c r="AK119">
        <v>0</v>
      </c>
    </row>
    <row r="120" spans="1:37" x14ac:dyDescent="0.3">
      <c r="A120">
        <v>921</v>
      </c>
      <c r="B120">
        <v>2025</v>
      </c>
      <c r="C120" t="s">
        <v>184</v>
      </c>
      <c r="D120">
        <v>8.6666666666666661</v>
      </c>
      <c r="E120">
        <v>8239.3610000000008</v>
      </c>
      <c r="F120">
        <v>19590.73</v>
      </c>
      <c r="G120">
        <v>19.62</v>
      </c>
      <c r="H120">
        <v>46.651000000000003</v>
      </c>
      <c r="I120">
        <v>1.7</v>
      </c>
      <c r="J120">
        <v>6.2050000000000001</v>
      </c>
      <c r="K120">
        <v>-3.5750000000000002</v>
      </c>
      <c r="L120">
        <v>36.862000000000002</v>
      </c>
      <c r="M120">
        <v>37.798000000000002</v>
      </c>
      <c r="N120">
        <v>-19.291</v>
      </c>
      <c r="O120">
        <v>-2.1739999999999999</v>
      </c>
      <c r="P120">
        <v>1.401</v>
      </c>
      <c r="Q120">
        <v>3.8006619282730179</v>
      </c>
      <c r="R120">
        <v>1.025392002604308</v>
      </c>
      <c r="S120">
        <v>1.7050000000000001</v>
      </c>
      <c r="T120">
        <v>8.1944999999999997</v>
      </c>
      <c r="U120">
        <v>-4.3471000000000002</v>
      </c>
      <c r="V120">
        <v>-15.7562</v>
      </c>
      <c r="W120">
        <v>7.2588404006530469</v>
      </c>
      <c r="X120">
        <v>1.17814466996533</v>
      </c>
      <c r="Y120">
        <v>34.572797313314886</v>
      </c>
      <c r="Z120">
        <v>29.345120505728961</v>
      </c>
      <c r="AA120">
        <v>0.283719</v>
      </c>
      <c r="AB120">
        <v>-0.34499200000000002</v>
      </c>
      <c r="AC120">
        <v>0.25763799999999998</v>
      </c>
      <c r="AD120">
        <v>-4.6737000000000001E-2</v>
      </c>
      <c r="AE120">
        <v>-0.161332</v>
      </c>
      <c r="AF120">
        <v>-0.29158000000000001</v>
      </c>
      <c r="AG120">
        <v>0</v>
      </c>
      <c r="AH120">
        <v>1</v>
      </c>
      <c r="AI120">
        <v>1</v>
      </c>
      <c r="AJ120">
        <v>1</v>
      </c>
      <c r="AK120">
        <v>2.453802237157748E-2</v>
      </c>
    </row>
    <row r="121" spans="1:37" x14ac:dyDescent="0.3">
      <c r="A121">
        <v>922</v>
      </c>
      <c r="B121">
        <v>2025</v>
      </c>
      <c r="C121" t="s">
        <v>185</v>
      </c>
      <c r="D121">
        <v>1</v>
      </c>
      <c r="E121">
        <v>17445.75</v>
      </c>
      <c r="F121">
        <v>49048.99</v>
      </c>
      <c r="G121">
        <v>2540.6559999999999</v>
      </c>
      <c r="H121">
        <v>7143.0929999999998</v>
      </c>
      <c r="I121">
        <v>0.60899999999999999</v>
      </c>
      <c r="J121">
        <v>7.5510000000000002</v>
      </c>
      <c r="K121">
        <v>-2.7370000000000001</v>
      </c>
      <c r="L121">
        <v>35.097999999999999</v>
      </c>
      <c r="M121">
        <v>23.05</v>
      </c>
      <c r="N121">
        <v>1.742</v>
      </c>
      <c r="O121">
        <v>-1.7370000000000001</v>
      </c>
      <c r="P121">
        <v>1</v>
      </c>
      <c r="Q121">
        <v>2.8491651945979828</v>
      </c>
      <c r="R121">
        <v>0.65673257735483503</v>
      </c>
      <c r="S121">
        <v>1.5105</v>
      </c>
      <c r="T121">
        <v>6.6183000000000014</v>
      </c>
      <c r="U121">
        <v>-1.8880999999999999</v>
      </c>
      <c r="V121">
        <v>3.2605</v>
      </c>
      <c r="W121">
        <v>16.876695000000002</v>
      </c>
      <c r="X121">
        <v>0.75625345948857881</v>
      </c>
      <c r="Y121">
        <v>12.770685557579339</v>
      </c>
      <c r="Z121">
        <v>16.886779686555869</v>
      </c>
      <c r="AA121">
        <v>-1.422175</v>
      </c>
      <c r="AB121">
        <v>-0.903285</v>
      </c>
      <c r="AC121">
        <v>-0.32155400000000001</v>
      </c>
      <c r="AD121">
        <v>-1.068284</v>
      </c>
      <c r="AE121">
        <v>-1.1565190000000001</v>
      </c>
      <c r="AF121">
        <v>-0.89113900000000001</v>
      </c>
      <c r="AG121">
        <v>0</v>
      </c>
      <c r="AH121">
        <v>1</v>
      </c>
      <c r="AI121">
        <v>1</v>
      </c>
      <c r="AJ121">
        <v>1</v>
      </c>
      <c r="AK121">
        <v>0.61656529091383006</v>
      </c>
    </row>
    <row r="122" spans="1:37" x14ac:dyDescent="0.3">
      <c r="A122">
        <v>924</v>
      </c>
      <c r="B122">
        <v>2025</v>
      </c>
      <c r="C122" t="s">
        <v>186</v>
      </c>
      <c r="D122">
        <v>17.666666666666671</v>
      </c>
      <c r="E122">
        <v>13806.031000000001</v>
      </c>
      <c r="F122">
        <v>29191.097000000002</v>
      </c>
      <c r="G122">
        <v>19398.577000000001</v>
      </c>
      <c r="H122">
        <v>41015.824000000001</v>
      </c>
      <c r="I122">
        <v>4.7960000000000003</v>
      </c>
      <c r="J122">
        <v>0.54100000000000004</v>
      </c>
      <c r="K122">
        <v>-8.5730000000000004</v>
      </c>
      <c r="L122">
        <v>25.079000000000001</v>
      </c>
      <c r="M122">
        <v>96.262</v>
      </c>
      <c r="N122">
        <v>3.3039999999999998</v>
      </c>
      <c r="O122">
        <v>-7.34</v>
      </c>
      <c r="P122">
        <v>1.233000000000001</v>
      </c>
      <c r="Q122">
        <v>4.9164639738426592</v>
      </c>
      <c r="R122">
        <v>3.8383508114358631</v>
      </c>
      <c r="S122">
        <v>4.519499999999999</v>
      </c>
      <c r="T122">
        <v>1.0214000000000001</v>
      </c>
      <c r="U122">
        <v>-7.8563999999999989</v>
      </c>
      <c r="V122">
        <v>2.2894999999999999</v>
      </c>
      <c r="W122">
        <v>12.178570000000001</v>
      </c>
      <c r="X122">
        <v>0.88802646196742663</v>
      </c>
      <c r="Y122">
        <v>15.105925036415529</v>
      </c>
      <c r="Z122">
        <v>17.010669933132721</v>
      </c>
      <c r="AA122">
        <v>-1.6531929999999999</v>
      </c>
      <c r="AB122">
        <v>-0.153336</v>
      </c>
      <c r="AC122">
        <v>0.89578400000000002</v>
      </c>
      <c r="AD122">
        <v>-7.1290000000000006E-2</v>
      </c>
      <c r="AE122">
        <v>-0.57931999999999995</v>
      </c>
      <c r="AF122">
        <v>8.8680999999999996E-2</v>
      </c>
      <c r="AG122">
        <v>0</v>
      </c>
      <c r="AH122">
        <v>1</v>
      </c>
      <c r="AI122">
        <v>0</v>
      </c>
      <c r="AJ122">
        <v>0</v>
      </c>
      <c r="AK122">
        <v>0</v>
      </c>
    </row>
    <row r="123" spans="1:37" x14ac:dyDescent="0.3">
      <c r="A123">
        <v>926</v>
      </c>
      <c r="B123">
        <v>2025</v>
      </c>
      <c r="C123" t="s">
        <v>187</v>
      </c>
      <c r="D123">
        <v>1.6666666666666681</v>
      </c>
      <c r="E123">
        <v>6381.6760000000004</v>
      </c>
      <c r="F123">
        <v>20903.939999999999</v>
      </c>
      <c r="G123">
        <v>209.71299999999999</v>
      </c>
      <c r="H123">
        <v>686.94</v>
      </c>
      <c r="I123">
        <v>2</v>
      </c>
      <c r="J123">
        <v>8.9570000000000007</v>
      </c>
      <c r="K123">
        <v>-21.335000000000001</v>
      </c>
      <c r="L123">
        <v>41.555999999999997</v>
      </c>
      <c r="M123">
        <v>108.64400000000001</v>
      </c>
      <c r="N123">
        <v>-16.507000000000001</v>
      </c>
      <c r="O123">
        <v>-16.382000000000001</v>
      </c>
      <c r="P123">
        <v>4.9529999999999994</v>
      </c>
      <c r="Q123">
        <v>11.918856482818359</v>
      </c>
      <c r="R123">
        <v>2.6143998459909521</v>
      </c>
      <c r="S123">
        <v>-8.1699999999999662E-2</v>
      </c>
      <c r="T123">
        <v>8.9632000000000005</v>
      </c>
      <c r="U123">
        <v>-10.364599999999999</v>
      </c>
      <c r="V123">
        <v>-4.9455</v>
      </c>
      <c r="W123">
        <v>5.0999999999999996</v>
      </c>
      <c r="X123">
        <v>5.9960722863335478</v>
      </c>
      <c r="Y123">
        <v>98.551890471101359</v>
      </c>
      <c r="Z123">
        <v>16.436074444219791</v>
      </c>
      <c r="AA123">
        <v>-0.111009</v>
      </c>
      <c r="AB123">
        <v>-0.432315</v>
      </c>
      <c r="AC123">
        <v>-0.59884300000000001</v>
      </c>
      <c r="AD123">
        <v>-0.30085200000000001</v>
      </c>
      <c r="AE123">
        <v>-0.72019900000000003</v>
      </c>
      <c r="AF123">
        <v>-0.67238100000000001</v>
      </c>
      <c r="AG123">
        <v>0</v>
      </c>
      <c r="AH123">
        <v>1</v>
      </c>
      <c r="AI123">
        <v>1</v>
      </c>
      <c r="AJ123">
        <v>1</v>
      </c>
      <c r="AK123">
        <v>0.61656529091383006</v>
      </c>
    </row>
    <row r="124" spans="1:37" x14ac:dyDescent="0.3">
      <c r="A124">
        <v>927</v>
      </c>
      <c r="B124">
        <v>2025</v>
      </c>
      <c r="C124" t="s">
        <v>188</v>
      </c>
      <c r="D124">
        <v>10.33333333333333</v>
      </c>
      <c r="E124">
        <v>3646.6039999999998</v>
      </c>
      <c r="F124">
        <v>12558.99</v>
      </c>
      <c r="G124">
        <v>137.47999999999999</v>
      </c>
      <c r="H124">
        <v>473.48599999999999</v>
      </c>
      <c r="I124">
        <v>6.7990000000000004</v>
      </c>
      <c r="J124">
        <v>8.5090000000000003</v>
      </c>
      <c r="K124">
        <v>-2.3610000000000002</v>
      </c>
      <c r="L124">
        <v>25.521000000000001</v>
      </c>
      <c r="M124">
        <v>31.062000000000001</v>
      </c>
      <c r="N124">
        <v>-2.4180000000000001</v>
      </c>
      <c r="O124">
        <v>-1.623</v>
      </c>
      <c r="P124">
        <v>0.73800000000000021</v>
      </c>
      <c r="Q124">
        <v>2.891736217232868</v>
      </c>
      <c r="R124">
        <v>1.2171153167979309</v>
      </c>
      <c r="S124">
        <v>5.8403000000000009</v>
      </c>
      <c r="T124">
        <v>8.1915999999999993</v>
      </c>
      <c r="U124">
        <v>-2.8823000000000012</v>
      </c>
      <c r="V124">
        <v>-4.8089000000000004</v>
      </c>
      <c r="W124">
        <v>4</v>
      </c>
      <c r="X124">
        <v>4.5977621029742579</v>
      </c>
      <c r="Y124">
        <v>37.457487801991142</v>
      </c>
      <c r="Z124">
        <v>8.1468955903047195</v>
      </c>
      <c r="AA124">
        <v>-1.040198</v>
      </c>
      <c r="AB124">
        <v>-2.6734000000000001E-2</v>
      </c>
      <c r="AC124">
        <v>-0.143592</v>
      </c>
      <c r="AD124">
        <v>-0.52674399999999999</v>
      </c>
      <c r="AE124">
        <v>-0.65620699999999998</v>
      </c>
      <c r="AF124">
        <v>-0.75431599999999999</v>
      </c>
      <c r="AG124">
        <v>0</v>
      </c>
      <c r="AH124">
        <v>1</v>
      </c>
      <c r="AI124">
        <v>0</v>
      </c>
      <c r="AJ124">
        <v>0</v>
      </c>
      <c r="AK124">
        <v>0</v>
      </c>
    </row>
    <row r="125" spans="1:37" x14ac:dyDescent="0.3">
      <c r="A125">
        <v>935</v>
      </c>
      <c r="B125">
        <v>2025</v>
      </c>
      <c r="C125" t="s">
        <v>189</v>
      </c>
      <c r="D125">
        <v>19</v>
      </c>
      <c r="E125">
        <v>35161.480000000003</v>
      </c>
      <c r="F125">
        <v>59853.14</v>
      </c>
      <c r="G125">
        <v>383.38400000000001</v>
      </c>
      <c r="H125">
        <v>652.61</v>
      </c>
      <c r="I125">
        <v>2.298</v>
      </c>
      <c r="J125">
        <v>2.375</v>
      </c>
      <c r="K125">
        <v>-2.1579999999999999</v>
      </c>
      <c r="L125">
        <v>41.222000000000001</v>
      </c>
      <c r="M125">
        <v>43.999000000000002</v>
      </c>
      <c r="N125">
        <v>0.56999999999999995</v>
      </c>
      <c r="O125">
        <v>-1.4770000000000001</v>
      </c>
      <c r="P125">
        <v>0.68099999999999983</v>
      </c>
      <c r="Q125">
        <v>1.652030469166949</v>
      </c>
      <c r="R125">
        <v>1.067366939983504</v>
      </c>
      <c r="S125">
        <v>1.3158000000000001</v>
      </c>
      <c r="T125">
        <v>4.5292000000000003</v>
      </c>
      <c r="U125">
        <v>-3.335</v>
      </c>
      <c r="V125">
        <v>-0.17760000000000001</v>
      </c>
      <c r="W125">
        <v>9.3439484999999998</v>
      </c>
      <c r="X125">
        <v>1.5532828168469339</v>
      </c>
      <c r="Y125">
        <v>64.854646292320467</v>
      </c>
      <c r="Z125">
        <v>41.753276086560533</v>
      </c>
      <c r="AA125">
        <v>1.254696</v>
      </c>
      <c r="AB125">
        <v>0.97190100000000001</v>
      </c>
      <c r="AC125">
        <v>1.1773279999999999</v>
      </c>
      <c r="AD125">
        <v>1.231908</v>
      </c>
      <c r="AE125">
        <v>1.188131</v>
      </c>
      <c r="AF125">
        <v>0.93106599999999995</v>
      </c>
      <c r="AG125">
        <v>0</v>
      </c>
      <c r="AH125">
        <v>1</v>
      </c>
      <c r="AI125">
        <v>0</v>
      </c>
      <c r="AJ125">
        <v>0</v>
      </c>
      <c r="AK125">
        <v>0</v>
      </c>
    </row>
    <row r="126" spans="1:37" x14ac:dyDescent="0.3">
      <c r="A126">
        <v>936</v>
      </c>
      <c r="B126">
        <v>2025</v>
      </c>
      <c r="C126" t="s">
        <v>190</v>
      </c>
      <c r="D126">
        <v>16.666666666666671</v>
      </c>
      <c r="E126">
        <v>28524.48</v>
      </c>
      <c r="F126">
        <v>47596.54</v>
      </c>
      <c r="G126">
        <v>154.58699999999999</v>
      </c>
      <c r="H126">
        <v>257.947</v>
      </c>
      <c r="I126">
        <v>0.91</v>
      </c>
      <c r="J126">
        <v>3.907</v>
      </c>
      <c r="K126">
        <v>-5.1970000000000001</v>
      </c>
      <c r="L126">
        <v>43.354999999999997</v>
      </c>
      <c r="M126">
        <v>59.575000000000003</v>
      </c>
      <c r="N126">
        <v>-2.887</v>
      </c>
      <c r="O126">
        <v>-4.03</v>
      </c>
      <c r="P126">
        <v>1.167</v>
      </c>
      <c r="Q126">
        <v>2.6917310575481488</v>
      </c>
      <c r="R126">
        <v>1.374120631991697</v>
      </c>
      <c r="S126">
        <v>1.7544</v>
      </c>
      <c r="T126">
        <v>4.4554</v>
      </c>
      <c r="U126">
        <v>-4.9205999999999994</v>
      </c>
      <c r="V126">
        <v>-2.9885999999999999</v>
      </c>
      <c r="W126">
        <v>1.1306512500000001</v>
      </c>
      <c r="X126">
        <v>12.093288499881719</v>
      </c>
      <c r="Y126">
        <v>91.854128141709765</v>
      </c>
      <c r="Z126">
        <v>7.5954632309159038</v>
      </c>
      <c r="AA126">
        <v>0.93018400000000001</v>
      </c>
      <c r="AB126">
        <v>0.63437100000000002</v>
      </c>
      <c r="AC126">
        <v>0.65758000000000005</v>
      </c>
      <c r="AD126">
        <v>0.40470499999999998</v>
      </c>
      <c r="AE126">
        <v>0.560944</v>
      </c>
      <c r="AF126">
        <v>0.11082</v>
      </c>
      <c r="AG126">
        <v>1</v>
      </c>
      <c r="AH126">
        <v>0</v>
      </c>
      <c r="AI126">
        <v>0</v>
      </c>
      <c r="AJ126">
        <v>0</v>
      </c>
      <c r="AK126">
        <v>0</v>
      </c>
    </row>
    <row r="127" spans="1:37" x14ac:dyDescent="0.3">
      <c r="A127">
        <v>939</v>
      </c>
      <c r="B127">
        <v>2025</v>
      </c>
      <c r="C127" t="s">
        <v>191</v>
      </c>
      <c r="D127">
        <v>18</v>
      </c>
      <c r="E127">
        <v>34041.29</v>
      </c>
      <c r="F127">
        <v>49087.45</v>
      </c>
      <c r="G127">
        <v>46.762999999999998</v>
      </c>
      <c r="H127">
        <v>67.433000000000007</v>
      </c>
      <c r="I127">
        <v>0.47499999999999998</v>
      </c>
      <c r="J127">
        <v>5.298</v>
      </c>
      <c r="K127">
        <v>-1.498</v>
      </c>
      <c r="L127">
        <v>43.27</v>
      </c>
      <c r="M127">
        <v>24.413</v>
      </c>
      <c r="N127">
        <v>-0.92400000000000004</v>
      </c>
      <c r="O127">
        <v>-1.304</v>
      </c>
      <c r="P127">
        <v>0.19400000000000001</v>
      </c>
      <c r="Q127">
        <v>0.44834758493182331</v>
      </c>
      <c r="R127">
        <v>0.5642015253062167</v>
      </c>
      <c r="S127">
        <v>0.86670000000000003</v>
      </c>
      <c r="T127">
        <v>5.3771000000000004</v>
      </c>
      <c r="U127">
        <v>-2.8721999999999999</v>
      </c>
      <c r="V127">
        <v>-2.0448</v>
      </c>
      <c r="W127">
        <v>1.0522</v>
      </c>
      <c r="X127">
        <v>8.9537044453344024</v>
      </c>
      <c r="Y127">
        <v>47.000924991590978</v>
      </c>
      <c r="Z127">
        <v>5.2493272788429186</v>
      </c>
      <c r="AA127">
        <v>1.414499</v>
      </c>
      <c r="AB127">
        <v>0.69957599999999998</v>
      </c>
      <c r="AC127">
        <v>1.296991</v>
      </c>
      <c r="AD127">
        <v>1.3977040000000001</v>
      </c>
      <c r="AE127">
        <v>1.486448</v>
      </c>
      <c r="AF127">
        <v>1.6693210000000001</v>
      </c>
      <c r="AG127">
        <v>1</v>
      </c>
      <c r="AH127">
        <v>0</v>
      </c>
      <c r="AI127">
        <v>0</v>
      </c>
      <c r="AJ127">
        <v>0</v>
      </c>
      <c r="AK127">
        <v>0</v>
      </c>
    </row>
    <row r="128" spans="1:37" x14ac:dyDescent="0.3">
      <c r="A128">
        <v>941</v>
      </c>
      <c r="B128">
        <v>2025</v>
      </c>
      <c r="C128" t="s">
        <v>192</v>
      </c>
      <c r="D128">
        <v>16.333333333333329</v>
      </c>
      <c r="E128">
        <v>25629.633999999998</v>
      </c>
      <c r="F128">
        <v>44105.52</v>
      </c>
      <c r="G128">
        <v>47.88</v>
      </c>
      <c r="H128">
        <v>82.394999999999996</v>
      </c>
      <c r="I128">
        <v>1.028</v>
      </c>
      <c r="J128">
        <v>3.427</v>
      </c>
      <c r="K128">
        <v>-3.4550000000000001</v>
      </c>
      <c r="L128">
        <v>40.835000000000001</v>
      </c>
      <c r="M128">
        <v>47.134</v>
      </c>
      <c r="N128">
        <v>-2.1150000000000002</v>
      </c>
      <c r="O128">
        <v>-2.379</v>
      </c>
      <c r="P128">
        <v>1.0760000000000001</v>
      </c>
      <c r="Q128">
        <v>2.6349944900208149</v>
      </c>
      <c r="R128">
        <v>1.154254928370271</v>
      </c>
      <c r="S128">
        <v>1.8022</v>
      </c>
      <c r="T128">
        <v>4.5364000000000004</v>
      </c>
      <c r="U128">
        <v>-3.7425999999999999</v>
      </c>
      <c r="V128">
        <v>-2.4026999999999998</v>
      </c>
      <c r="W128">
        <v>1.5981000000000001</v>
      </c>
      <c r="X128">
        <v>9.7485637426900578</v>
      </c>
      <c r="Y128">
        <v>75.20411072614408</v>
      </c>
      <c r="Z128">
        <v>7.7143785188393226</v>
      </c>
      <c r="AA128">
        <v>1.12795</v>
      </c>
      <c r="AB128">
        <v>0.62014000000000002</v>
      </c>
      <c r="AC128">
        <v>0.74317999999999995</v>
      </c>
      <c r="AD128">
        <v>1.099817</v>
      </c>
      <c r="AE128">
        <v>1.0913839999999999</v>
      </c>
      <c r="AF128">
        <v>0.82513400000000003</v>
      </c>
      <c r="AG128">
        <v>1</v>
      </c>
      <c r="AH128">
        <v>0</v>
      </c>
      <c r="AI128">
        <v>0</v>
      </c>
      <c r="AJ128">
        <v>0</v>
      </c>
      <c r="AK128">
        <v>0</v>
      </c>
    </row>
    <row r="129" spans="1:37" x14ac:dyDescent="0.3">
      <c r="A129">
        <v>942</v>
      </c>
      <c r="B129">
        <v>2025</v>
      </c>
      <c r="C129" t="s">
        <v>193</v>
      </c>
      <c r="D129">
        <v>12</v>
      </c>
      <c r="E129">
        <v>15322.2</v>
      </c>
      <c r="F129">
        <v>32741.87</v>
      </c>
      <c r="G129">
        <v>100.048</v>
      </c>
      <c r="H129">
        <v>213.791</v>
      </c>
      <c r="I129">
        <v>2.3759999999999999</v>
      </c>
      <c r="J129">
        <v>4.7</v>
      </c>
      <c r="K129">
        <v>-2.734</v>
      </c>
      <c r="L129">
        <v>40.561</v>
      </c>
      <c r="M129">
        <v>43.902000000000001</v>
      </c>
      <c r="N129">
        <v>-5.3010000000000002</v>
      </c>
      <c r="O129">
        <v>-0.58699999999999997</v>
      </c>
      <c r="P129">
        <v>2.1469999999999998</v>
      </c>
      <c r="Q129">
        <v>5.2932620004437769</v>
      </c>
      <c r="R129">
        <v>1.082369764059071</v>
      </c>
      <c r="S129">
        <v>3.5813999999999999</v>
      </c>
      <c r="T129">
        <v>5.3465000000000007</v>
      </c>
      <c r="U129">
        <v>-2.6116999999999999</v>
      </c>
      <c r="V129">
        <v>-4.6522000000000006</v>
      </c>
      <c r="W129">
        <v>7.5820699999999999</v>
      </c>
      <c r="X129">
        <v>1.5996240996398561</v>
      </c>
      <c r="Y129">
        <v>42.984747522606533</v>
      </c>
      <c r="Z129">
        <v>26.871780396584569</v>
      </c>
      <c r="AA129">
        <v>-0.46585799999999999</v>
      </c>
      <c r="AB129">
        <v>-0.16863900000000001</v>
      </c>
      <c r="AC129">
        <v>0.101949</v>
      </c>
      <c r="AD129">
        <v>7.8350000000000003E-2</v>
      </c>
      <c r="AE129">
        <v>-0.20007800000000001</v>
      </c>
      <c r="AF129">
        <v>-0.56082900000000002</v>
      </c>
      <c r="AG129">
        <v>0</v>
      </c>
      <c r="AH129">
        <v>1</v>
      </c>
      <c r="AI129">
        <v>0</v>
      </c>
      <c r="AJ129">
        <v>0</v>
      </c>
      <c r="AK129">
        <v>0</v>
      </c>
    </row>
    <row r="130" spans="1:37" x14ac:dyDescent="0.3">
      <c r="A130">
        <v>943</v>
      </c>
      <c r="B130">
        <v>2025</v>
      </c>
      <c r="C130" t="s">
        <v>194</v>
      </c>
      <c r="D130">
        <v>9.5</v>
      </c>
      <c r="E130">
        <v>14985.9</v>
      </c>
      <c r="F130">
        <v>34407.85</v>
      </c>
      <c r="G130">
        <v>9.3529999999999998</v>
      </c>
      <c r="H130">
        <v>21.475999999999999</v>
      </c>
      <c r="I130">
        <v>3.2</v>
      </c>
      <c r="J130">
        <v>4.9619999999999997</v>
      </c>
      <c r="K130">
        <v>-3.532</v>
      </c>
      <c r="L130">
        <v>39.856000000000002</v>
      </c>
      <c r="M130">
        <v>60.792999999999999</v>
      </c>
      <c r="N130">
        <v>-18.13</v>
      </c>
      <c r="O130">
        <v>-1.4119999999999999</v>
      </c>
      <c r="P130">
        <v>2.12</v>
      </c>
      <c r="Q130">
        <v>5.3191489361702127</v>
      </c>
      <c r="R130">
        <v>1.5253161380971501</v>
      </c>
      <c r="S130">
        <v>3.0834999999999999</v>
      </c>
      <c r="T130">
        <v>4.0615000000000014</v>
      </c>
      <c r="U130">
        <v>-3.7972999999999999</v>
      </c>
      <c r="V130">
        <v>-16.185300000000002</v>
      </c>
      <c r="W130">
        <v>4.7419508643883699</v>
      </c>
      <c r="X130">
        <v>5.757391053450533</v>
      </c>
      <c r="Y130">
        <v>120.4443412084326</v>
      </c>
      <c r="Z130">
        <v>20.919951431169089</v>
      </c>
      <c r="AA130">
        <v>0.390957</v>
      </c>
      <c r="AB130">
        <v>0.33185599999999998</v>
      </c>
      <c r="AC130">
        <v>0.36649500000000002</v>
      </c>
      <c r="AD130">
        <v>0.12731799999999999</v>
      </c>
      <c r="AE130">
        <v>0.18138299999999999</v>
      </c>
      <c r="AF130">
        <v>-5.9434000000000001E-2</v>
      </c>
      <c r="AG130">
        <v>0</v>
      </c>
      <c r="AH130">
        <v>1</v>
      </c>
      <c r="AI130">
        <v>0</v>
      </c>
      <c r="AJ130">
        <v>0</v>
      </c>
      <c r="AK130">
        <v>0</v>
      </c>
    </row>
    <row r="131" spans="1:37" x14ac:dyDescent="0.3">
      <c r="A131">
        <v>944</v>
      </c>
      <c r="B131">
        <v>2025</v>
      </c>
      <c r="C131" t="s">
        <v>195</v>
      </c>
      <c r="D131">
        <v>13.66666666666667</v>
      </c>
      <c r="E131">
        <v>25916.33</v>
      </c>
      <c r="F131">
        <v>48156.87</v>
      </c>
      <c r="G131">
        <v>247.75899999999999</v>
      </c>
      <c r="H131">
        <v>460.37799999999999</v>
      </c>
      <c r="I131">
        <v>0.59499999999999997</v>
      </c>
      <c r="J131">
        <v>4.1050000000000004</v>
      </c>
      <c r="K131">
        <v>-4.6849999999999996</v>
      </c>
      <c r="L131">
        <v>42.796999999999997</v>
      </c>
      <c r="M131">
        <v>74.760999999999996</v>
      </c>
      <c r="N131">
        <v>1.2410000000000001</v>
      </c>
      <c r="O131">
        <v>-1.165</v>
      </c>
      <c r="P131">
        <v>3.52</v>
      </c>
      <c r="Q131">
        <v>8.2248755753907989</v>
      </c>
      <c r="R131">
        <v>1.74687478094259</v>
      </c>
      <c r="S131">
        <v>1.6627000000000001</v>
      </c>
      <c r="T131">
        <v>6.0926</v>
      </c>
      <c r="U131">
        <v>-5.5157000000000007</v>
      </c>
      <c r="V131">
        <v>-0.48120000000000029</v>
      </c>
      <c r="W131">
        <v>3.6666314999999998</v>
      </c>
      <c r="X131">
        <v>5.0184340061185404</v>
      </c>
      <c r="Y131">
        <v>87.176056587279689</v>
      </c>
      <c r="Z131">
        <v>17.371167276683021</v>
      </c>
      <c r="AA131">
        <v>-2.7727999999999999E-2</v>
      </c>
      <c r="AB131">
        <v>0.43632900000000002</v>
      </c>
      <c r="AC131">
        <v>0.50190800000000002</v>
      </c>
      <c r="AD131">
        <v>0.33504400000000001</v>
      </c>
      <c r="AE131">
        <v>0.19233600000000001</v>
      </c>
      <c r="AF131">
        <v>3.9437E-2</v>
      </c>
      <c r="AG131">
        <v>0</v>
      </c>
      <c r="AH131">
        <v>1</v>
      </c>
      <c r="AI131">
        <v>0</v>
      </c>
      <c r="AJ131">
        <v>0</v>
      </c>
      <c r="AK131">
        <v>0</v>
      </c>
    </row>
    <row r="132" spans="1:37" x14ac:dyDescent="0.3">
      <c r="A132">
        <v>946</v>
      </c>
      <c r="B132">
        <v>2025</v>
      </c>
      <c r="C132" t="s">
        <v>196</v>
      </c>
      <c r="D132">
        <v>17</v>
      </c>
      <c r="E132">
        <v>32982.410000000003</v>
      </c>
      <c r="F132">
        <v>57201.43</v>
      </c>
      <c r="G132">
        <v>95.274000000000001</v>
      </c>
      <c r="H132">
        <v>165.23400000000001</v>
      </c>
      <c r="I132">
        <v>2.7330000000000001</v>
      </c>
      <c r="J132">
        <v>3.706</v>
      </c>
      <c r="K132">
        <v>-2.694</v>
      </c>
      <c r="L132">
        <v>38.142000000000003</v>
      </c>
      <c r="M132">
        <v>41.784999999999997</v>
      </c>
      <c r="N132">
        <v>2.0819999999999999</v>
      </c>
      <c r="O132">
        <v>-1.7889999999999999</v>
      </c>
      <c r="P132">
        <v>0.90500000000000003</v>
      </c>
      <c r="Q132">
        <v>2.3727124954118821</v>
      </c>
      <c r="R132">
        <v>1.095511509621939</v>
      </c>
      <c r="S132">
        <v>2.4859</v>
      </c>
      <c r="T132">
        <v>4.8422999999999989</v>
      </c>
      <c r="U132">
        <v>-2.789600000000001</v>
      </c>
      <c r="V132">
        <v>1.6988000000000001</v>
      </c>
      <c r="W132">
        <v>0.98609999999999998</v>
      </c>
      <c r="X132">
        <v>11.963225474031329</v>
      </c>
      <c r="Y132">
        <v>63.580228928199787</v>
      </c>
      <c r="Z132">
        <v>5.3146393559340606</v>
      </c>
      <c r="AA132">
        <v>1.2226459999999999</v>
      </c>
      <c r="AB132">
        <v>0.93944399999999995</v>
      </c>
      <c r="AC132">
        <v>1.201492</v>
      </c>
      <c r="AD132">
        <v>1.2915909999999999</v>
      </c>
      <c r="AE132">
        <v>1.374236</v>
      </c>
      <c r="AF132">
        <v>0.99278900000000003</v>
      </c>
      <c r="AG132">
        <v>1</v>
      </c>
      <c r="AH132">
        <v>0</v>
      </c>
      <c r="AI132">
        <v>0</v>
      </c>
      <c r="AJ132">
        <v>0</v>
      </c>
      <c r="AK132">
        <v>0</v>
      </c>
    </row>
    <row r="133" spans="1:37" x14ac:dyDescent="0.3">
      <c r="A133">
        <v>948</v>
      </c>
      <c r="B133">
        <v>2025</v>
      </c>
      <c r="C133" t="s">
        <v>197</v>
      </c>
      <c r="D133">
        <v>8.6666666666666661</v>
      </c>
      <c r="E133">
        <v>7005.4939999999997</v>
      </c>
      <c r="F133">
        <v>20378.3</v>
      </c>
      <c r="G133">
        <v>25.105</v>
      </c>
      <c r="H133">
        <v>73.028000000000006</v>
      </c>
      <c r="I133">
        <v>5.4969999999999999</v>
      </c>
      <c r="J133">
        <v>8.1999999999999993</v>
      </c>
      <c r="K133">
        <v>-0.68700000000000006</v>
      </c>
      <c r="L133">
        <v>34.895000000000003</v>
      </c>
      <c r="M133">
        <v>46.569000000000003</v>
      </c>
      <c r="N133">
        <v>-14.353</v>
      </c>
      <c r="O133">
        <v>1.0309999999999999</v>
      </c>
      <c r="P133">
        <v>1.718</v>
      </c>
      <c r="Q133">
        <v>4.9233414529302184</v>
      </c>
      <c r="R133">
        <v>1.3345464966327549</v>
      </c>
      <c r="S133">
        <v>4.1413000000000002</v>
      </c>
      <c r="T133">
        <v>8.3315000000000019</v>
      </c>
      <c r="U133">
        <v>-1.6272</v>
      </c>
      <c r="V133">
        <v>-10.7456</v>
      </c>
      <c r="W133">
        <v>5.6926202350245596</v>
      </c>
      <c r="X133">
        <v>11.01900544168393</v>
      </c>
      <c r="Y133">
        <v>121.1486021092022</v>
      </c>
      <c r="Z133">
        <v>10.994513320676621</v>
      </c>
      <c r="AA133">
        <v>0.12690699999999999</v>
      </c>
      <c r="AB133">
        <v>0.42038199999999998</v>
      </c>
      <c r="AC133">
        <v>-0.38921899999999998</v>
      </c>
      <c r="AD133">
        <v>-7.0749999999999993E-2</v>
      </c>
      <c r="AE133">
        <v>-9.9769999999999998E-2</v>
      </c>
      <c r="AF133">
        <v>-0.485958</v>
      </c>
      <c r="AG133">
        <v>0</v>
      </c>
      <c r="AH133">
        <v>1</v>
      </c>
      <c r="AI133">
        <v>0</v>
      </c>
      <c r="AJ133">
        <v>0</v>
      </c>
      <c r="AK133">
        <v>0</v>
      </c>
    </row>
    <row r="134" spans="1:37" x14ac:dyDescent="0.3">
      <c r="A134">
        <v>960</v>
      </c>
      <c r="B134">
        <v>2025</v>
      </c>
      <c r="C134" t="s">
        <v>198</v>
      </c>
      <c r="D134">
        <v>16</v>
      </c>
      <c r="E134">
        <v>26957.85</v>
      </c>
      <c r="F134">
        <v>51453.31</v>
      </c>
      <c r="G134">
        <v>103.901</v>
      </c>
      <c r="H134">
        <v>198.31200000000001</v>
      </c>
      <c r="I134">
        <v>3.1</v>
      </c>
      <c r="J134">
        <v>3.8149999999999999</v>
      </c>
      <c r="K134">
        <v>-2.9180000000000001</v>
      </c>
      <c r="L134">
        <v>45.972999999999999</v>
      </c>
      <c r="M134">
        <v>56.994999999999997</v>
      </c>
      <c r="N134">
        <v>-1.623</v>
      </c>
      <c r="O134">
        <v>-2.0249999999999999</v>
      </c>
      <c r="P134">
        <v>0.89300000000000024</v>
      </c>
      <c r="Q134">
        <v>1.94244447828073</v>
      </c>
      <c r="R134">
        <v>1.2397494181367319</v>
      </c>
      <c r="S134">
        <v>3.2429999999999999</v>
      </c>
      <c r="T134">
        <v>4.1020000000000003</v>
      </c>
      <c r="U134">
        <v>-2.6355999999999988</v>
      </c>
      <c r="V134">
        <v>-1.2798</v>
      </c>
      <c r="W134">
        <v>0.79310649999999994</v>
      </c>
      <c r="X134">
        <v>18.09790846721846</v>
      </c>
      <c r="Y134">
        <v>68.626105537777718</v>
      </c>
      <c r="Z134">
        <v>3.791935717991016</v>
      </c>
      <c r="AA134">
        <v>0.64866400000000002</v>
      </c>
      <c r="AB134">
        <v>0.58140899999999995</v>
      </c>
      <c r="AC134">
        <v>0.70976300000000003</v>
      </c>
      <c r="AD134">
        <v>0.28587600000000002</v>
      </c>
      <c r="AE134">
        <v>0.37748399999999999</v>
      </c>
      <c r="AF134">
        <v>0.14868100000000001</v>
      </c>
      <c r="AG134">
        <v>1</v>
      </c>
      <c r="AH134">
        <v>0</v>
      </c>
      <c r="AI134">
        <v>0</v>
      </c>
      <c r="AJ134">
        <v>0</v>
      </c>
      <c r="AK134">
        <v>0</v>
      </c>
    </row>
    <row r="135" spans="1:37" x14ac:dyDescent="0.3">
      <c r="A135">
        <v>961</v>
      </c>
      <c r="B135">
        <v>2025</v>
      </c>
      <c r="C135" t="s">
        <v>199</v>
      </c>
      <c r="D135">
        <v>18</v>
      </c>
      <c r="E135">
        <v>37178.019999999997</v>
      </c>
      <c r="F135">
        <v>57716.480000000003</v>
      </c>
      <c r="G135">
        <v>79.221000000000004</v>
      </c>
      <c r="H135">
        <v>122.985</v>
      </c>
      <c r="I135">
        <v>1.1000000000000001</v>
      </c>
      <c r="J135">
        <v>2.7530000000000001</v>
      </c>
      <c r="K135">
        <v>-2.4489999999999998</v>
      </c>
      <c r="L135">
        <v>45.74</v>
      </c>
      <c r="M135">
        <v>66.563000000000002</v>
      </c>
      <c r="N135">
        <v>2.8679999999999999</v>
      </c>
      <c r="O135">
        <v>-1.54</v>
      </c>
      <c r="P135">
        <v>0.90899999999999981</v>
      </c>
      <c r="Q135">
        <v>1.9873196327066021</v>
      </c>
      <c r="R135">
        <v>1.4552470485351989</v>
      </c>
      <c r="S135">
        <v>2.1707000000000001</v>
      </c>
      <c r="T135">
        <v>3.1387999999999998</v>
      </c>
      <c r="U135">
        <v>-3.202</v>
      </c>
      <c r="V135">
        <v>3.3586</v>
      </c>
      <c r="W135">
        <v>0</v>
      </c>
      <c r="X135">
        <v>44.558443968593863</v>
      </c>
      <c r="Y135">
        <v>83.483397301309225</v>
      </c>
      <c r="Z135">
        <v>1.873570750364417</v>
      </c>
      <c r="AA135">
        <v>1.0571489999999999</v>
      </c>
      <c r="AB135">
        <v>0.72091499999999997</v>
      </c>
      <c r="AC135">
        <v>1.0893349999999999</v>
      </c>
      <c r="AD135">
        <v>0.79816299999999996</v>
      </c>
      <c r="AE135">
        <v>0.97866399999999998</v>
      </c>
      <c r="AF135">
        <v>0.67435</v>
      </c>
      <c r="AG135">
        <v>1</v>
      </c>
      <c r="AH135">
        <v>0</v>
      </c>
      <c r="AI135">
        <v>0</v>
      </c>
      <c r="AJ135">
        <v>0</v>
      </c>
      <c r="AK135">
        <v>0</v>
      </c>
    </row>
    <row r="136" spans="1:37" x14ac:dyDescent="0.3">
      <c r="A136">
        <v>962</v>
      </c>
      <c r="B136">
        <v>2025</v>
      </c>
      <c r="C136" t="s">
        <v>200</v>
      </c>
      <c r="D136">
        <v>11</v>
      </c>
      <c r="E136">
        <v>10377.99</v>
      </c>
      <c r="F136">
        <v>29509.919999999998</v>
      </c>
      <c r="G136">
        <v>18.783000000000001</v>
      </c>
      <c r="H136">
        <v>53.408999999999999</v>
      </c>
      <c r="I136">
        <v>3.4</v>
      </c>
      <c r="J136">
        <v>3.5</v>
      </c>
      <c r="K136">
        <v>-5.0389999999999997</v>
      </c>
      <c r="L136">
        <v>33.902000000000001</v>
      </c>
      <c r="M136">
        <v>52.86</v>
      </c>
      <c r="N136">
        <v>-3.5630000000000002</v>
      </c>
      <c r="O136">
        <v>-3.0019999999999998</v>
      </c>
      <c r="P136">
        <v>2.0369999999999999</v>
      </c>
      <c r="Q136">
        <v>6.0084950740369303</v>
      </c>
      <c r="R136">
        <v>1.5592000471948559</v>
      </c>
      <c r="S136">
        <v>2.3411</v>
      </c>
      <c r="T136">
        <v>4.5989999999999993</v>
      </c>
      <c r="U136">
        <v>-4.7693999999999992</v>
      </c>
      <c r="V136">
        <v>-2.831</v>
      </c>
      <c r="W136">
        <v>5.1363099999999999</v>
      </c>
      <c r="X136">
        <v>2.26523671322329</v>
      </c>
      <c r="Y136">
        <v>67.44936537942209</v>
      </c>
      <c r="Z136">
        <v>29.775857412908451</v>
      </c>
      <c r="AA136">
        <v>7.3738999999999999E-2</v>
      </c>
      <c r="AB136">
        <v>0.155809</v>
      </c>
      <c r="AC136">
        <v>-3.2342999999999997E-2</v>
      </c>
      <c r="AD136">
        <v>0.26630300000000001</v>
      </c>
      <c r="AE136">
        <v>-0.22492999999999999</v>
      </c>
      <c r="AF136">
        <v>-0.32922099999999999</v>
      </c>
      <c r="AG136">
        <v>0</v>
      </c>
      <c r="AH136">
        <v>1</v>
      </c>
      <c r="AI136">
        <v>0</v>
      </c>
      <c r="AJ136">
        <v>0</v>
      </c>
      <c r="AK136">
        <v>0</v>
      </c>
    </row>
    <row r="137" spans="1:37" x14ac:dyDescent="0.3">
      <c r="A137">
        <v>963</v>
      </c>
      <c r="B137">
        <v>2025</v>
      </c>
      <c r="C137" t="s">
        <v>201</v>
      </c>
      <c r="D137">
        <v>8</v>
      </c>
      <c r="E137">
        <v>9647.6350000000002</v>
      </c>
      <c r="F137">
        <v>22829.68</v>
      </c>
      <c r="G137">
        <v>33.237000000000002</v>
      </c>
      <c r="H137">
        <v>78.652000000000001</v>
      </c>
      <c r="I137">
        <v>2.4</v>
      </c>
      <c r="J137">
        <v>3.1960000000000002</v>
      </c>
      <c r="K137">
        <v>-2.4740000000000002</v>
      </c>
      <c r="L137">
        <v>42.091999999999999</v>
      </c>
      <c r="M137">
        <v>30.648</v>
      </c>
      <c r="N137">
        <v>-3.8540000000000001</v>
      </c>
      <c r="O137">
        <v>-1.57</v>
      </c>
      <c r="P137">
        <v>0.90400000000000014</v>
      </c>
      <c r="Q137">
        <v>2.1476765181032031</v>
      </c>
      <c r="R137">
        <v>0.72811935759764324</v>
      </c>
      <c r="S137">
        <v>2.7669999999999999</v>
      </c>
      <c r="T137">
        <v>3.5947</v>
      </c>
      <c r="U137">
        <v>-2.1162999999999998</v>
      </c>
      <c r="V137">
        <v>-3.4689000000000001</v>
      </c>
      <c r="W137">
        <v>6.7545400000000004</v>
      </c>
      <c r="X137">
        <v>1.9275149262138109</v>
      </c>
      <c r="Y137">
        <v>53.99353108236037</v>
      </c>
      <c r="Z137">
        <v>28.01199116440517</v>
      </c>
      <c r="AA137">
        <v>-0.39525199999999999</v>
      </c>
      <c r="AB137">
        <v>-0.50106099999999998</v>
      </c>
      <c r="AC137">
        <v>-0.63531599999999999</v>
      </c>
      <c r="AD137">
        <v>-0.34984900000000002</v>
      </c>
      <c r="AE137">
        <v>-0.31913399999999997</v>
      </c>
      <c r="AF137">
        <v>-0.51286799999999999</v>
      </c>
      <c r="AG137">
        <v>0</v>
      </c>
      <c r="AH137">
        <v>1</v>
      </c>
      <c r="AI137">
        <v>0</v>
      </c>
      <c r="AJ137">
        <v>0</v>
      </c>
      <c r="AK137">
        <v>0</v>
      </c>
    </row>
    <row r="138" spans="1:37" x14ac:dyDescent="0.3">
      <c r="A138">
        <v>964</v>
      </c>
      <c r="B138">
        <v>2025</v>
      </c>
      <c r="C138" t="s">
        <v>202</v>
      </c>
      <c r="D138">
        <v>16.333333333333329</v>
      </c>
      <c r="E138">
        <v>28484.67</v>
      </c>
      <c r="F138">
        <v>55340.22</v>
      </c>
      <c r="G138">
        <v>1039.6189999999999</v>
      </c>
      <c r="H138">
        <v>2019.78</v>
      </c>
      <c r="I138">
        <v>3.2429999999999999</v>
      </c>
      <c r="J138">
        <v>2.8170000000000002</v>
      </c>
      <c r="K138">
        <v>-6.992</v>
      </c>
      <c r="L138">
        <v>43.042999999999999</v>
      </c>
      <c r="M138">
        <v>60.018000000000001</v>
      </c>
      <c r="N138">
        <v>-0.68700000000000006</v>
      </c>
      <c r="O138">
        <v>-4.5259999999999998</v>
      </c>
      <c r="P138">
        <v>2.4660000000000002</v>
      </c>
      <c r="Q138">
        <v>5.729154566363869</v>
      </c>
      <c r="R138">
        <v>1.394373068791674</v>
      </c>
      <c r="S138">
        <v>2.8027000000000002</v>
      </c>
      <c r="T138">
        <v>5.1751000000000014</v>
      </c>
      <c r="U138">
        <v>-5.5299999999999994</v>
      </c>
      <c r="V138">
        <v>-0.4269</v>
      </c>
      <c r="W138">
        <v>5.674855</v>
      </c>
      <c r="X138">
        <v>2.811862555548998</v>
      </c>
      <c r="Y138">
        <v>54.384919759778441</v>
      </c>
      <c r="Z138">
        <v>19.341243992333091</v>
      </c>
      <c r="AA138">
        <v>0.75216799999999995</v>
      </c>
      <c r="AB138">
        <v>0.49865500000000001</v>
      </c>
      <c r="AC138">
        <v>0.67340299999999997</v>
      </c>
      <c r="AD138">
        <v>0.68583499999999997</v>
      </c>
      <c r="AE138">
        <v>0.57691099999999995</v>
      </c>
      <c r="AF138">
        <v>0.79407300000000003</v>
      </c>
      <c r="AG138">
        <v>0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>
        <v>968</v>
      </c>
      <c r="B139">
        <v>2025</v>
      </c>
      <c r="C139" t="s">
        <v>203</v>
      </c>
      <c r="D139">
        <v>13</v>
      </c>
      <c r="E139">
        <v>22436.007000000001</v>
      </c>
      <c r="F139">
        <v>48847.46</v>
      </c>
      <c r="G139">
        <v>422.50799999999998</v>
      </c>
      <c r="H139">
        <v>919.88099999999997</v>
      </c>
      <c r="I139">
        <v>0.96</v>
      </c>
      <c r="J139">
        <v>8.5380000000000003</v>
      </c>
      <c r="K139">
        <v>-8.1560000000000006</v>
      </c>
      <c r="L139">
        <v>32.209000000000003</v>
      </c>
      <c r="M139">
        <v>61.207000000000001</v>
      </c>
      <c r="N139">
        <v>-7.97</v>
      </c>
      <c r="O139">
        <v>-5.3049999999999997</v>
      </c>
      <c r="P139">
        <v>2.8510000000000009</v>
      </c>
      <c r="Q139">
        <v>8.8515632276692866</v>
      </c>
      <c r="R139">
        <v>1.900307367505977</v>
      </c>
      <c r="S139">
        <v>2.0190000000000001</v>
      </c>
      <c r="T139">
        <v>6.1364000000000001</v>
      </c>
      <c r="U139">
        <v>-6.7101999999999986</v>
      </c>
      <c r="V139">
        <v>-6.8723000000000001</v>
      </c>
      <c r="W139">
        <v>5.7591047499999997</v>
      </c>
      <c r="X139">
        <v>2.8427209691559741</v>
      </c>
      <c r="Y139">
        <v>41.397257036900683</v>
      </c>
      <c r="Z139">
        <v>14.56254675927334</v>
      </c>
      <c r="AA139">
        <v>0.38735999999999998</v>
      </c>
      <c r="AB139">
        <v>0.158885</v>
      </c>
      <c r="AC139">
        <v>0.41812500000000002</v>
      </c>
      <c r="AD139">
        <v>0.38345499999999999</v>
      </c>
      <c r="AE139">
        <v>0.37109999999999999</v>
      </c>
      <c r="AF139">
        <v>2.5973E-2</v>
      </c>
      <c r="AG139">
        <v>0</v>
      </c>
      <c r="AH139">
        <v>1</v>
      </c>
      <c r="AI139">
        <v>0</v>
      </c>
      <c r="AJ139">
        <v>0</v>
      </c>
      <c r="AK13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13"/>
  <sheetViews>
    <sheetView workbookViewId="0">
      <selection activeCell="A2" sqref="A2:A13"/>
    </sheetView>
  </sheetViews>
  <sheetFormatPr defaultRowHeight="14.4" x14ac:dyDescent="0.3"/>
  <cols>
    <col min="1" max="1" width="18.21875" customWidth="1"/>
  </cols>
  <sheetData>
    <row r="1" spans="1:3" x14ac:dyDescent="0.3">
      <c r="B1" s="7" t="s">
        <v>271</v>
      </c>
      <c r="C1" s="7" t="s">
        <v>272</v>
      </c>
    </row>
    <row r="2" spans="1:3" x14ac:dyDescent="0.3">
      <c r="A2" s="7" t="s">
        <v>270</v>
      </c>
      <c r="B2">
        <v>12.69593335716584</v>
      </c>
      <c r="C2">
        <v>12.691922613470179</v>
      </c>
    </row>
    <row r="3" spans="1:3" x14ac:dyDescent="0.3">
      <c r="A3" s="7" t="s">
        <v>215</v>
      </c>
      <c r="B3">
        <v>0.50759205324952983</v>
      </c>
      <c r="C3">
        <v>0.53027254934287205</v>
      </c>
    </row>
    <row r="4" spans="1:3" x14ac:dyDescent="0.3">
      <c r="A4" s="7" t="s">
        <v>216</v>
      </c>
      <c r="B4">
        <v>1.604704331414234</v>
      </c>
      <c r="C4">
        <v>1.5749904438248721</v>
      </c>
    </row>
    <row r="5" spans="1:3" x14ac:dyDescent="0.3">
      <c r="A5" s="7" t="s">
        <v>217</v>
      </c>
      <c r="B5">
        <v>0.14465343706937159</v>
      </c>
      <c r="C5">
        <v>0.13008490710893689</v>
      </c>
    </row>
    <row r="6" spans="1:3" x14ac:dyDescent="0.3">
      <c r="A6" s="7" t="s">
        <v>218</v>
      </c>
      <c r="B6">
        <v>0.27236765269704988</v>
      </c>
      <c r="C6">
        <v>0.30518535920022488</v>
      </c>
    </row>
    <row r="7" spans="1:3" x14ac:dyDescent="0.3">
      <c r="A7" s="7" t="s">
        <v>219</v>
      </c>
      <c r="B7">
        <v>0.81804554961089571</v>
      </c>
      <c r="C7">
        <v>0.87885606275042616</v>
      </c>
    </row>
    <row r="8" spans="1:3" x14ac:dyDescent="0.3">
      <c r="A8" s="7" t="s">
        <v>220</v>
      </c>
      <c r="B8">
        <v>2.8789940587952429</v>
      </c>
      <c r="C8">
        <v>2.8044707106012541</v>
      </c>
    </row>
    <row r="9" spans="1:3" x14ac:dyDescent="0.3">
      <c r="A9" s="7" t="s">
        <v>221</v>
      </c>
      <c r="B9">
        <v>0.65335150759482108</v>
      </c>
      <c r="C9">
        <v>0.57961629774359646</v>
      </c>
    </row>
    <row r="10" spans="1:3" x14ac:dyDescent="0.3">
      <c r="A10" s="7" t="s">
        <v>222</v>
      </c>
      <c r="B10">
        <v>0.9102573362540608</v>
      </c>
      <c r="C10">
        <v>0.88139075999675642</v>
      </c>
    </row>
    <row r="11" spans="1:3" x14ac:dyDescent="0.3">
      <c r="A11" s="7" t="s">
        <v>223</v>
      </c>
      <c r="B11">
        <v>0.46481235271387022</v>
      </c>
      <c r="C11">
        <v>0.47302680532146202</v>
      </c>
    </row>
    <row r="12" spans="1:3" x14ac:dyDescent="0.3">
      <c r="A12" s="7" t="s">
        <v>224</v>
      </c>
      <c r="B12">
        <v>0.35395377769039021</v>
      </c>
      <c r="C12">
        <v>0.34849540238905152</v>
      </c>
    </row>
    <row r="13" spans="1:3" x14ac:dyDescent="0.3">
      <c r="A13" s="7" t="s">
        <v>225</v>
      </c>
      <c r="B13">
        <v>0.45274542931804729</v>
      </c>
      <c r="C13">
        <v>0.48221815196818968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A138"/>
  <sheetViews>
    <sheetView workbookViewId="0">
      <selection activeCell="A2" sqref="A2:A13"/>
    </sheetView>
  </sheetViews>
  <sheetFormatPr defaultRowHeight="14.4" x14ac:dyDescent="0.3"/>
  <sheetData>
    <row r="1" spans="1:1" x14ac:dyDescent="0.3">
      <c r="A1" t="s">
        <v>179</v>
      </c>
    </row>
    <row r="2" spans="1:1" x14ac:dyDescent="0.3">
      <c r="A2" t="s">
        <v>139</v>
      </c>
    </row>
    <row r="3" spans="1:1" x14ac:dyDescent="0.3">
      <c r="A3" t="s">
        <v>140</v>
      </c>
    </row>
    <row r="4" spans="1:1" x14ac:dyDescent="0.3">
      <c r="A4" t="s">
        <v>69</v>
      </c>
    </row>
    <row r="5" spans="1:1" x14ac:dyDescent="0.3">
      <c r="A5" t="s">
        <v>176</v>
      </c>
    </row>
    <row r="6" spans="1:1" x14ac:dyDescent="0.3">
      <c r="A6" t="s">
        <v>63</v>
      </c>
    </row>
    <row r="7" spans="1:1" x14ac:dyDescent="0.3">
      <c r="A7" t="s">
        <v>18</v>
      </c>
    </row>
    <row r="8" spans="1:1" x14ac:dyDescent="0.3">
      <c r="A8" t="s">
        <v>177</v>
      </c>
    </row>
    <row r="9" spans="1:1" x14ac:dyDescent="0.3">
      <c r="A9" t="s">
        <v>105</v>
      </c>
    </row>
    <row r="10" spans="1:1" x14ac:dyDescent="0.3">
      <c r="A10" t="s">
        <v>120</v>
      </c>
    </row>
    <row r="11" spans="1:1" x14ac:dyDescent="0.3">
      <c r="A11" t="s">
        <v>99</v>
      </c>
    </row>
    <row r="12" spans="1:1" x14ac:dyDescent="0.3">
      <c r="A12" t="s">
        <v>178</v>
      </c>
    </row>
    <row r="13" spans="1:1" x14ac:dyDescent="0.3">
      <c r="A13" t="s">
        <v>20</v>
      </c>
    </row>
    <row r="14" spans="1:1" x14ac:dyDescent="0.3">
      <c r="A14" t="s">
        <v>100</v>
      </c>
    </row>
    <row r="15" spans="1:1" x14ac:dyDescent="0.3">
      <c r="A15" t="s">
        <v>148</v>
      </c>
    </row>
    <row r="16" spans="1:1" x14ac:dyDescent="0.3">
      <c r="A16" t="s">
        <v>73</v>
      </c>
    </row>
    <row r="17" spans="1:1" x14ac:dyDescent="0.3">
      <c r="A17" t="s">
        <v>201</v>
      </c>
    </row>
    <row r="18" spans="1:1" x14ac:dyDescent="0.3">
      <c r="A18" t="s">
        <v>142</v>
      </c>
    </row>
    <row r="19" spans="1:1" x14ac:dyDescent="0.3">
      <c r="A19" t="s">
        <v>75</v>
      </c>
    </row>
    <row r="20" spans="1:1" x14ac:dyDescent="0.3">
      <c r="A20" t="s">
        <v>183</v>
      </c>
    </row>
    <row r="21" spans="1:1" x14ac:dyDescent="0.3">
      <c r="A21" t="s">
        <v>172</v>
      </c>
    </row>
    <row r="22" spans="1:1" x14ac:dyDescent="0.3">
      <c r="A22" t="s">
        <v>144</v>
      </c>
    </row>
    <row r="23" spans="1:1" x14ac:dyDescent="0.3">
      <c r="A23" t="s">
        <v>121</v>
      </c>
    </row>
    <row r="24" spans="1:1" x14ac:dyDescent="0.3">
      <c r="A24" t="s">
        <v>143</v>
      </c>
    </row>
    <row r="25" spans="1:1" x14ac:dyDescent="0.3">
      <c r="A25" t="s">
        <v>43</v>
      </c>
    </row>
    <row r="26" spans="1:1" x14ac:dyDescent="0.3">
      <c r="A26" t="s">
        <v>76</v>
      </c>
    </row>
    <row r="27" spans="1:1" x14ac:dyDescent="0.3">
      <c r="A27" t="s">
        <v>186</v>
      </c>
    </row>
    <row r="28" spans="1:1" x14ac:dyDescent="0.3">
      <c r="A28" t="s">
        <v>78</v>
      </c>
    </row>
    <row r="29" spans="1:1" x14ac:dyDescent="0.3">
      <c r="A29" t="s">
        <v>80</v>
      </c>
    </row>
    <row r="30" spans="1:1" x14ac:dyDescent="0.3">
      <c r="A30" t="s">
        <v>152</v>
      </c>
    </row>
    <row r="31" spans="1:1" x14ac:dyDescent="0.3">
      <c r="A31" t="s">
        <v>198</v>
      </c>
    </row>
    <row r="32" spans="1:1" x14ac:dyDescent="0.3">
      <c r="A32" t="s">
        <v>107</v>
      </c>
    </row>
    <row r="33" spans="1:1" x14ac:dyDescent="0.3">
      <c r="A33" t="s">
        <v>189</v>
      </c>
    </row>
    <row r="34" spans="1:1" x14ac:dyDescent="0.3">
      <c r="A34" t="s">
        <v>146</v>
      </c>
    </row>
    <row r="35" spans="1:1" x14ac:dyDescent="0.3">
      <c r="A35" t="s">
        <v>23</v>
      </c>
    </row>
    <row r="36" spans="1:1" x14ac:dyDescent="0.3">
      <c r="A36" t="s">
        <v>81</v>
      </c>
    </row>
    <row r="37" spans="1:1" x14ac:dyDescent="0.3">
      <c r="A37" t="s">
        <v>83</v>
      </c>
    </row>
    <row r="38" spans="1:1" x14ac:dyDescent="0.3">
      <c r="A38" t="s">
        <v>119</v>
      </c>
    </row>
    <row r="39" spans="1:1" x14ac:dyDescent="0.3">
      <c r="A39" t="s">
        <v>84</v>
      </c>
    </row>
    <row r="40" spans="1:1" x14ac:dyDescent="0.3">
      <c r="A40" t="s">
        <v>191</v>
      </c>
    </row>
    <row r="41" spans="1:1" x14ac:dyDescent="0.3">
      <c r="A41" t="s">
        <v>149</v>
      </c>
    </row>
    <row r="42" spans="1:1" x14ac:dyDescent="0.3">
      <c r="A42" t="s">
        <v>174</v>
      </c>
    </row>
    <row r="43" spans="1:1" x14ac:dyDescent="0.3">
      <c r="A43" t="s">
        <v>48</v>
      </c>
    </row>
    <row r="44" spans="1:1" x14ac:dyDescent="0.3">
      <c r="A44" t="s">
        <v>26</v>
      </c>
    </row>
    <row r="45" spans="1:1" x14ac:dyDescent="0.3">
      <c r="A45" t="s">
        <v>200</v>
      </c>
    </row>
    <row r="46" spans="1:1" x14ac:dyDescent="0.3">
      <c r="A46" t="s">
        <v>150</v>
      </c>
    </row>
    <row r="47" spans="1:1" x14ac:dyDescent="0.3">
      <c r="A47" t="s">
        <v>180</v>
      </c>
    </row>
    <row r="48" spans="1:1" x14ac:dyDescent="0.3">
      <c r="A48" t="s">
        <v>28</v>
      </c>
    </row>
    <row r="49" spans="1:1" x14ac:dyDescent="0.3">
      <c r="A49" t="s">
        <v>151</v>
      </c>
    </row>
    <row r="50" spans="1:1" x14ac:dyDescent="0.3">
      <c r="A50" t="s">
        <v>50</v>
      </c>
    </row>
    <row r="51" spans="1:1" x14ac:dyDescent="0.3">
      <c r="A51" t="s">
        <v>86</v>
      </c>
    </row>
    <row r="52" spans="1:1" x14ac:dyDescent="0.3">
      <c r="A52" t="s">
        <v>87</v>
      </c>
    </row>
    <row r="53" spans="1:1" x14ac:dyDescent="0.3">
      <c r="A53" t="s">
        <v>124</v>
      </c>
    </row>
    <row r="54" spans="1:1" x14ac:dyDescent="0.3">
      <c r="A54" t="s">
        <v>195</v>
      </c>
    </row>
    <row r="55" spans="1:1" x14ac:dyDescent="0.3">
      <c r="A55" t="s">
        <v>52</v>
      </c>
    </row>
    <row r="56" spans="1:1" x14ac:dyDescent="0.3">
      <c r="A56" t="s">
        <v>125</v>
      </c>
    </row>
    <row r="57" spans="1:1" x14ac:dyDescent="0.3">
      <c r="A57" t="s">
        <v>126</v>
      </c>
    </row>
    <row r="58" spans="1:1" x14ac:dyDescent="0.3">
      <c r="A58" t="s">
        <v>109</v>
      </c>
    </row>
    <row r="59" spans="1:1" x14ac:dyDescent="0.3">
      <c r="A59" t="s">
        <v>53</v>
      </c>
    </row>
    <row r="60" spans="1:1" x14ac:dyDescent="0.3">
      <c r="A60" t="s">
        <v>110</v>
      </c>
    </row>
    <row r="61" spans="1:1" x14ac:dyDescent="0.3">
      <c r="A61" t="s">
        <v>30</v>
      </c>
    </row>
    <row r="62" spans="1:1" x14ac:dyDescent="0.3">
      <c r="A62" t="s">
        <v>101</v>
      </c>
    </row>
    <row r="63" spans="1:1" x14ac:dyDescent="0.3">
      <c r="A63" t="s">
        <v>46</v>
      </c>
    </row>
    <row r="64" spans="1:1" x14ac:dyDescent="0.3">
      <c r="A64" t="s">
        <v>112</v>
      </c>
    </row>
    <row r="65" spans="1:1" x14ac:dyDescent="0.3">
      <c r="A65" t="s">
        <v>181</v>
      </c>
    </row>
    <row r="66" spans="1:1" x14ac:dyDescent="0.3">
      <c r="A66" t="s">
        <v>153</v>
      </c>
    </row>
    <row r="67" spans="1:1" x14ac:dyDescent="0.3">
      <c r="A67" t="s">
        <v>127</v>
      </c>
    </row>
    <row r="68" spans="1:1" x14ac:dyDescent="0.3">
      <c r="A68" t="s">
        <v>113</v>
      </c>
    </row>
    <row r="69" spans="1:1" x14ac:dyDescent="0.3">
      <c r="A69" t="s">
        <v>182</v>
      </c>
    </row>
    <row r="70" spans="1:1" x14ac:dyDescent="0.3">
      <c r="A70" t="s">
        <v>129</v>
      </c>
    </row>
    <row r="71" spans="1:1" x14ac:dyDescent="0.3">
      <c r="A71" t="s">
        <v>192</v>
      </c>
    </row>
    <row r="72" spans="1:1" x14ac:dyDescent="0.3">
      <c r="A72" t="s">
        <v>114</v>
      </c>
    </row>
    <row r="73" spans="1:1" x14ac:dyDescent="0.3">
      <c r="A73" t="s">
        <v>154</v>
      </c>
    </row>
    <row r="74" spans="1:1" x14ac:dyDescent="0.3">
      <c r="A74" t="s">
        <v>196</v>
      </c>
    </row>
    <row r="75" spans="1:1" x14ac:dyDescent="0.3">
      <c r="A75" t="s">
        <v>33</v>
      </c>
    </row>
    <row r="76" spans="1:1" x14ac:dyDescent="0.3">
      <c r="A76" t="s">
        <v>130</v>
      </c>
    </row>
    <row r="77" spans="1:1" x14ac:dyDescent="0.3">
      <c r="A77" t="s">
        <v>155</v>
      </c>
    </row>
    <row r="78" spans="1:1" x14ac:dyDescent="0.3">
      <c r="A78" t="s">
        <v>131</v>
      </c>
    </row>
    <row r="79" spans="1:1" x14ac:dyDescent="0.3">
      <c r="A79" t="s">
        <v>132</v>
      </c>
    </row>
    <row r="80" spans="1:1" x14ac:dyDescent="0.3">
      <c r="A80" t="s">
        <v>54</v>
      </c>
    </row>
    <row r="81" spans="1:1" x14ac:dyDescent="0.3">
      <c r="A81" t="s">
        <v>156</v>
      </c>
    </row>
    <row r="82" spans="1:1" x14ac:dyDescent="0.3">
      <c r="A82" t="s">
        <v>89</v>
      </c>
    </row>
    <row r="83" spans="1:1" x14ac:dyDescent="0.3">
      <c r="A83" t="s">
        <v>184</v>
      </c>
    </row>
    <row r="84" spans="1:1" x14ac:dyDescent="0.3">
      <c r="A84" t="s">
        <v>197</v>
      </c>
    </row>
    <row r="85" spans="1:1" x14ac:dyDescent="0.3">
      <c r="A85" t="s">
        <v>194</v>
      </c>
    </row>
    <row r="86" spans="1:1" x14ac:dyDescent="0.3">
      <c r="A86" t="s">
        <v>157</v>
      </c>
    </row>
    <row r="87" spans="1:1" x14ac:dyDescent="0.3">
      <c r="A87" t="s">
        <v>158</v>
      </c>
    </row>
    <row r="88" spans="1:1" x14ac:dyDescent="0.3">
      <c r="A88" t="s">
        <v>167</v>
      </c>
    </row>
    <row r="89" spans="1:1" x14ac:dyDescent="0.3">
      <c r="A89" t="s">
        <v>36</v>
      </c>
    </row>
    <row r="90" spans="1:1" x14ac:dyDescent="0.3">
      <c r="A90" t="s">
        <v>65</v>
      </c>
    </row>
    <row r="91" spans="1:1" x14ac:dyDescent="0.3">
      <c r="A91" t="s">
        <v>90</v>
      </c>
    </row>
    <row r="92" spans="1:1" x14ac:dyDescent="0.3">
      <c r="A92" t="s">
        <v>160</v>
      </c>
    </row>
    <row r="93" spans="1:1" x14ac:dyDescent="0.3">
      <c r="A93" t="s">
        <v>162</v>
      </c>
    </row>
    <row r="94" spans="1:1" x14ac:dyDescent="0.3">
      <c r="A94" t="s">
        <v>38</v>
      </c>
    </row>
    <row r="95" spans="1:1" x14ac:dyDescent="0.3">
      <c r="A95" t="s">
        <v>115</v>
      </c>
    </row>
    <row r="96" spans="1:1" x14ac:dyDescent="0.3">
      <c r="A96" t="s">
        <v>134</v>
      </c>
    </row>
    <row r="97" spans="1:1" x14ac:dyDescent="0.3">
      <c r="A97" t="s">
        <v>92</v>
      </c>
    </row>
    <row r="98" spans="1:1" x14ac:dyDescent="0.3">
      <c r="A98" t="s">
        <v>175</v>
      </c>
    </row>
    <row r="99" spans="1:1" x14ac:dyDescent="0.3">
      <c r="A99" t="s">
        <v>93</v>
      </c>
    </row>
    <row r="100" spans="1:1" x14ac:dyDescent="0.3">
      <c r="A100" t="s">
        <v>94</v>
      </c>
    </row>
    <row r="101" spans="1:1" x14ac:dyDescent="0.3">
      <c r="A101" t="s">
        <v>135</v>
      </c>
    </row>
    <row r="102" spans="1:1" x14ac:dyDescent="0.3">
      <c r="A102" t="s">
        <v>202</v>
      </c>
    </row>
    <row r="103" spans="1:1" x14ac:dyDescent="0.3">
      <c r="A103" t="s">
        <v>56</v>
      </c>
    </row>
    <row r="104" spans="1:1" x14ac:dyDescent="0.3">
      <c r="A104" t="s">
        <v>116</v>
      </c>
    </row>
    <row r="105" spans="1:1" x14ac:dyDescent="0.3">
      <c r="A105" t="s">
        <v>145</v>
      </c>
    </row>
    <row r="106" spans="1:1" x14ac:dyDescent="0.3">
      <c r="A106" t="s">
        <v>203</v>
      </c>
    </row>
    <row r="107" spans="1:1" x14ac:dyDescent="0.3">
      <c r="A107" t="s">
        <v>185</v>
      </c>
    </row>
    <row r="108" spans="1:1" x14ac:dyDescent="0.3">
      <c r="A108" t="s">
        <v>163</v>
      </c>
    </row>
    <row r="109" spans="1:1" x14ac:dyDescent="0.3">
      <c r="A109" t="s">
        <v>117</v>
      </c>
    </row>
    <row r="110" spans="1:1" x14ac:dyDescent="0.3">
      <c r="A110" t="s">
        <v>166</v>
      </c>
    </row>
    <row r="111" spans="1:1" x14ac:dyDescent="0.3">
      <c r="A111" t="s">
        <v>193</v>
      </c>
    </row>
    <row r="112" spans="1:1" x14ac:dyDescent="0.3">
      <c r="A112" t="s">
        <v>164</v>
      </c>
    </row>
    <row r="113" spans="1:1" x14ac:dyDescent="0.3">
      <c r="A113" t="s">
        <v>136</v>
      </c>
    </row>
    <row r="114" spans="1:1" x14ac:dyDescent="0.3">
      <c r="A114" t="s">
        <v>190</v>
      </c>
    </row>
    <row r="115" spans="1:1" x14ac:dyDescent="0.3">
      <c r="A115" t="s">
        <v>199</v>
      </c>
    </row>
    <row r="116" spans="1:1" x14ac:dyDescent="0.3">
      <c r="A116" t="s">
        <v>67</v>
      </c>
    </row>
    <row r="117" spans="1:1" x14ac:dyDescent="0.3">
      <c r="A117" t="s">
        <v>57</v>
      </c>
    </row>
    <row r="118" spans="1:1" x14ac:dyDescent="0.3">
      <c r="A118" t="s">
        <v>122</v>
      </c>
    </row>
    <row r="119" spans="1:1" x14ac:dyDescent="0.3">
      <c r="A119" t="s">
        <v>102</v>
      </c>
    </row>
    <row r="120" spans="1:1" x14ac:dyDescent="0.3">
      <c r="A120" t="s">
        <v>40</v>
      </c>
    </row>
    <row r="121" spans="1:1" x14ac:dyDescent="0.3">
      <c r="A121" t="s">
        <v>42</v>
      </c>
    </row>
    <row r="122" spans="1:1" x14ac:dyDescent="0.3">
      <c r="A122" t="s">
        <v>123</v>
      </c>
    </row>
    <row r="123" spans="1:1" x14ac:dyDescent="0.3">
      <c r="A123" t="s">
        <v>168</v>
      </c>
    </row>
    <row r="124" spans="1:1" x14ac:dyDescent="0.3">
      <c r="A124" t="s">
        <v>137</v>
      </c>
    </row>
    <row r="125" spans="1:1" x14ac:dyDescent="0.3">
      <c r="A125" t="s">
        <v>169</v>
      </c>
    </row>
    <row r="126" spans="1:1" x14ac:dyDescent="0.3">
      <c r="A126" t="s">
        <v>104</v>
      </c>
    </row>
    <row r="127" spans="1:1" x14ac:dyDescent="0.3">
      <c r="A127" t="s">
        <v>170</v>
      </c>
    </row>
    <row r="128" spans="1:1" x14ac:dyDescent="0.3">
      <c r="A128" t="s">
        <v>59</v>
      </c>
    </row>
    <row r="129" spans="1:1" x14ac:dyDescent="0.3">
      <c r="A129" t="s">
        <v>171</v>
      </c>
    </row>
    <row r="130" spans="1:1" x14ac:dyDescent="0.3">
      <c r="A130" t="s">
        <v>187</v>
      </c>
    </row>
    <row r="131" spans="1:1" x14ac:dyDescent="0.3">
      <c r="A131" t="s">
        <v>118</v>
      </c>
    </row>
    <row r="132" spans="1:1" x14ac:dyDescent="0.3">
      <c r="A132" t="s">
        <v>15</v>
      </c>
    </row>
    <row r="133" spans="1:1" x14ac:dyDescent="0.3">
      <c r="A133" t="s">
        <v>10</v>
      </c>
    </row>
    <row r="134" spans="1:1" x14ac:dyDescent="0.3">
      <c r="A134" t="s">
        <v>96</v>
      </c>
    </row>
    <row r="135" spans="1:1" x14ac:dyDescent="0.3">
      <c r="A135" t="s">
        <v>188</v>
      </c>
    </row>
    <row r="136" spans="1:1" x14ac:dyDescent="0.3">
      <c r="A136" t="s">
        <v>97</v>
      </c>
    </row>
    <row r="137" spans="1:1" x14ac:dyDescent="0.3">
      <c r="A137" t="s">
        <v>138</v>
      </c>
    </row>
    <row r="138" spans="1:1" x14ac:dyDescent="0.3">
      <c r="A138" t="s">
        <v>173</v>
      </c>
    </row>
  </sheetData>
  <sortState ref="A1:A138">
    <sortCondition ref="A1:A1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before_after</vt:lpstr>
      <vt:lpstr>select_country</vt:lpstr>
      <vt:lpstr>Ratings</vt:lpstr>
      <vt:lpstr>2023_old</vt:lpstr>
      <vt:lpstr>2023_new</vt:lpstr>
      <vt:lpstr>2024_new</vt:lpstr>
      <vt:lpstr>2025_oct_transform</vt:lpstr>
      <vt:lpstr>2025_dec_transform</vt:lpstr>
      <vt:lpstr>2025_oct_raw</vt:lpstr>
      <vt:lpstr>2025_dec_raw</vt:lpstr>
      <vt:lpstr>coefficients</vt:lpstr>
      <vt:lpstr>country_list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 Khaw</cp:lastModifiedBy>
  <dcterms:created xsi:type="dcterms:W3CDTF">2025-12-29T05:02:05Z</dcterms:created>
  <dcterms:modified xsi:type="dcterms:W3CDTF">2025-12-30T05:25:28Z</dcterms:modified>
</cp:coreProperties>
</file>