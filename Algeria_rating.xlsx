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khaw\Desktop\Algeria\"/>
    </mc:Choice>
  </mc:AlternateContent>
  <bookViews>
    <workbookView xWindow="0" yWindow="0" windowWidth="23040" windowHeight="10632"/>
  </bookViews>
  <sheets>
    <sheet name="main" sheetId="2" r:id="rId1"/>
    <sheet name="supplementary" sheetId="3" r:id="rId2"/>
    <sheet name="rating_scale" sheetId="7" r:id="rId3"/>
    <sheet name="real_economy" sheetId="1" r:id="rId4"/>
    <sheet name="monetary_&amp;_institution" sheetId="4" r:id="rId5"/>
    <sheet name="fiscal" sheetId="5" r:id="rId6"/>
    <sheet name="external" sheetId="6" r:id="rId7"/>
  </sheets>
  <definedNames>
    <definedName name="_DLX1.INC">real_economy!$B$11:$J$18</definedName>
    <definedName name="_DLX2.INC">'monetary_&amp;_institution'!$B$8:$O$15</definedName>
    <definedName name="_DLX3.INC">fiscal!$B$8:$L$15</definedName>
    <definedName name="_DLX4.INC">external!$B$8:$K$15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3" l="1"/>
  <c r="D25" i="3"/>
  <c r="D17" i="3"/>
  <c r="G4" i="5"/>
  <c r="E4" i="5"/>
  <c r="D4" i="5"/>
  <c r="F4" i="5"/>
  <c r="E4" i="4"/>
  <c r="F4" i="4"/>
  <c r="G4" i="4"/>
  <c r="H4" i="4"/>
  <c r="I4" i="4"/>
  <c r="J4" i="4"/>
  <c r="D4" i="4"/>
  <c r="E4" i="1"/>
  <c r="D4" i="1"/>
  <c r="E7" i="1"/>
  <c r="D7" i="1"/>
  <c r="F4" i="1"/>
  <c r="E5" i="1"/>
  <c r="D5" i="1"/>
  <c r="D3" i="6" l="1"/>
  <c r="D4" i="6" s="1"/>
  <c r="C3" i="6"/>
  <c r="F3" i="6" s="1"/>
  <c r="F4" i="6" s="1"/>
  <c r="E3" i="6" l="1"/>
  <c r="E4" i="6" s="1"/>
  <c r="G3" i="5"/>
  <c r="F3" i="5"/>
  <c r="E3" i="5"/>
  <c r="D3" i="5"/>
  <c r="C3" i="5"/>
  <c r="F3" i="4"/>
  <c r="G3" i="4"/>
  <c r="H3" i="4"/>
  <c r="I3" i="4"/>
  <c r="J3" i="4"/>
  <c r="E3" i="4"/>
  <c r="D3" i="4"/>
  <c r="C3" i="4"/>
  <c r="D3" i="1"/>
  <c r="E3" i="1"/>
  <c r="F3" i="1"/>
  <c r="C3" i="1"/>
  <c r="D21" i="2"/>
  <c r="D24" i="2" s="1"/>
  <c r="D20" i="2"/>
  <c r="D18" i="2"/>
  <c r="D17" i="2"/>
  <c r="D15" i="2"/>
  <c r="D22" i="2"/>
  <c r="D14" i="2"/>
  <c r="D13" i="2"/>
  <c r="D10" i="2"/>
  <c r="D11" i="2"/>
  <c r="D9" i="2"/>
  <c r="D25" i="2" l="1"/>
  <c r="F25" i="2" s="1"/>
  <c r="F24" i="2"/>
</calcChain>
</file>

<file path=xl/comments1.xml><?xml version="1.0" encoding="utf-8"?>
<comments xmlns="http://schemas.openxmlformats.org/spreadsheetml/2006/main">
  <authors>
    <author>Kaimin Khaw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Kaimin Khaw:</t>
        </r>
        <r>
          <rPr>
            <sz val="9"/>
            <color indexed="81"/>
            <rFont val="Tahoma"/>
            <family val="2"/>
          </rPr>
          <t xml:space="preserve">
multiple by -1, as higher = worse for rating</t>
        </r>
      </text>
    </comment>
  </commentList>
</comments>
</file>

<file path=xl/comments2.xml><?xml version="1.0" encoding="utf-8"?>
<comments xmlns="http://schemas.openxmlformats.org/spreadsheetml/2006/main">
  <authors>
    <author>Kaimin Khaw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Kaimin Khaw:</t>
        </r>
        <r>
          <rPr>
            <sz val="9"/>
            <color indexed="81"/>
            <rFont val="Tahoma"/>
            <family val="2"/>
          </rPr>
          <t xml:space="preserve">
have to log the raw variable first before taking z score.</t>
        </r>
      </text>
    </comment>
  </commentList>
</comments>
</file>

<file path=xl/sharedStrings.xml><?xml version="1.0" encoding="utf-8"?>
<sst xmlns="http://schemas.openxmlformats.org/spreadsheetml/2006/main" count="418" uniqueCount="202">
  <si>
    <t>Country</t>
  </si>
  <si>
    <t>Year</t>
  </si>
  <si>
    <t>Factor</t>
  </si>
  <si>
    <t>coefficient</t>
  </si>
  <si>
    <t>Z-score Value</t>
  </si>
  <si>
    <t>Rating (notches)</t>
  </si>
  <si>
    <t>Adjustment</t>
  </si>
  <si>
    <t>Analyst Comment</t>
  </si>
  <si>
    <t>Intercept</t>
  </si>
  <si>
    <t>REAL ECONOMY PILLAR (25%)</t>
  </si>
  <si>
    <t>Wealth (5%)</t>
  </si>
  <si>
    <t>Size (18%)</t>
  </si>
  <si>
    <t>Growth (2%)</t>
  </si>
  <si>
    <t>MONETARY &amp; INSTITUTIONS PILLAR (44%)</t>
  </si>
  <si>
    <t>Inflation (3%)</t>
  </si>
  <si>
    <t>Default History (9%)</t>
  </si>
  <si>
    <t>Governance (32%)</t>
  </si>
  <si>
    <t>FISCAL PILLAR (17%)</t>
  </si>
  <si>
    <t>Fiscal Performance (7%)</t>
  </si>
  <si>
    <t>Government Debt (10%)</t>
  </si>
  <si>
    <t>EXTERNAL PILLAR (14%)</t>
  </si>
  <si>
    <t>External Performance (5%)</t>
  </si>
  <si>
    <t>FX Reserves (4%)</t>
  </si>
  <si>
    <t>Reserve Currency Status (5%)</t>
  </si>
  <si>
    <t>SOVEREIGN CREDIT RATING</t>
  </si>
  <si>
    <t>Model Rating</t>
  </si>
  <si>
    <t>BB</t>
  </si>
  <si>
    <t>LS Final Rating</t>
  </si>
  <si>
    <t>Constituent Variables</t>
  </si>
  <si>
    <t>Raw Value</t>
  </si>
  <si>
    <t>Baseline Rating (~middle of IG &amp; HY)</t>
  </si>
  <si>
    <t>-</t>
  </si>
  <si>
    <t>Nominal GDP per capita (US$)</t>
  </si>
  <si>
    <t>Nominal GDP (US$ bil)</t>
  </si>
  <si>
    <t>Average Growth t-5 to t+4 (%)</t>
  </si>
  <si>
    <t>Average Inflation t-5 to t+4 (%)</t>
  </si>
  <si>
    <t>Average of Default History and Default Decay</t>
  </si>
  <si>
    <t>Default history dummy. 1 if ever defaulted before 0 otherwise.</t>
  </si>
  <si>
    <t>Default Decay. 1 at point of default. Decays to 0.5 in 4.3 years.</t>
  </si>
  <si>
    <t>Average of 6 WGI Indicators</t>
  </si>
  <si>
    <t>Voice and Accountability (cross section z-score)</t>
  </si>
  <si>
    <t>Political Stability (cross section z-score)</t>
  </si>
  <si>
    <t>Government Effectiveness (cross section z-score)</t>
  </si>
  <si>
    <t>Regulatory Quality (cross section z-score)</t>
  </si>
  <si>
    <t>Rule of Law (cross section z-score)</t>
  </si>
  <si>
    <t>Control of Corruption (cross section z-score)</t>
  </si>
  <si>
    <t>Average of Fiscal Balance, Govt Rev GDP, Interest to Rev</t>
  </si>
  <si>
    <t>Average of Fiscal Balance 10Y Avg t-5 to t+4 (% of GDP)</t>
  </si>
  <si>
    <t>Government Revenue (% of GDP)</t>
  </si>
  <si>
    <t>Interest Payment (% of Revenue)</t>
  </si>
  <si>
    <t>Government Debt (% of GDP)</t>
  </si>
  <si>
    <t>Average Current Account Balance t-5 to t+4 (% of GDP)</t>
  </si>
  <si>
    <t>Average of FX reserves (% GDP) and Import Cover</t>
  </si>
  <si>
    <t>FX Reserves (% of GDP)</t>
  </si>
  <si>
    <t>FX Reserves (months of imports)</t>
  </si>
  <si>
    <t>Reserve Currency Status (1 = Yes, 0 = No)</t>
  </si>
  <si>
    <t>Algeria</t>
  </si>
  <si>
    <t xml:space="preserve">A612GDPD@IMFWEO </t>
  </si>
  <si>
    <t>A612GPRD@IMFWEO</t>
  </si>
  <si>
    <t xml:space="preserve">A612GPCP@IMFWEO </t>
  </si>
  <si>
    <t>2010 !Y</t>
  </si>
  <si>
    <t>.excel_last</t>
  </si>
  <si>
    <t>2010</t>
  </si>
  <si>
    <t>.MAG</t>
  </si>
  <si>
    <t>.DTLM</t>
  </si>
  <si>
    <t>.AGG</t>
  </si>
  <si>
    <t>.LSOURCE</t>
  </si>
  <si>
    <t>.TN</t>
  </si>
  <si>
    <t>.T1</t>
  </si>
  <si>
    <t>.DESC</t>
  </si>
  <si>
    <t>0</t>
  </si>
  <si>
    <t>Apr-22-2025 21:15</t>
  </si>
  <si>
    <t>None</t>
  </si>
  <si>
    <t>International Monetary Fund</t>
  </si>
  <si>
    <t>2030</t>
  </si>
  <si>
    <t>1980</t>
  </si>
  <si>
    <t>Algeria: GDP Per Capita[Apr 2025](US$/Person)</t>
  </si>
  <si>
    <t>9</t>
  </si>
  <si>
    <t>Algeria: Gross Domestic Product[Apr 2025](Bil. US$)</t>
  </si>
  <si>
    <t>Algeria: Real GDP[Apr 2025](Y/Y %Chg)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</si>
  <si>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</si>
  <si>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</si>
  <si>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</si>
  <si>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</si>
  <si>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</si>
  <si>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</si>
  <si>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</si>
  <si>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</si>
  <si>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</si>
  <si>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</si>
  <si>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</si>
  <si>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</si>
  <si>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</si>
  <si>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</si>
  <si>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</si>
  <si>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</si>
  <si>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</si>
  <si>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</si>
  <si>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</si>
  <si>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A612PCPE@IMFWEO</t>
  </si>
  <si>
    <t xml:space="preserve">W612VAF@ESG </t>
  </si>
  <si>
    <t>W612PSF@ESG</t>
  </si>
  <si>
    <t xml:space="preserve">W612GEF@ESG </t>
  </si>
  <si>
    <t>W612RQF@ESG</t>
  </si>
  <si>
    <t>W612RLF@ESG</t>
  </si>
  <si>
    <t xml:space="preserve">W612CRF@ESG </t>
  </si>
  <si>
    <t>Algeria: Inflation, Consumer Prices[Apr 2025](EOP, Y/Y %Chg)</t>
  </si>
  <si>
    <t>Nov-06-2024 01:56</t>
  </si>
  <si>
    <t>World Bank/NRGI/Brookings</t>
  </si>
  <si>
    <t>1996</t>
  </si>
  <si>
    <t>Algeria: Voice &amp; Accountability: Estimate (2.5=high)</t>
  </si>
  <si>
    <t>Algeria: Pol Stab &amp; Absence of Violence/Terrorism: Estimate (2.5=high)</t>
  </si>
  <si>
    <t>Algeria: Government Effectiveness: Estimate (2.5=high)</t>
  </si>
  <si>
    <t>Algeria: Regulatory Quality: Estimate (2.5=high)</t>
  </si>
  <si>
    <t>Algeria: Rule of Law: Estimate (2.5=high)</t>
  </si>
  <si>
    <t>Algeria: Control of Corruption: Estimate (2.5=high)</t>
  </si>
  <si>
    <t>A612GGLS@IMFWEO</t>
  </si>
  <si>
    <t>A612GGRP@IMFWEO</t>
  </si>
  <si>
    <t>A612GNLP@IMFWEO</t>
  </si>
  <si>
    <t>A612GDSS@IMFWEO</t>
  </si>
  <si>
    <t>1990</t>
  </si>
  <si>
    <t>Algeria: General Government Net Lending/Borrowing as % of GDP[Apr 2025](%)</t>
  </si>
  <si>
    <t>Algeria: General Government Revenue as % of GDP[Apr 2025](%)</t>
  </si>
  <si>
    <t>1991</t>
  </si>
  <si>
    <t>Algeria: General Government Gross Debt as % of GDP[Apr 2025](%)</t>
  </si>
  <si>
    <t xml:space="preserve">A612GGLS@IMFWEO </t>
  </si>
  <si>
    <t xml:space="preserve">A612GGRP@IMFWEO </t>
  </si>
  <si>
    <t>RESULT: 0 A612GNLP: 0 A612GGLS: 0 A612GGRP: 0</t>
  </si>
  <si>
    <t>A612GNLP: Apr-22-2025 21:15 A612GGLS: Apr-22-2025 21:15 A612GGRP: Apr-22-2025 21:15</t>
  </si>
  <si>
    <t>RESULT: None A612GNLP: None A612GGLS: None A612GGRP: None</t>
  </si>
  <si>
    <t>A612GNLP: International Monetary Fund A612GGLS: International Monetary Fund A612GGRP: International Monetary Fund</t>
  </si>
  <si>
    <t>RESULT: 2030 A612GNLP: 2030 A612GGLS: 2030 A612GGRP: 2030</t>
  </si>
  <si>
    <t>RESULT: 1990 A612GNLP: 1990 A612GGLS: 1990 A612GGRP: 1990</t>
  </si>
  <si>
    <t>A612GNLP: Algeria: General Gov Primary Net Lending/Borrowing as % of GDP[Apr 2025](%) A612GGLS: Algeria: General Government Net Lending/Borrowing as % of GDP[Apr 2025](%) A612GGRP: Algeria: General Government Revenue as % of GDP[Apr 2025](%</t>
  </si>
  <si>
    <t>(A612GNLP@IMFWEO - A612GGLS@IMFWEO)/A612GGRP@IMFWEO*100</t>
  </si>
  <si>
    <t xml:space="preserve">A612BCDS@IMFWEO </t>
  </si>
  <si>
    <t>Oxford Economics</t>
  </si>
  <si>
    <t>2050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</si>
  <si>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</si>
  <si>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</si>
  <si>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</si>
  <si>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</si>
  <si>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</si>
  <si>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</si>
  <si>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</si>
  <si>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</si>
  <si>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</si>
  <si>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</si>
  <si>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</si>
  <si>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</si>
  <si>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</si>
  <si>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</si>
  <si>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</si>
  <si>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</si>
  <si>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</si>
  <si>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</si>
  <si>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</si>
  <si>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z-score</t>
  </si>
  <si>
    <t>1) log it</t>
  </si>
  <si>
    <t>2) detrend</t>
  </si>
  <si>
    <t>mean</t>
  </si>
  <si>
    <t>std</t>
  </si>
  <si>
    <t>3) adj value</t>
  </si>
  <si>
    <t>BB-</t>
  </si>
  <si>
    <t>Numeric</t>
  </si>
  <si>
    <t>Credit Rating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</si>
  <si>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</si>
  <si>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</si>
  <si>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</si>
  <si>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</si>
  <si>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</si>
  <si>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</si>
  <si>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</si>
  <si>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</si>
  <si>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</si>
  <si>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</si>
  <si>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</si>
  <si>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B+</t>
  </si>
  <si>
    <t>B</t>
  </si>
  <si>
    <t>B-</t>
  </si>
  <si>
    <t>CCC+</t>
  </si>
  <si>
    <t>CCC</t>
  </si>
  <si>
    <t>CCC-</t>
  </si>
  <si>
    <t>CC</t>
  </si>
  <si>
    <t>C</t>
  </si>
  <si>
    <t>D</t>
  </si>
  <si>
    <t>Oct-14-2025 21:13</t>
  </si>
  <si>
    <t>Algeria: Current Account Balance as % of GDP[Oct 2025](%)</t>
  </si>
  <si>
    <t>Q612RESM@OEFQMACR</t>
  </si>
  <si>
    <t>Oct-13-2025 17:49</t>
  </si>
  <si>
    <t>Average</t>
  </si>
  <si>
    <t>2050 &lt;- Q4-2050</t>
  </si>
  <si>
    <t>1980 &lt;- Q1-1980</t>
  </si>
  <si>
    <t>Algeria: Reserves, Months Of Import Cover (NSA, Months)</t>
  </si>
  <si>
    <t>Q612RESD@OEFQMACR % A612GDDH@OEFAMACR</t>
  </si>
  <si>
    <t>RESULT: 0 Q612RESD: 6 A612GDDH: 6</t>
  </si>
  <si>
    <t>Q612RESD: Sep-22-2025 18:39 A612GDDH: Nov-10-2023 01:38</t>
  </si>
  <si>
    <t>RESULT: End of Period Q612RESD: End of Period A612GDDH: None</t>
  </si>
  <si>
    <t>Q612RESD: Oxford Economics A612GDDH: Oxford Economics</t>
  </si>
  <si>
    <t>RESULT: 2050 Q612RESD: 2050 &lt;- Q4-2050 A612GDDH: 2050</t>
  </si>
  <si>
    <t>RESULT: 1988 Q612RESD: 1988 &lt;- Q1-1980 A612GDDH: 1988</t>
  </si>
  <si>
    <t>Q612RESD: Algeria: Reserves, Foreign Exchange(NSA, Mil.US$) A612GDDH: Algeria: Nominal GDP (Mil.US$)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</si>
</sst>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yyyy"/>
    <numFmt numFmtId="166" formatCode="0.000"/>
    <numFmt numFmtId="167" formatCode="0.000000"/>
    <numFmt numFmtId="168" formatCode="0.000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5"/>
      <color theme="1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sz val="11"/>
      <color rgb="FFB21740"/>
      <name val="Calibri"/>
      <family val="2"/>
    </font>
    <font>
      <b/>
      <sz val="8.5"/>
      <name val="Arial"/>
      <family val="2"/>
    </font>
    <font>
      <sz val="8.5"/>
      <name val="Arial"/>
      <family val="2"/>
    </font>
    <font>
      <sz val="8.5"/>
      <color rgb="FFFF0000"/>
      <name val="Arial"/>
      <family val="2"/>
    </font>
    <font>
      <b/>
      <sz val="8.5"/>
      <color rgb="FF0000FF"/>
      <name val="Arial"/>
      <family val="2"/>
    </font>
    <font>
      <b/>
      <sz val="8.5"/>
      <color theme="1"/>
      <name val="Arial"/>
      <family val="2"/>
    </font>
    <font>
      <sz val="8.5"/>
      <color rgb="FF7030A0"/>
      <name val="Arial"/>
      <family val="2"/>
    </font>
    <font>
      <b/>
      <sz val="8.5"/>
      <color rgb="FF7030A0"/>
      <name val="Arial"/>
      <family val="2"/>
    </font>
    <font>
      <b/>
      <sz val="8.5"/>
      <color theme="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A3B73"/>
      </patternFill>
    </fill>
    <fill>
      <patternFill patternType="solid">
        <fgColor rgb="FFE9E9EB"/>
      </patternFill>
    </fill>
    <fill>
      <patternFill patternType="solid">
        <fgColor rgb="FFB6CEE4"/>
      </patternFill>
    </fill>
    <fill>
      <patternFill patternType="solid">
        <fgColor rgb="FFDAEEF3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4" fillId="2" borderId="4" xfId="0" applyFont="1" applyFill="1" applyBorder="1" applyAlignment="1">
      <alignment horizontal="left"/>
    </xf>
    <xf numFmtId="0" fontId="0" fillId="0" borderId="5" xfId="0" applyBorder="1"/>
    <xf numFmtId="0" fontId="3" fillId="3" borderId="4" xfId="0" applyFont="1" applyFill="1" applyBorder="1" applyAlignment="1">
      <alignment horizontal="left"/>
    </xf>
    <xf numFmtId="0" fontId="4" fillId="0" borderId="4" xfId="0" applyFont="1" applyBorder="1"/>
    <xf numFmtId="0" fontId="3" fillId="3" borderId="4" xfId="0" applyFont="1" applyFill="1" applyBorder="1"/>
    <xf numFmtId="0" fontId="3" fillId="3" borderId="2" xfId="0" applyFont="1" applyFill="1" applyBorder="1"/>
    <xf numFmtId="0" fontId="3" fillId="3" borderId="5" xfId="0" applyFont="1" applyFill="1" applyBorder="1"/>
    <xf numFmtId="0" fontId="4" fillId="4" borderId="4" xfId="0" applyFont="1" applyFill="1" applyBorder="1" applyAlignment="1">
      <alignment vertical="top"/>
    </xf>
    <xf numFmtId="2" fontId="0" fillId="0" borderId="0" xfId="0" applyNumberFormat="1" applyAlignment="1">
      <alignment vertical="top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horizontal="left" vertical="top" wrapText="1"/>
    </xf>
    <xf numFmtId="0" fontId="4" fillId="5" borderId="4" xfId="0" applyFont="1" applyFill="1" applyBorder="1" applyAlignment="1">
      <alignment vertical="top"/>
    </xf>
    <xf numFmtId="0" fontId="0" fillId="5" borderId="0" xfId="0" applyFill="1" applyAlignment="1">
      <alignment vertical="top"/>
    </xf>
    <xf numFmtId="0" fontId="5" fillId="5" borderId="0" xfId="0" applyFont="1" applyFill="1" applyAlignment="1">
      <alignment vertical="top"/>
    </xf>
    <xf numFmtId="0" fontId="5" fillId="5" borderId="5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vertical="top"/>
    </xf>
    <xf numFmtId="0" fontId="4" fillId="5" borderId="4" xfId="0" applyFont="1" applyFill="1" applyBorder="1"/>
    <xf numFmtId="0" fontId="0" fillId="5" borderId="0" xfId="0" applyFill="1"/>
    <xf numFmtId="0" fontId="0" fillId="5" borderId="5" xfId="0" applyFill="1" applyBorder="1"/>
    <xf numFmtId="0" fontId="4" fillId="2" borderId="4" xfId="0" applyFont="1" applyFill="1" applyBorder="1"/>
    <xf numFmtId="0" fontId="0" fillId="2" borderId="0" xfId="0" applyFill="1"/>
    <xf numFmtId="2" fontId="4" fillId="2" borderId="0" xfId="0" applyNumberFormat="1" applyFont="1" applyFill="1"/>
    <xf numFmtId="0" fontId="4" fillId="2" borderId="0" xfId="0" applyFont="1" applyFill="1"/>
    <xf numFmtId="0" fontId="4" fillId="2" borderId="5" xfId="0" applyFont="1" applyFill="1" applyBorder="1"/>
    <xf numFmtId="0" fontId="4" fillId="2" borderId="6" xfId="0" applyFont="1" applyFill="1" applyBorder="1"/>
    <xf numFmtId="0" fontId="0" fillId="2" borderId="7" xfId="0" applyFill="1" applyBorder="1"/>
    <xf numFmtId="2" fontId="4" fillId="2" borderId="7" xfId="0" applyNumberFormat="1" applyFont="1" applyFill="1" applyBorder="1"/>
    <xf numFmtId="0" fontId="4" fillId="2" borderId="8" xfId="0" applyFont="1" applyFill="1" applyBorder="1"/>
    <xf numFmtId="0" fontId="3" fillId="3" borderId="1" xfId="0" applyFont="1" applyFill="1" applyBorder="1"/>
    <xf numFmtId="0" fontId="0" fillId="0" borderId="0" xfId="0" applyAlignment="1">
      <alignment horizontal="right"/>
    </xf>
    <xf numFmtId="0" fontId="3" fillId="3" borderId="0" xfId="0" applyFont="1" applyFill="1"/>
    <xf numFmtId="0" fontId="4" fillId="2" borderId="4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6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7" fillId="0" borderId="5" xfId="0" applyFont="1" applyBorder="1" applyAlignment="1">
      <alignment horizontal="left" vertical="top" wrapText="1"/>
    </xf>
    <xf numFmtId="0" fontId="4" fillId="6" borderId="6" xfId="0" applyFont="1" applyFill="1" applyBorder="1" applyAlignment="1">
      <alignment vertical="top"/>
    </xf>
    <xf numFmtId="0" fontId="4" fillId="0" borderId="7" xfId="0" applyFont="1" applyBorder="1" applyAlignment="1">
      <alignment vertical="top"/>
    </xf>
    <xf numFmtId="1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0" fontId="6" fillId="0" borderId="7" xfId="0" applyFont="1" applyBorder="1" applyAlignment="1">
      <alignment vertical="top"/>
    </xf>
    <xf numFmtId="0" fontId="5" fillId="0" borderId="8" xfId="0" applyFont="1" applyBorder="1" applyAlignment="1">
      <alignment horizontal="left" vertical="top" wrapText="1"/>
    </xf>
    <xf numFmtId="0" fontId="2" fillId="0" borderId="0" xfId="0" quotePrefix="1" applyFont="1"/>
    <xf numFmtId="165" fontId="2" fillId="0" borderId="0" xfId="0" applyNumberFormat="1" applyFont="1"/>
    <xf numFmtId="2" fontId="2" fillId="0" borderId="0" xfId="0" applyNumberFormat="1" applyFont="1"/>
    <xf numFmtId="166" fontId="2" fillId="0" borderId="0" xfId="0" applyNumberFormat="1" applyFont="1"/>
    <xf numFmtId="165" fontId="10" fillId="0" borderId="0" xfId="0" applyNumberFormat="1" applyFont="1"/>
    <xf numFmtId="0" fontId="11" fillId="0" borderId="0" xfId="0" applyFont="1"/>
    <xf numFmtId="167" fontId="2" fillId="0" borderId="0" xfId="0" applyNumberFormat="1" applyFont="1"/>
    <xf numFmtId="0" fontId="8" fillId="7" borderId="0" xfId="0" applyFont="1" applyFill="1" applyAlignment="1">
      <alignment vertical="top" wrapText="1"/>
    </xf>
    <xf numFmtId="0" fontId="12" fillId="0" borderId="0" xfId="0" applyFont="1"/>
    <xf numFmtId="0" fontId="8" fillId="7" borderId="0" xfId="0" applyFont="1" applyFill="1" applyAlignment="1">
      <alignment wrapText="1"/>
    </xf>
    <xf numFmtId="166" fontId="13" fillId="0" borderId="0" xfId="0" applyNumberFormat="1" applyFont="1"/>
    <xf numFmtId="166" fontId="14" fillId="0" borderId="0" xfId="0" applyNumberFormat="1" applyFont="1"/>
    <xf numFmtId="2" fontId="14" fillId="0" borderId="0" xfId="0" applyNumberFormat="1" applyFont="1"/>
    <xf numFmtId="167" fontId="14" fillId="0" borderId="0" xfId="0" applyNumberFormat="1" applyFont="1"/>
    <xf numFmtId="0" fontId="12" fillId="7" borderId="0" xfId="0" applyFont="1" applyFill="1" applyAlignment="1">
      <alignment vertical="top" wrapText="1"/>
    </xf>
    <xf numFmtId="0" fontId="11" fillId="0" borderId="0" xfId="0" applyFont="1" applyAlignment="1">
      <alignment horizontal="right"/>
    </xf>
    <xf numFmtId="2" fontId="9" fillId="0" borderId="0" xfId="0" applyNumberFormat="1" applyFont="1"/>
    <xf numFmtId="2" fontId="15" fillId="0" borderId="0" xfId="0" applyNumberFormat="1" applyFont="1"/>
    <xf numFmtId="3" fontId="0" fillId="0" borderId="0" xfId="0" applyNumberFormat="1"/>
    <xf numFmtId="164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vertical="top"/>
    </xf>
    <xf numFmtId="1" fontId="18" fillId="0" borderId="0" xfId="0" applyNumberFormat="1" applyFont="1" applyAlignment="1">
      <alignment vertical="top"/>
    </xf>
    <xf numFmtId="2" fontId="18" fillId="0" borderId="0" xfId="0" applyNumberFormat="1" applyFont="1" applyAlignment="1">
      <alignment vertical="top"/>
    </xf>
    <xf numFmtId="2" fontId="18" fillId="0" borderId="0" xfId="0" applyNumberFormat="1" applyFont="1"/>
    <xf numFmtId="164" fontId="18" fillId="0" borderId="0" xfId="0" applyNumberFormat="1" applyFont="1"/>
    <xf numFmtId="0" fontId="1" fillId="0" borderId="0" xfId="0" applyFont="1"/>
    <xf numFmtId="0" fontId="2" fillId="0" borderId="0" xfId="0" applyFont="1" applyFill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SCorp">
  <a:themeElements>
    <a:clrScheme name="NewLSTheme">
      <a:dk1>
        <a:srgbClr val="000000"/>
      </a:dk1>
      <a:lt1>
        <a:srgbClr val="FFFFFF"/>
      </a:lt1>
      <a:dk2>
        <a:srgbClr val="7F7F7F"/>
      </a:dk2>
      <a:lt2>
        <a:srgbClr val="5DA9DD"/>
      </a:lt2>
      <a:accent1>
        <a:srgbClr val="1A3B73"/>
      </a:accent1>
      <a:accent2>
        <a:srgbClr val="91929B"/>
      </a:accent2>
      <a:accent3>
        <a:srgbClr val="EF7622"/>
      </a:accent3>
      <a:accent4>
        <a:srgbClr val="B6CEE4"/>
      </a:accent4>
      <a:accent5>
        <a:srgbClr val="DFD666"/>
      </a:accent5>
      <a:accent6>
        <a:srgbClr val="B21740"/>
      </a:accent6>
      <a:hlink>
        <a:srgbClr val="9EA0D0"/>
      </a:hlink>
      <a:folHlink>
        <a:srgbClr val="5A226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25"/>
  <sheetViews>
    <sheetView tabSelected="1" workbookViewId="0">
      <selection activeCell="F30" sqref="F30"/>
    </sheetView>
  </sheetViews>
  <sheetFormatPr defaultRowHeight="14.4" x14ac:dyDescent="0.3"/>
  <cols>
    <col min="1" max="1" width="25" customWidth="1"/>
    <col min="2" max="2" width="10" customWidth="1"/>
    <col min="3" max="3" width="12" customWidth="1"/>
    <col min="4" max="4" width="14.44140625" customWidth="1"/>
    <col min="5" max="5" width="11.44140625" customWidth="1"/>
    <col min="6" max="6" width="57" customWidth="1"/>
  </cols>
  <sheetData>
    <row r="1" spans="1:6" x14ac:dyDescent="0.3">
      <c r="A1" s="2" t="s">
        <v>0</v>
      </c>
      <c r="B1" s="3"/>
      <c r="C1" s="3"/>
      <c r="D1" s="3"/>
      <c r="E1" s="3"/>
      <c r="F1" s="4"/>
    </row>
    <row r="2" spans="1:6" x14ac:dyDescent="0.3">
      <c r="A2" s="5" t="s">
        <v>56</v>
      </c>
      <c r="F2" s="6"/>
    </row>
    <row r="3" spans="1:6" x14ac:dyDescent="0.3">
      <c r="A3" s="7" t="s">
        <v>1</v>
      </c>
      <c r="F3" s="6"/>
    </row>
    <row r="4" spans="1:6" x14ac:dyDescent="0.3">
      <c r="A4" s="5">
        <v>2025</v>
      </c>
      <c r="F4" s="6"/>
    </row>
    <row r="5" spans="1:6" x14ac:dyDescent="0.3">
      <c r="A5" s="8"/>
      <c r="F5" s="6"/>
    </row>
    <row r="6" spans="1:6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1" t="s">
        <v>7</v>
      </c>
    </row>
    <row r="7" spans="1:6" x14ac:dyDescent="0.3">
      <c r="A7" s="12" t="s">
        <v>8</v>
      </c>
      <c r="B7" s="13">
        <v>12.69593335716584</v>
      </c>
      <c r="C7" s="13">
        <v>1</v>
      </c>
      <c r="D7" s="13">
        <v>12.69593335716584</v>
      </c>
      <c r="E7" s="14"/>
      <c r="F7" s="15"/>
    </row>
    <row r="8" spans="1:6" x14ac:dyDescent="0.3">
      <c r="A8" s="16" t="s">
        <v>9</v>
      </c>
      <c r="B8" s="17"/>
      <c r="C8" s="17"/>
      <c r="D8" s="17"/>
      <c r="E8" s="18"/>
      <c r="F8" s="19"/>
    </row>
    <row r="9" spans="1:6" x14ac:dyDescent="0.3">
      <c r="A9" s="20" t="s">
        <v>10</v>
      </c>
      <c r="B9" s="13">
        <v>0.50759205324952983</v>
      </c>
      <c r="C9" s="13">
        <v>-0.35552493240718502</v>
      </c>
      <c r="D9" s="13">
        <f>B9*C9</f>
        <v>-0.18046163042196336</v>
      </c>
      <c r="E9" s="14"/>
      <c r="F9" s="15"/>
    </row>
    <row r="10" spans="1:6" x14ac:dyDescent="0.3">
      <c r="A10" s="20" t="s">
        <v>11</v>
      </c>
      <c r="B10" s="13">
        <v>1.604704331414234</v>
      </c>
      <c r="C10" s="13">
        <v>0.40943578281072163</v>
      </c>
      <c r="D10" s="13">
        <f t="shared" ref="D10:D21" si="0">B10*C10</f>
        <v>0.65702337411234257</v>
      </c>
      <c r="E10" s="14"/>
      <c r="F10" s="15"/>
    </row>
    <row r="11" spans="1:6" x14ac:dyDescent="0.3">
      <c r="A11" s="20" t="s">
        <v>12</v>
      </c>
      <c r="B11" s="13">
        <v>0.14465343706937159</v>
      </c>
      <c r="C11" s="13">
        <v>-0.3303362142494628</v>
      </c>
      <c r="D11" s="13">
        <f t="shared" si="0"/>
        <v>-4.7784268779669119E-2</v>
      </c>
      <c r="E11" s="14"/>
      <c r="F11" s="15"/>
    </row>
    <row r="12" spans="1:6" x14ac:dyDescent="0.3">
      <c r="A12" s="16" t="s">
        <v>13</v>
      </c>
      <c r="B12" s="17"/>
      <c r="C12" s="17"/>
      <c r="D12" s="17"/>
      <c r="E12" s="18"/>
      <c r="F12" s="19"/>
    </row>
    <row r="13" spans="1:6" x14ac:dyDescent="0.3">
      <c r="A13" s="20" t="s">
        <v>14</v>
      </c>
      <c r="B13" s="13">
        <v>0.27236765269704988</v>
      </c>
      <c r="C13" s="13">
        <v>8.5377173640442602E-2</v>
      </c>
      <c r="D13" s="13">
        <f t="shared" si="0"/>
        <v>2.3253980378355792E-2</v>
      </c>
      <c r="E13" s="14"/>
      <c r="F13" s="15"/>
    </row>
    <row r="14" spans="1:6" x14ac:dyDescent="0.3">
      <c r="A14" s="20" t="s">
        <v>15</v>
      </c>
      <c r="B14" s="13">
        <v>0.81804554961089571</v>
      </c>
      <c r="C14" s="13">
        <v>0.30213081591089108</v>
      </c>
      <c r="D14" s="13">
        <f t="shared" si="0"/>
        <v>0.24715676935621325</v>
      </c>
      <c r="E14" s="14"/>
      <c r="F14" s="15"/>
    </row>
    <row r="15" spans="1:6" x14ac:dyDescent="0.3">
      <c r="A15" s="20" t="s">
        <v>16</v>
      </c>
      <c r="B15" s="13">
        <v>2.8789940587952429</v>
      </c>
      <c r="C15" s="13">
        <v>-1.0017507163570709</v>
      </c>
      <c r="D15" s="13">
        <f t="shared" si="0"/>
        <v>-2.8840343607858858</v>
      </c>
      <c r="E15" s="14"/>
      <c r="F15" s="15"/>
    </row>
    <row r="16" spans="1:6" x14ac:dyDescent="0.3">
      <c r="A16" s="16" t="s">
        <v>17</v>
      </c>
      <c r="B16" s="17"/>
      <c r="C16" s="17"/>
      <c r="D16" s="17"/>
      <c r="E16" s="18"/>
      <c r="F16" s="19"/>
    </row>
    <row r="17" spans="1:6" x14ac:dyDescent="0.3">
      <c r="A17" s="20" t="s">
        <v>18</v>
      </c>
      <c r="B17" s="13">
        <v>0.65335150759482108</v>
      </c>
      <c r="C17" s="13">
        <v>-0.69996603324236872</v>
      </c>
      <c r="D17" s="13">
        <f t="shared" si="0"/>
        <v>-0.45732386308406825</v>
      </c>
      <c r="E17" s="14"/>
      <c r="F17" s="15"/>
    </row>
    <row r="18" spans="1:6" x14ac:dyDescent="0.3">
      <c r="A18" s="20" t="s">
        <v>19</v>
      </c>
      <c r="B18" s="13">
        <v>0.9102573362540608</v>
      </c>
      <c r="C18" s="13">
        <v>6.6354096586144348E-3</v>
      </c>
      <c r="D18" s="13">
        <f t="shared" si="0"/>
        <v>6.0399303208048425E-3</v>
      </c>
      <c r="E18" s="14"/>
      <c r="F18" s="15"/>
    </row>
    <row r="19" spans="1:6" x14ac:dyDescent="0.3">
      <c r="A19" s="16" t="s">
        <v>20</v>
      </c>
      <c r="B19" s="17"/>
      <c r="C19" s="17"/>
      <c r="D19" s="17"/>
      <c r="E19" s="18"/>
      <c r="F19" s="19"/>
    </row>
    <row r="20" spans="1:6" x14ac:dyDescent="0.3">
      <c r="A20" s="20" t="s">
        <v>21</v>
      </c>
      <c r="B20" s="13">
        <v>0.46481235271387022</v>
      </c>
      <c r="C20" s="13">
        <v>1.2790861716441334E-2</v>
      </c>
      <c r="D20" s="13">
        <f t="shared" si="0"/>
        <v>5.945350527656869E-3</v>
      </c>
      <c r="E20" s="14"/>
      <c r="F20" s="15"/>
    </row>
    <row r="21" spans="1:6" x14ac:dyDescent="0.3">
      <c r="A21" s="20" t="s">
        <v>22</v>
      </c>
      <c r="B21" s="13">
        <v>0.35395377769039021</v>
      </c>
      <c r="C21" s="13">
        <v>0.84882885813875919</v>
      </c>
      <c r="D21" s="13">
        <f t="shared" si="0"/>
        <v>0.30044618095083414</v>
      </c>
      <c r="E21" s="14"/>
      <c r="F21" s="15"/>
    </row>
    <row r="22" spans="1:6" x14ac:dyDescent="0.3">
      <c r="A22" s="20" t="s">
        <v>23</v>
      </c>
      <c r="B22" s="13">
        <v>0.45274542931804729</v>
      </c>
      <c r="C22" s="13">
        <v>-0.52486557418804092</v>
      </c>
      <c r="D22" s="13">
        <f t="shared" ref="D22" si="1">B22*C22</f>
        <v>-0.23763048972002798</v>
      </c>
      <c r="E22" s="14"/>
      <c r="F22" s="15"/>
    </row>
    <row r="23" spans="1:6" x14ac:dyDescent="0.3">
      <c r="A23" s="21" t="s">
        <v>24</v>
      </c>
      <c r="B23" s="22"/>
      <c r="C23" s="22"/>
      <c r="D23" s="22"/>
      <c r="E23" s="22"/>
      <c r="F23" s="23"/>
    </row>
    <row r="24" spans="1:6" x14ac:dyDescent="0.3">
      <c r="A24" s="24" t="s">
        <v>25</v>
      </c>
      <c r="B24" s="25"/>
      <c r="C24" s="25"/>
      <c r="D24" s="26">
        <f>SUM(D7:D22)</f>
        <v>10.128564330020433</v>
      </c>
      <c r="E24" s="27"/>
      <c r="F24" s="28" t="str">
        <f>VLOOKUP(ROUND(D24,0),rating_scale!$A$1:$B$23,2,FALSE)</f>
        <v>BB-</v>
      </c>
    </row>
    <row r="25" spans="1:6" x14ac:dyDescent="0.3">
      <c r="A25" s="29" t="s">
        <v>27</v>
      </c>
      <c r="B25" s="30"/>
      <c r="C25" s="30"/>
      <c r="D25" s="31">
        <f>D24+SUM(E7:E22)</f>
        <v>10.128564330020433</v>
      </c>
      <c r="E25" s="30"/>
      <c r="F25" s="32" t="str">
        <f>VLOOKUP(ROUND(D25,0),rating_scale!$A$1:$B$23,2,FALSE)</f>
        <v>BB-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35"/>
  <sheetViews>
    <sheetView topLeftCell="A7" workbookViewId="0">
      <selection activeCell="D32" sqref="D32"/>
    </sheetView>
  </sheetViews>
  <sheetFormatPr defaultRowHeight="14.4" x14ac:dyDescent="0.3"/>
  <cols>
    <col min="1" max="1" width="25" customWidth="1"/>
    <col min="2" max="2" width="52" customWidth="1"/>
    <col min="3" max="3" width="10" customWidth="1"/>
    <col min="4" max="4" width="12" customWidth="1"/>
    <col min="5" max="5" width="11.44140625" customWidth="1"/>
    <col min="6" max="6" width="57" customWidth="1"/>
  </cols>
  <sheetData>
    <row r="1" spans="1:6" x14ac:dyDescent="0.3">
      <c r="A1" s="33" t="s">
        <v>0</v>
      </c>
      <c r="B1" s="3"/>
      <c r="C1" s="3"/>
      <c r="D1" s="3"/>
      <c r="E1" s="3"/>
      <c r="F1" s="4"/>
    </row>
    <row r="2" spans="1:6" x14ac:dyDescent="0.3">
      <c r="A2" s="5" t="s">
        <v>56</v>
      </c>
      <c r="F2" s="6"/>
    </row>
    <row r="3" spans="1:6" x14ac:dyDescent="0.3">
      <c r="A3" s="9" t="s">
        <v>1</v>
      </c>
      <c r="F3" s="6"/>
    </row>
    <row r="4" spans="1:6" x14ac:dyDescent="0.3">
      <c r="A4" s="5">
        <v>2025</v>
      </c>
      <c r="F4" s="6"/>
    </row>
    <row r="5" spans="1:6" x14ac:dyDescent="0.3">
      <c r="A5" s="8"/>
      <c r="C5" s="34"/>
      <c r="D5" s="34"/>
      <c r="E5" s="34"/>
      <c r="F5" s="6"/>
    </row>
    <row r="6" spans="1:6" x14ac:dyDescent="0.3">
      <c r="A6" s="9" t="s">
        <v>2</v>
      </c>
      <c r="B6" s="35" t="s">
        <v>28</v>
      </c>
      <c r="C6" s="35" t="s">
        <v>29</v>
      </c>
      <c r="D6" s="35" t="s">
        <v>4</v>
      </c>
      <c r="E6" s="35" t="s">
        <v>6</v>
      </c>
      <c r="F6" s="11" t="s">
        <v>7</v>
      </c>
    </row>
    <row r="7" spans="1:6" x14ac:dyDescent="0.3">
      <c r="A7" s="36" t="s">
        <v>8</v>
      </c>
      <c r="B7" s="37" t="s">
        <v>30</v>
      </c>
      <c r="C7" s="38" t="s">
        <v>31</v>
      </c>
      <c r="D7" s="13">
        <v>1</v>
      </c>
      <c r="E7" s="38"/>
      <c r="F7" s="39"/>
    </row>
    <row r="8" spans="1:6" x14ac:dyDescent="0.3">
      <c r="A8" s="16" t="s">
        <v>9</v>
      </c>
      <c r="B8" s="17"/>
      <c r="C8" s="17"/>
      <c r="D8" s="17"/>
      <c r="E8" s="17"/>
      <c r="F8" s="40"/>
    </row>
    <row r="9" spans="1:6" x14ac:dyDescent="0.3">
      <c r="A9" s="20" t="s">
        <v>10</v>
      </c>
      <c r="B9" s="37" t="s">
        <v>32</v>
      </c>
      <c r="C9" s="69">
        <v>5690.5</v>
      </c>
      <c r="D9" s="71">
        <v>-0.35552493240718502</v>
      </c>
      <c r="E9" s="41"/>
      <c r="F9" s="15"/>
    </row>
    <row r="10" spans="1:6" x14ac:dyDescent="0.3">
      <c r="A10" s="20" t="s">
        <v>11</v>
      </c>
      <c r="B10" s="37" t="s">
        <v>33</v>
      </c>
      <c r="C10" s="69">
        <v>268.88499999999999</v>
      </c>
      <c r="D10" s="71">
        <v>0.40943578281072163</v>
      </c>
      <c r="E10" s="41"/>
      <c r="F10" s="15"/>
    </row>
    <row r="11" spans="1:6" x14ac:dyDescent="0.3">
      <c r="A11" s="20" t="s">
        <v>12</v>
      </c>
      <c r="B11" s="37" t="s">
        <v>34</v>
      </c>
      <c r="C11" s="70">
        <v>2.4561000000000002</v>
      </c>
      <c r="D11" s="71">
        <v>-0.3303362142494628</v>
      </c>
      <c r="E11" s="41"/>
      <c r="F11" s="15"/>
    </row>
    <row r="12" spans="1:6" x14ac:dyDescent="0.3">
      <c r="A12" s="16" t="s">
        <v>13</v>
      </c>
      <c r="B12" s="17"/>
      <c r="C12" s="17"/>
      <c r="D12" s="17"/>
      <c r="E12" s="17"/>
      <c r="F12" s="40"/>
    </row>
    <row r="13" spans="1:6" x14ac:dyDescent="0.3">
      <c r="A13" s="20" t="s">
        <v>14</v>
      </c>
      <c r="B13" s="37" t="s">
        <v>35</v>
      </c>
      <c r="C13" s="42">
        <v>5.0993333333333331</v>
      </c>
      <c r="D13" s="72">
        <v>8.5377173640442602E-2</v>
      </c>
      <c r="E13" s="41"/>
      <c r="F13" s="15"/>
    </row>
    <row r="14" spans="1:6" x14ac:dyDescent="0.3">
      <c r="A14" s="20" t="s">
        <v>15</v>
      </c>
      <c r="B14" s="37" t="s">
        <v>36</v>
      </c>
      <c r="C14" s="38" t="s">
        <v>31</v>
      </c>
      <c r="D14" s="72">
        <v>0.30213081591089108</v>
      </c>
      <c r="E14" s="41"/>
      <c r="F14" s="15"/>
    </row>
    <row r="15" spans="1:6" x14ac:dyDescent="0.3">
      <c r="A15" s="20"/>
      <c r="B15" s="43" t="s">
        <v>37</v>
      </c>
      <c r="C15" s="73">
        <v>0</v>
      </c>
      <c r="D15" s="74">
        <v>-0.36105429762281449</v>
      </c>
      <c r="E15" s="43"/>
      <c r="F15" s="44"/>
    </row>
    <row r="16" spans="1:6" x14ac:dyDescent="0.3">
      <c r="A16" s="20"/>
      <c r="B16" s="43" t="s">
        <v>38</v>
      </c>
      <c r="C16" s="73">
        <v>0</v>
      </c>
      <c r="D16" s="74">
        <v>-0.24320733419896781</v>
      </c>
      <c r="E16" s="43"/>
      <c r="F16" s="44"/>
    </row>
    <row r="17" spans="1:6" x14ac:dyDescent="0.3">
      <c r="A17" s="20" t="s">
        <v>16</v>
      </c>
      <c r="B17" s="37" t="s">
        <v>39</v>
      </c>
      <c r="C17" s="38" t="s">
        <v>31</v>
      </c>
      <c r="D17" s="72">
        <f>AVERAGE(D18:D23)</f>
        <v>-1.0017507163570709</v>
      </c>
      <c r="E17" s="41"/>
      <c r="F17" s="15"/>
    </row>
    <row r="18" spans="1:6" x14ac:dyDescent="0.3">
      <c r="A18" s="20"/>
      <c r="B18" s="43" t="s">
        <v>40</v>
      </c>
      <c r="C18" s="75">
        <v>-0.97988399999999998</v>
      </c>
      <c r="D18" s="75">
        <v>-1.2465867313796286</v>
      </c>
      <c r="E18" s="43"/>
      <c r="F18" s="44"/>
    </row>
    <row r="19" spans="1:6" x14ac:dyDescent="0.3">
      <c r="A19" s="20"/>
      <c r="B19" s="43" t="s">
        <v>41</v>
      </c>
      <c r="C19" s="75">
        <v>-0.57788499999999998</v>
      </c>
      <c r="D19" s="75">
        <v>-0.72039856297375648</v>
      </c>
      <c r="E19" s="43"/>
      <c r="F19" s="44"/>
    </row>
    <row r="20" spans="1:6" x14ac:dyDescent="0.3">
      <c r="A20" s="20"/>
      <c r="B20" s="43" t="s">
        <v>42</v>
      </c>
      <c r="C20" s="75">
        <v>-0.67013500000000004</v>
      </c>
      <c r="D20" s="75">
        <v>-1.0171611026976699</v>
      </c>
      <c r="E20" s="43"/>
      <c r="F20" s="44"/>
    </row>
    <row r="21" spans="1:6" x14ac:dyDescent="0.3">
      <c r="A21" s="20"/>
      <c r="B21" s="43" t="s">
        <v>43</v>
      </c>
      <c r="C21" s="75">
        <v>-0.94808700000000001</v>
      </c>
      <c r="D21" s="75">
        <v>-1.3956453035282443</v>
      </c>
      <c r="E21" s="43"/>
      <c r="F21" s="44"/>
    </row>
    <row r="22" spans="1:6" x14ac:dyDescent="0.3">
      <c r="A22" s="20"/>
      <c r="B22" s="43" t="s">
        <v>44</v>
      </c>
      <c r="C22" s="75">
        <v>-0.67836399999999997</v>
      </c>
      <c r="D22" s="75">
        <v>-0.89785661476045575</v>
      </c>
      <c r="E22" s="43"/>
      <c r="F22" s="44"/>
    </row>
    <row r="23" spans="1:6" x14ac:dyDescent="0.3">
      <c r="A23" s="20"/>
      <c r="B23" s="43" t="s">
        <v>45</v>
      </c>
      <c r="C23" s="75">
        <v>-0.58930800000000005</v>
      </c>
      <c r="D23" s="75">
        <v>-0.73285598280267061</v>
      </c>
      <c r="E23" s="43"/>
      <c r="F23" s="44"/>
    </row>
    <row r="24" spans="1:6" x14ac:dyDescent="0.3">
      <c r="A24" s="16" t="s">
        <v>17</v>
      </c>
      <c r="B24" s="17"/>
      <c r="C24" s="17"/>
      <c r="D24" s="17"/>
      <c r="E24" s="17"/>
      <c r="F24" s="40"/>
    </row>
    <row r="25" spans="1:6" x14ac:dyDescent="0.3">
      <c r="A25" s="20" t="s">
        <v>18</v>
      </c>
      <c r="B25" s="37" t="s">
        <v>46</v>
      </c>
      <c r="C25" s="38" t="s">
        <v>31</v>
      </c>
      <c r="D25" s="72">
        <f>AVERAGE(D26:D28)</f>
        <v>-0.69996603324236872</v>
      </c>
      <c r="E25" s="41"/>
      <c r="F25" s="15"/>
    </row>
    <row r="26" spans="1:6" x14ac:dyDescent="0.3">
      <c r="A26" s="20"/>
      <c r="B26" s="43" t="s">
        <v>47</v>
      </c>
      <c r="C26" s="76">
        <v>-9.4409999999999989</v>
      </c>
      <c r="D26" s="75">
        <v>-1.7365665660530882</v>
      </c>
      <c r="E26" s="43"/>
      <c r="F26" s="44"/>
    </row>
    <row r="27" spans="1:6" x14ac:dyDescent="0.3">
      <c r="A27" s="20"/>
      <c r="B27" s="43" t="s">
        <v>48</v>
      </c>
      <c r="C27" s="76">
        <v>23.981000000000002</v>
      </c>
      <c r="D27" s="75">
        <v>-0.45241942869970747</v>
      </c>
      <c r="E27" s="43"/>
      <c r="F27" s="44"/>
    </row>
    <row r="28" spans="1:6" x14ac:dyDescent="0.3">
      <c r="A28" s="20"/>
      <c r="B28" s="43" t="s">
        <v>49</v>
      </c>
      <c r="C28" s="76">
        <v>6.8470872774279687</v>
      </c>
      <c r="D28" s="75">
        <v>8.9087895025689562E-2</v>
      </c>
      <c r="E28" s="43"/>
      <c r="F28" s="44"/>
    </row>
    <row r="29" spans="1:6" x14ac:dyDescent="0.3">
      <c r="A29" s="20" t="s">
        <v>19</v>
      </c>
      <c r="B29" s="37" t="s">
        <v>50</v>
      </c>
      <c r="C29" s="70">
        <v>57.798000000000002</v>
      </c>
      <c r="D29" s="71">
        <v>6.6354096586144348E-3</v>
      </c>
      <c r="E29" s="41"/>
      <c r="F29" s="15"/>
    </row>
    <row r="30" spans="1:6" x14ac:dyDescent="0.3">
      <c r="A30" s="16" t="s">
        <v>20</v>
      </c>
      <c r="B30" s="17"/>
      <c r="C30" s="17"/>
      <c r="D30" s="17"/>
      <c r="E30" s="17"/>
      <c r="F30" s="40"/>
    </row>
    <row r="31" spans="1:6" x14ac:dyDescent="0.3">
      <c r="A31" s="20" t="s">
        <v>21</v>
      </c>
      <c r="B31" s="37" t="s">
        <v>51</v>
      </c>
      <c r="C31" s="42">
        <v>-1.4388888888888891</v>
      </c>
      <c r="D31" s="72">
        <v>1.2790861716441334E-2</v>
      </c>
      <c r="E31" s="41"/>
      <c r="F31" s="15"/>
    </row>
    <row r="32" spans="1:6" x14ac:dyDescent="0.3">
      <c r="A32" s="20" t="s">
        <v>22</v>
      </c>
      <c r="B32" s="37" t="s">
        <v>52</v>
      </c>
      <c r="C32" s="38" t="s">
        <v>31</v>
      </c>
      <c r="D32" s="72">
        <f>AVERAGE(D33:D34)</f>
        <v>0.84882885813875919</v>
      </c>
      <c r="E32" s="41"/>
      <c r="F32" s="15"/>
    </row>
    <row r="33" spans="1:6" x14ac:dyDescent="0.3">
      <c r="A33" s="20"/>
      <c r="B33" s="43" t="s">
        <v>53</v>
      </c>
      <c r="C33" s="76">
        <v>30.877858968395678</v>
      </c>
      <c r="D33" s="75">
        <v>0.74555398014836494</v>
      </c>
      <c r="E33" s="43"/>
      <c r="F33" s="44"/>
    </row>
    <row r="34" spans="1:6" x14ac:dyDescent="0.3">
      <c r="A34" s="20"/>
      <c r="B34" s="43" t="s">
        <v>54</v>
      </c>
      <c r="C34" s="76">
        <v>16.328367499999999</v>
      </c>
      <c r="D34" s="75">
        <v>0.95210373612915344</v>
      </c>
      <c r="E34" s="43"/>
      <c r="F34" s="44"/>
    </row>
    <row r="35" spans="1:6" x14ac:dyDescent="0.3">
      <c r="A35" s="45" t="s">
        <v>23</v>
      </c>
      <c r="B35" s="46" t="s">
        <v>55</v>
      </c>
      <c r="C35" s="47">
        <v>0</v>
      </c>
      <c r="D35" s="48">
        <v>-0.52486557418804092</v>
      </c>
      <c r="E35" s="49"/>
      <c r="F35" s="50"/>
    </row>
  </sheetData>
  <pageMargins left="0.75" right="0.75" top="1" bottom="1" header="0.5" footer="0.5"/>
  <pageSetup orientation="portrait" r:id="rId1"/>
  <ignoredErrors>
    <ignoredError sqref="D25 D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B23"/>
  <sheetViews>
    <sheetView workbookViewId="0">
      <selection activeCell="D2" sqref="D2"/>
    </sheetView>
  </sheetViews>
  <sheetFormatPr defaultRowHeight="14.4" x14ac:dyDescent="0.3"/>
  <sheetData>
    <row r="1" spans="1:2" x14ac:dyDescent="0.3">
      <c r="A1" s="77" t="s">
        <v>164</v>
      </c>
      <c r="B1" s="77" t="s">
        <v>165</v>
      </c>
    </row>
    <row r="2" spans="1:2" x14ac:dyDescent="0.3">
      <c r="A2">
        <v>22</v>
      </c>
      <c r="B2" t="s">
        <v>166</v>
      </c>
    </row>
    <row r="3" spans="1:2" x14ac:dyDescent="0.3">
      <c r="A3">
        <v>21</v>
      </c>
      <c r="B3" t="s">
        <v>167</v>
      </c>
    </row>
    <row r="4" spans="1:2" x14ac:dyDescent="0.3">
      <c r="A4">
        <v>20</v>
      </c>
      <c r="B4" t="s">
        <v>168</v>
      </c>
    </row>
    <row r="5" spans="1:2" x14ac:dyDescent="0.3">
      <c r="A5">
        <v>19</v>
      </c>
      <c r="B5" t="s">
        <v>169</v>
      </c>
    </row>
    <row r="6" spans="1:2" x14ac:dyDescent="0.3">
      <c r="A6">
        <v>18</v>
      </c>
      <c r="B6" t="s">
        <v>170</v>
      </c>
    </row>
    <row r="7" spans="1:2" x14ac:dyDescent="0.3">
      <c r="A7">
        <v>17</v>
      </c>
      <c r="B7" t="s">
        <v>171</v>
      </c>
    </row>
    <row r="8" spans="1:2" x14ac:dyDescent="0.3">
      <c r="A8">
        <v>16</v>
      </c>
      <c r="B8" t="s">
        <v>172</v>
      </c>
    </row>
    <row r="9" spans="1:2" x14ac:dyDescent="0.3">
      <c r="A9">
        <v>15</v>
      </c>
      <c r="B9" t="s">
        <v>173</v>
      </c>
    </row>
    <row r="10" spans="1:2" x14ac:dyDescent="0.3">
      <c r="A10">
        <v>14</v>
      </c>
      <c r="B10" t="s">
        <v>174</v>
      </c>
    </row>
    <row r="11" spans="1:2" x14ac:dyDescent="0.3">
      <c r="A11">
        <v>13</v>
      </c>
      <c r="B11" t="s">
        <v>175</v>
      </c>
    </row>
    <row r="12" spans="1:2" x14ac:dyDescent="0.3">
      <c r="A12">
        <v>12</v>
      </c>
      <c r="B12" t="s">
        <v>176</v>
      </c>
    </row>
    <row r="13" spans="1:2" x14ac:dyDescent="0.3">
      <c r="A13">
        <v>11</v>
      </c>
      <c r="B13" t="s">
        <v>26</v>
      </c>
    </row>
    <row r="14" spans="1:2" x14ac:dyDescent="0.3">
      <c r="A14">
        <v>10</v>
      </c>
      <c r="B14" t="s">
        <v>163</v>
      </c>
    </row>
    <row r="15" spans="1:2" x14ac:dyDescent="0.3">
      <c r="A15">
        <v>9</v>
      </c>
      <c r="B15" t="s">
        <v>177</v>
      </c>
    </row>
    <row r="16" spans="1:2" x14ac:dyDescent="0.3">
      <c r="A16">
        <v>8</v>
      </c>
      <c r="B16" t="s">
        <v>178</v>
      </c>
    </row>
    <row r="17" spans="1:2" x14ac:dyDescent="0.3">
      <c r="A17">
        <v>7</v>
      </c>
      <c r="B17" t="s">
        <v>179</v>
      </c>
    </row>
    <row r="18" spans="1:2" x14ac:dyDescent="0.3">
      <c r="A18">
        <v>6</v>
      </c>
      <c r="B18" t="s">
        <v>180</v>
      </c>
    </row>
    <row r="19" spans="1:2" x14ac:dyDescent="0.3">
      <c r="A19">
        <v>5</v>
      </c>
      <c r="B19" t="s">
        <v>181</v>
      </c>
    </row>
    <row r="20" spans="1:2" x14ac:dyDescent="0.3">
      <c r="A20">
        <v>4</v>
      </c>
      <c r="B20" t="s">
        <v>182</v>
      </c>
    </row>
    <row r="21" spans="1:2" x14ac:dyDescent="0.3">
      <c r="A21">
        <v>3</v>
      </c>
      <c r="B21" t="s">
        <v>183</v>
      </c>
    </row>
    <row r="22" spans="1:2" x14ac:dyDescent="0.3">
      <c r="A22">
        <v>2</v>
      </c>
      <c r="B22" t="s">
        <v>184</v>
      </c>
    </row>
    <row r="23" spans="1:2" x14ac:dyDescent="0.3">
      <c r="A23">
        <v>1</v>
      </c>
      <c r="B23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G39"/>
  <sheetViews>
    <sheetView workbookViewId="0">
      <selection activeCell="D4" sqref="D4:F4"/>
    </sheetView>
  </sheetViews>
  <sheetFormatPr defaultRowHeight="10.8" x14ac:dyDescent="0.2"/>
  <cols>
    <col min="1" max="3" width="8.88671875" style="1"/>
    <col min="4" max="6" width="12.77734375" style="1" customWidth="1"/>
    <col min="7" max="16384" width="8.88671875" style="1"/>
  </cols>
  <sheetData>
    <row r="2" spans="2:6" ht="32.4" x14ac:dyDescent="0.2">
      <c r="D2" s="58" t="s">
        <v>32</v>
      </c>
      <c r="E2" s="58" t="s">
        <v>33</v>
      </c>
      <c r="F2" s="58" t="s">
        <v>34</v>
      </c>
    </row>
    <row r="3" spans="2:6" x14ac:dyDescent="0.2">
      <c r="B3" s="56">
        <v>2025</v>
      </c>
      <c r="C3" s="55">
        <f>C34</f>
        <v>46022</v>
      </c>
      <c r="D3" s="1">
        <f>VLOOKUP($C$3,$C$11:$F$64,2,FALSE)</f>
        <v>5690.5</v>
      </c>
      <c r="E3" s="1">
        <f>VLOOKUP($C$3,$C$11:$F$64,3,FALSE)</f>
        <v>268.88499999999999</v>
      </c>
      <c r="F3" s="62">
        <f>AVERAGE(F29:F38)</f>
        <v>2.4561000000000002</v>
      </c>
    </row>
    <row r="4" spans="2:6" x14ac:dyDescent="0.2">
      <c r="C4" s="66" t="s">
        <v>157</v>
      </c>
      <c r="D4" s="53">
        <f>(D7-D8)/D9</f>
        <v>-0.35552493240718502</v>
      </c>
      <c r="E4" s="53">
        <f>(E7-E8)/E9</f>
        <v>0.40943578281072163</v>
      </c>
      <c r="F4" s="53">
        <f>(F3-F8)/F9</f>
        <v>-0.3303362142494628</v>
      </c>
    </row>
    <row r="5" spans="2:6" x14ac:dyDescent="0.2">
      <c r="C5" s="59" t="s">
        <v>158</v>
      </c>
      <c r="D5" s="54">
        <f>LN(D3)</f>
        <v>8.646553396721945</v>
      </c>
      <c r="E5" s="54">
        <f>LN(E3)</f>
        <v>5.5942837789000075</v>
      </c>
    </row>
    <row r="6" spans="2:6" x14ac:dyDescent="0.2">
      <c r="C6" s="59" t="s">
        <v>159</v>
      </c>
      <c r="D6" s="54">
        <v>9.0922211266088713</v>
      </c>
      <c r="E6" s="54">
        <v>4.5846417469409122</v>
      </c>
    </row>
    <row r="7" spans="2:6" x14ac:dyDescent="0.2">
      <c r="C7" s="59" t="s">
        <v>162</v>
      </c>
      <c r="D7" s="54">
        <f>D5-D6</f>
        <v>-0.44566772988692627</v>
      </c>
      <c r="E7" s="54">
        <f>E5-E6</f>
        <v>1.0096420319590953</v>
      </c>
    </row>
    <row r="8" spans="2:6" x14ac:dyDescent="0.2">
      <c r="C8" s="59" t="s">
        <v>160</v>
      </c>
      <c r="D8" s="1">
        <v>2.142228562013172E-2</v>
      </c>
      <c r="E8" s="1">
        <v>0.22629758128724251</v>
      </c>
      <c r="F8" s="1">
        <v>3.2127123891016529</v>
      </c>
    </row>
    <row r="9" spans="2:6" x14ac:dyDescent="0.2">
      <c r="C9" s="59" t="s">
        <v>161</v>
      </c>
      <c r="D9" s="1">
        <v>1.313803823390076</v>
      </c>
      <c r="E9" s="1">
        <v>1.9132290912491781</v>
      </c>
      <c r="F9" s="1">
        <v>2.290431252960583</v>
      </c>
    </row>
    <row r="11" spans="2:6" x14ac:dyDescent="0.2">
      <c r="B11" s="51" t="s">
        <v>60</v>
      </c>
      <c r="C11" s="51" t="s">
        <v>61</v>
      </c>
      <c r="D11" s="1" t="s">
        <v>58</v>
      </c>
      <c r="E11" s="1" t="s">
        <v>57</v>
      </c>
      <c r="F11" s="1" t="s">
        <v>59</v>
      </c>
    </row>
    <row r="12" spans="2:6" x14ac:dyDescent="0.2">
      <c r="B12" s="1" t="s">
        <v>69</v>
      </c>
      <c r="D12" s="1" t="s">
        <v>76</v>
      </c>
      <c r="E12" s="1" t="s">
        <v>78</v>
      </c>
      <c r="F12" s="1" t="s">
        <v>79</v>
      </c>
    </row>
    <row r="13" spans="2:6" x14ac:dyDescent="0.2">
      <c r="B13" s="1" t="s">
        <v>68</v>
      </c>
      <c r="D13" s="1" t="s">
        <v>75</v>
      </c>
      <c r="E13" s="1" t="s">
        <v>75</v>
      </c>
      <c r="F13" s="1" t="s">
        <v>75</v>
      </c>
    </row>
    <row r="14" spans="2:6" x14ac:dyDescent="0.2">
      <c r="B14" s="1" t="s">
        <v>67</v>
      </c>
      <c r="D14" s="1" t="s">
        <v>74</v>
      </c>
      <c r="E14" s="1" t="s">
        <v>74</v>
      </c>
      <c r="F14" s="1" t="s">
        <v>74</v>
      </c>
    </row>
    <row r="15" spans="2:6" x14ac:dyDescent="0.2">
      <c r="B15" s="1" t="s">
        <v>66</v>
      </c>
      <c r="D15" s="1" t="s">
        <v>73</v>
      </c>
      <c r="E15" s="1" t="s">
        <v>73</v>
      </c>
      <c r="F15" s="1" t="s">
        <v>73</v>
      </c>
    </row>
    <row r="16" spans="2:6" x14ac:dyDescent="0.2">
      <c r="B16" s="1" t="s">
        <v>65</v>
      </c>
      <c r="D16" s="1" t="s">
        <v>72</v>
      </c>
      <c r="E16" s="1" t="s">
        <v>72</v>
      </c>
      <c r="F16" s="1" t="s">
        <v>72</v>
      </c>
    </row>
    <row r="17" spans="2:7" x14ac:dyDescent="0.2">
      <c r="B17" s="1" t="s">
        <v>64</v>
      </c>
      <c r="D17" s="1" t="s">
        <v>71</v>
      </c>
      <c r="E17" s="1" t="s">
        <v>71</v>
      </c>
      <c r="F17" s="1" t="s">
        <v>71</v>
      </c>
    </row>
    <row r="18" spans="2:7" x14ac:dyDescent="0.2">
      <c r="B18" s="1" t="s">
        <v>63</v>
      </c>
      <c r="D18" s="1" t="s">
        <v>70</v>
      </c>
      <c r="E18" s="1" t="s">
        <v>77</v>
      </c>
      <c r="F18" s="1" t="s">
        <v>70</v>
      </c>
    </row>
    <row r="19" spans="2:7" x14ac:dyDescent="0.2">
      <c r="B19" s="1" t="s">
        <v>62</v>
      </c>
      <c r="C19" s="52">
        <v>40543</v>
      </c>
      <c r="D19" s="53">
        <v>4941.49</v>
      </c>
      <c r="E19" s="54">
        <v>177.785</v>
      </c>
      <c r="F19" s="54">
        <v>4.8150000000000004</v>
      </c>
    </row>
    <row r="20" spans="2:7" x14ac:dyDescent="0.2">
      <c r="B20" s="1" t="s">
        <v>80</v>
      </c>
      <c r="C20" s="52">
        <v>40908</v>
      </c>
      <c r="D20" s="53">
        <v>5946.35</v>
      </c>
      <c r="E20" s="54">
        <v>218.33199999999999</v>
      </c>
      <c r="F20" s="54">
        <v>2.9929999999999999</v>
      </c>
    </row>
    <row r="21" spans="2:7" x14ac:dyDescent="0.2">
      <c r="B21" s="1" t="s">
        <v>81</v>
      </c>
      <c r="C21" s="52">
        <v>41274</v>
      </c>
      <c r="D21" s="53">
        <v>6057.97</v>
      </c>
      <c r="E21" s="54">
        <v>227.14400000000001</v>
      </c>
      <c r="F21" s="54">
        <v>2.4329999999999998</v>
      </c>
    </row>
    <row r="22" spans="2:7" x14ac:dyDescent="0.2">
      <c r="B22" s="1" t="s">
        <v>82</v>
      </c>
      <c r="C22" s="52">
        <v>41639</v>
      </c>
      <c r="D22" s="53">
        <v>5997.9</v>
      </c>
      <c r="E22" s="54">
        <v>229.70099999999999</v>
      </c>
      <c r="F22" s="54">
        <v>2.597</v>
      </c>
    </row>
    <row r="23" spans="2:7" x14ac:dyDescent="0.2">
      <c r="B23" s="1" t="s">
        <v>83</v>
      </c>
      <c r="C23" s="52">
        <v>42004</v>
      </c>
      <c r="D23" s="53">
        <v>6108.88</v>
      </c>
      <c r="E23" s="54">
        <v>238.94300000000001</v>
      </c>
      <c r="F23" s="54">
        <v>4.0860000000000003</v>
      </c>
    </row>
    <row r="24" spans="2:7" x14ac:dyDescent="0.2">
      <c r="B24" s="1" t="s">
        <v>84</v>
      </c>
      <c r="C24" s="52">
        <v>42369</v>
      </c>
      <c r="D24" s="53">
        <v>4691.6899999999996</v>
      </c>
      <c r="E24" s="54">
        <v>187.494</v>
      </c>
      <c r="F24" s="54">
        <v>3.1619999999999999</v>
      </c>
    </row>
    <row r="25" spans="2:7" x14ac:dyDescent="0.2">
      <c r="B25" s="1" t="s">
        <v>85</v>
      </c>
      <c r="C25" s="52">
        <v>42735</v>
      </c>
      <c r="D25" s="53">
        <v>4426.58</v>
      </c>
      <c r="E25" s="54">
        <v>180.76400000000001</v>
      </c>
      <c r="F25" s="54">
        <v>3.8839999999999999</v>
      </c>
    </row>
    <row r="26" spans="2:7" x14ac:dyDescent="0.2">
      <c r="B26" s="1" t="s">
        <v>86</v>
      </c>
      <c r="C26" s="52">
        <v>43100</v>
      </c>
      <c r="D26" s="53">
        <v>4554.1499999999996</v>
      </c>
      <c r="E26" s="54">
        <v>190.00399999999999</v>
      </c>
      <c r="F26" s="54">
        <v>1.524</v>
      </c>
    </row>
    <row r="27" spans="2:7" x14ac:dyDescent="0.2">
      <c r="B27" s="1" t="s">
        <v>87</v>
      </c>
      <c r="C27" s="52">
        <v>43465</v>
      </c>
      <c r="D27" s="53">
        <v>4568.24</v>
      </c>
      <c r="E27" s="54">
        <v>194.50700000000001</v>
      </c>
      <c r="F27" s="54">
        <v>1.44</v>
      </c>
    </row>
    <row r="28" spans="2:7" x14ac:dyDescent="0.2">
      <c r="B28" s="1" t="s">
        <v>88</v>
      </c>
      <c r="C28" s="52">
        <v>43830</v>
      </c>
      <c r="D28" s="53">
        <v>4452.8599999999997</v>
      </c>
      <c r="E28" s="54">
        <v>193.36099999999999</v>
      </c>
      <c r="F28" s="54">
        <v>0.93300000000000005</v>
      </c>
    </row>
    <row r="29" spans="2:7" x14ac:dyDescent="0.2">
      <c r="B29" s="1" t="s">
        <v>89</v>
      </c>
      <c r="C29" s="52">
        <v>44196</v>
      </c>
      <c r="D29" s="53">
        <v>3757.59</v>
      </c>
      <c r="E29" s="54">
        <v>164.774</v>
      </c>
      <c r="F29" s="54">
        <v>-5.0170000000000003</v>
      </c>
      <c r="G29" s="1">
        <v>1</v>
      </c>
    </row>
    <row r="30" spans="2:7" x14ac:dyDescent="0.2">
      <c r="B30" s="1" t="s">
        <v>90</v>
      </c>
      <c r="C30" s="52">
        <v>44561</v>
      </c>
      <c r="D30" s="53">
        <v>4169.22</v>
      </c>
      <c r="E30" s="54">
        <v>185.85</v>
      </c>
      <c r="F30" s="54">
        <v>3.8050000000000002</v>
      </c>
      <c r="G30" s="1">
        <v>2</v>
      </c>
    </row>
    <row r="31" spans="2:7" x14ac:dyDescent="0.2">
      <c r="B31" s="1" t="s">
        <v>91</v>
      </c>
      <c r="C31" s="52">
        <v>44926</v>
      </c>
      <c r="D31" s="53">
        <v>4983.55</v>
      </c>
      <c r="E31" s="54">
        <v>225.709</v>
      </c>
      <c r="F31" s="54">
        <v>3.6360000000000001</v>
      </c>
      <c r="G31" s="1">
        <v>3</v>
      </c>
    </row>
    <row r="32" spans="2:7" x14ac:dyDescent="0.2">
      <c r="B32" s="1" t="s">
        <v>92</v>
      </c>
      <c r="C32" s="52">
        <v>45291</v>
      </c>
      <c r="D32" s="53">
        <v>5389.84</v>
      </c>
      <c r="E32" s="54">
        <v>247.78899999999999</v>
      </c>
      <c r="F32" s="54">
        <v>4.0999999999999996</v>
      </c>
      <c r="G32" s="1">
        <v>4</v>
      </c>
    </row>
    <row r="33" spans="2:7" x14ac:dyDescent="0.2">
      <c r="B33" s="1" t="s">
        <v>93</v>
      </c>
      <c r="C33" s="52">
        <v>45657</v>
      </c>
      <c r="D33" s="53">
        <v>5681.63</v>
      </c>
      <c r="E33" s="54">
        <v>264.91300000000001</v>
      </c>
      <c r="F33" s="54">
        <v>3.536</v>
      </c>
      <c r="G33" s="1">
        <v>5</v>
      </c>
    </row>
    <row r="34" spans="2:7" x14ac:dyDescent="0.2">
      <c r="B34" s="1" t="s">
        <v>94</v>
      </c>
      <c r="C34" s="52">
        <v>46022</v>
      </c>
      <c r="D34" s="53">
        <v>5690.5</v>
      </c>
      <c r="E34" s="54">
        <v>268.88499999999999</v>
      </c>
      <c r="F34" s="54">
        <v>3.496</v>
      </c>
      <c r="G34" s="1">
        <v>6</v>
      </c>
    </row>
    <row r="35" spans="2:7" x14ac:dyDescent="0.2">
      <c r="B35" s="1" t="s">
        <v>95</v>
      </c>
      <c r="C35" s="52">
        <v>46387</v>
      </c>
      <c r="D35" s="53">
        <v>5630.76</v>
      </c>
      <c r="E35" s="54">
        <v>269.435</v>
      </c>
      <c r="F35" s="54">
        <v>3.004</v>
      </c>
      <c r="G35" s="1">
        <v>7</v>
      </c>
    </row>
    <row r="36" spans="2:7" x14ac:dyDescent="0.2">
      <c r="B36" s="1" t="s">
        <v>96</v>
      </c>
      <c r="C36" s="52">
        <v>46752</v>
      </c>
      <c r="D36" s="53">
        <v>5669</v>
      </c>
      <c r="E36" s="54">
        <v>274.52</v>
      </c>
      <c r="F36" s="54">
        <v>2.8029999999999999</v>
      </c>
      <c r="G36" s="1">
        <v>8</v>
      </c>
    </row>
    <row r="37" spans="2:7" x14ac:dyDescent="0.2">
      <c r="B37" s="1" t="s">
        <v>97</v>
      </c>
      <c r="C37" s="52">
        <v>47118</v>
      </c>
      <c r="D37" s="53">
        <v>5713.24</v>
      </c>
      <c r="E37" s="54">
        <v>279.983</v>
      </c>
      <c r="F37" s="54">
        <v>2.794</v>
      </c>
      <c r="G37" s="1">
        <v>9</v>
      </c>
    </row>
    <row r="38" spans="2:7" x14ac:dyDescent="0.2">
      <c r="B38" s="1" t="s">
        <v>98</v>
      </c>
      <c r="C38" s="52">
        <v>47483</v>
      </c>
      <c r="D38" s="53">
        <v>5752.13</v>
      </c>
      <c r="E38" s="54">
        <v>285.27100000000002</v>
      </c>
      <c r="F38" s="54">
        <v>2.4039999999999999</v>
      </c>
      <c r="G38" s="1">
        <v>10</v>
      </c>
    </row>
    <row r="39" spans="2:7" x14ac:dyDescent="0.2">
      <c r="B39" s="1" t="s">
        <v>74</v>
      </c>
      <c r="C39" s="52">
        <v>47848</v>
      </c>
      <c r="D39" s="53">
        <v>5740.18</v>
      </c>
      <c r="E39" s="54">
        <v>290.94099999999997</v>
      </c>
      <c r="F39" s="54">
        <v>2.4009999999999998</v>
      </c>
    </row>
  </sheetData>
  <pageMargins left="0.7" right="0.7" top="0.75" bottom="0.75" header="0.3" footer="0.3"/>
  <pageSetup orientation="portrait" r:id="rId1"/>
  <ignoredErrors>
    <ignoredError sqref="F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J36"/>
  <sheetViews>
    <sheetView workbookViewId="0">
      <selection activeCell="E4" sqref="E4:J4"/>
    </sheetView>
  </sheetViews>
  <sheetFormatPr defaultRowHeight="10.8" x14ac:dyDescent="0.2"/>
  <cols>
    <col min="1" max="3" width="8.88671875" style="1"/>
    <col min="4" max="4" width="10.5546875" style="1" bestFit="1" customWidth="1"/>
    <col min="5" max="10" width="12.77734375" style="1" customWidth="1"/>
    <col min="11" max="16384" width="8.88671875" style="1"/>
  </cols>
  <sheetData>
    <row r="2" spans="2:10" ht="43.2" x14ac:dyDescent="0.2">
      <c r="D2" s="58" t="s">
        <v>35</v>
      </c>
      <c r="E2" s="58" t="s">
        <v>40</v>
      </c>
      <c r="F2" s="58" t="s">
        <v>41</v>
      </c>
      <c r="G2" s="58" t="s">
        <v>42</v>
      </c>
      <c r="H2" s="58" t="s">
        <v>43</v>
      </c>
      <c r="I2" s="58" t="s">
        <v>44</v>
      </c>
      <c r="J2" s="58" t="s">
        <v>45</v>
      </c>
    </row>
    <row r="3" spans="2:10" x14ac:dyDescent="0.2">
      <c r="B3" s="56">
        <v>2025</v>
      </c>
      <c r="C3" s="55">
        <f>C31</f>
        <v>46022</v>
      </c>
      <c r="D3" s="63">
        <f>AVERAGE(D27:D35)</f>
        <v>5.0993333333333331</v>
      </c>
      <c r="E3" s="64">
        <f>E29</f>
        <v>-0.97988399999999998</v>
      </c>
      <c r="F3" s="64">
        <f t="shared" ref="F3:J3" si="0">F29</f>
        <v>-0.57788499999999998</v>
      </c>
      <c r="G3" s="64">
        <f t="shared" si="0"/>
        <v>-0.67013500000000004</v>
      </c>
      <c r="H3" s="64">
        <f t="shared" si="0"/>
        <v>-0.94808700000000001</v>
      </c>
      <c r="I3" s="64">
        <f t="shared" si="0"/>
        <v>-0.67836399999999997</v>
      </c>
      <c r="J3" s="64">
        <f t="shared" si="0"/>
        <v>-0.58930800000000005</v>
      </c>
    </row>
    <row r="4" spans="2:10" x14ac:dyDescent="0.2">
      <c r="C4" s="66" t="s">
        <v>157</v>
      </c>
      <c r="D4" s="53">
        <f>(D3-D5)/D6</f>
        <v>8.5377173640442602E-2</v>
      </c>
      <c r="E4" s="53">
        <f t="shared" ref="E4:J4" si="1">(E3-E5)/E6</f>
        <v>-1.2465867313796286</v>
      </c>
      <c r="F4" s="53">
        <f t="shared" si="1"/>
        <v>-0.72039856297375648</v>
      </c>
      <c r="G4" s="53">
        <f t="shared" si="1"/>
        <v>-1.0171611026976699</v>
      </c>
      <c r="H4" s="53">
        <f t="shared" si="1"/>
        <v>-1.3956453035282443</v>
      </c>
      <c r="I4" s="53">
        <f t="shared" si="1"/>
        <v>-0.89785661476045575</v>
      </c>
      <c r="J4" s="53">
        <f t="shared" si="1"/>
        <v>-0.73285598280267061</v>
      </c>
    </row>
    <row r="5" spans="2:10" x14ac:dyDescent="0.2">
      <c r="C5" s="59" t="s">
        <v>160</v>
      </c>
      <c r="D5" s="54">
        <v>4.6518148402742652</v>
      </c>
      <c r="E5" s="54">
        <v>0.13810670207384931</v>
      </c>
      <c r="F5" s="54">
        <v>2.4497884673748121E-2</v>
      </c>
      <c r="G5" s="54">
        <v>0.2378723566009105</v>
      </c>
      <c r="H5" s="54">
        <v>0.28077192867981787</v>
      </c>
      <c r="I5" s="54">
        <v>0.15722685533636829</v>
      </c>
      <c r="J5" s="54">
        <v>0.13083027668184119</v>
      </c>
    </row>
    <row r="6" spans="2:10" x14ac:dyDescent="0.2">
      <c r="C6" s="59" t="s">
        <v>161</v>
      </c>
      <c r="D6" s="54">
        <v>5.2416644165775166</v>
      </c>
      <c r="E6" s="54">
        <v>0.89684149039236216</v>
      </c>
      <c r="F6" s="54">
        <v>0.8361800198311784</v>
      </c>
      <c r="G6" s="54">
        <v>0.89268784875152363</v>
      </c>
      <c r="H6" s="54">
        <v>0.88049515559090541</v>
      </c>
      <c r="I6" s="54">
        <v>0.93065066470474267</v>
      </c>
      <c r="J6" s="54">
        <v>0.98264637743394978</v>
      </c>
    </row>
    <row r="8" spans="2:10" x14ac:dyDescent="0.2">
      <c r="B8" s="51" t="s">
        <v>60</v>
      </c>
      <c r="C8" s="51" t="s">
        <v>61</v>
      </c>
      <c r="D8" s="1" t="s">
        <v>99</v>
      </c>
      <c r="E8" s="1" t="s">
        <v>100</v>
      </c>
      <c r="F8" s="1" t="s">
        <v>101</v>
      </c>
      <c r="G8" s="1" t="s">
        <v>102</v>
      </c>
      <c r="H8" s="1" t="s">
        <v>103</v>
      </c>
      <c r="I8" s="1" t="s">
        <v>104</v>
      </c>
      <c r="J8" s="1" t="s">
        <v>105</v>
      </c>
    </row>
    <row r="9" spans="2:10" x14ac:dyDescent="0.2">
      <c r="B9" s="1" t="s">
        <v>69</v>
      </c>
      <c r="D9" s="1" t="s">
        <v>106</v>
      </c>
      <c r="E9" s="1" t="s">
        <v>110</v>
      </c>
      <c r="F9" s="1" t="s">
        <v>111</v>
      </c>
      <c r="G9" s="1" t="s">
        <v>112</v>
      </c>
      <c r="H9" s="1" t="s">
        <v>113</v>
      </c>
      <c r="I9" s="1" t="s">
        <v>114</v>
      </c>
      <c r="J9" s="1" t="s">
        <v>115</v>
      </c>
    </row>
    <row r="10" spans="2:10" x14ac:dyDescent="0.2">
      <c r="B10" s="1" t="s">
        <v>68</v>
      </c>
      <c r="D10" s="1" t="s">
        <v>75</v>
      </c>
      <c r="E10" s="1" t="s">
        <v>109</v>
      </c>
      <c r="F10" s="1" t="s">
        <v>109</v>
      </c>
      <c r="G10" s="1" t="s">
        <v>109</v>
      </c>
      <c r="H10" s="1" t="s">
        <v>109</v>
      </c>
      <c r="I10" s="1" t="s">
        <v>109</v>
      </c>
      <c r="J10" s="1" t="s">
        <v>109</v>
      </c>
    </row>
    <row r="11" spans="2:10" x14ac:dyDescent="0.2">
      <c r="B11" s="1" t="s">
        <v>67</v>
      </c>
      <c r="D11" s="1" t="s">
        <v>74</v>
      </c>
      <c r="E11" s="1" t="s">
        <v>92</v>
      </c>
      <c r="F11" s="1" t="s">
        <v>92</v>
      </c>
      <c r="G11" s="1" t="s">
        <v>92</v>
      </c>
      <c r="H11" s="1" t="s">
        <v>92</v>
      </c>
      <c r="I11" s="1" t="s">
        <v>92</v>
      </c>
      <c r="J11" s="1" t="s">
        <v>92</v>
      </c>
    </row>
    <row r="12" spans="2:10" x14ac:dyDescent="0.2">
      <c r="B12" s="1" t="s">
        <v>66</v>
      </c>
      <c r="D12" s="1" t="s">
        <v>73</v>
      </c>
      <c r="E12" s="1" t="s">
        <v>108</v>
      </c>
      <c r="F12" s="1" t="s">
        <v>108</v>
      </c>
      <c r="G12" s="1" t="s">
        <v>108</v>
      </c>
      <c r="H12" s="1" t="s">
        <v>108</v>
      </c>
      <c r="I12" s="1" t="s">
        <v>108</v>
      </c>
      <c r="J12" s="1" t="s">
        <v>108</v>
      </c>
    </row>
    <row r="13" spans="2:10" x14ac:dyDescent="0.2">
      <c r="B13" s="1" t="s">
        <v>65</v>
      </c>
      <c r="D13" s="1" t="s">
        <v>72</v>
      </c>
      <c r="E13" s="1" t="s">
        <v>72</v>
      </c>
      <c r="F13" s="1" t="s">
        <v>72</v>
      </c>
      <c r="G13" s="1" t="s">
        <v>72</v>
      </c>
      <c r="H13" s="1" t="s">
        <v>72</v>
      </c>
      <c r="I13" s="1" t="s">
        <v>72</v>
      </c>
      <c r="J13" s="1" t="s">
        <v>72</v>
      </c>
    </row>
    <row r="14" spans="2:10" x14ac:dyDescent="0.2">
      <c r="B14" s="1" t="s">
        <v>64</v>
      </c>
      <c r="D14" s="1" t="s">
        <v>71</v>
      </c>
      <c r="E14" s="1" t="s">
        <v>107</v>
      </c>
      <c r="F14" s="1" t="s">
        <v>107</v>
      </c>
      <c r="G14" s="1" t="s">
        <v>107</v>
      </c>
      <c r="H14" s="1" t="s">
        <v>107</v>
      </c>
      <c r="I14" s="1" t="s">
        <v>107</v>
      </c>
      <c r="J14" s="1" t="s">
        <v>107</v>
      </c>
    </row>
    <row r="15" spans="2:10" x14ac:dyDescent="0.2">
      <c r="B15" s="1" t="s">
        <v>63</v>
      </c>
      <c r="D15" s="1" t="s">
        <v>70</v>
      </c>
      <c r="E15" s="1" t="s">
        <v>70</v>
      </c>
      <c r="F15" s="1" t="s">
        <v>70</v>
      </c>
      <c r="G15" s="1" t="s">
        <v>70</v>
      </c>
      <c r="H15" s="1" t="s">
        <v>70</v>
      </c>
      <c r="I15" s="1" t="s">
        <v>70</v>
      </c>
      <c r="J15" s="1" t="s">
        <v>70</v>
      </c>
    </row>
    <row r="16" spans="2:10" x14ac:dyDescent="0.2">
      <c r="B16" s="1" t="s">
        <v>62</v>
      </c>
      <c r="C16" s="52">
        <v>40543</v>
      </c>
      <c r="D16" s="54">
        <v>2.7250000000000001</v>
      </c>
      <c r="E16" s="57">
        <v>-1.0223310000000001</v>
      </c>
      <c r="F16" s="57">
        <v>-1.259368</v>
      </c>
      <c r="G16" s="57">
        <v>-0.39590199999999998</v>
      </c>
      <c r="H16" s="57">
        <v>-1.1048009999999999</v>
      </c>
      <c r="I16" s="57">
        <v>-0.81679299999999999</v>
      </c>
      <c r="J16" s="57">
        <v>-0.55214700000000005</v>
      </c>
    </row>
    <row r="17" spans="2:10" x14ac:dyDescent="0.2">
      <c r="B17" s="1" t="s">
        <v>80</v>
      </c>
      <c r="C17" s="52">
        <v>40908</v>
      </c>
      <c r="D17" s="54">
        <v>5.16</v>
      </c>
      <c r="E17" s="57">
        <v>-1.004121</v>
      </c>
      <c r="F17" s="57">
        <v>-1.3605609999999999</v>
      </c>
      <c r="G17" s="57">
        <v>-0.52057900000000001</v>
      </c>
      <c r="H17" s="57">
        <v>-1.21238</v>
      </c>
      <c r="I17" s="57">
        <v>-0.84533499999999995</v>
      </c>
      <c r="J17" s="57">
        <v>-0.57269999999999999</v>
      </c>
    </row>
    <row r="18" spans="2:10" x14ac:dyDescent="0.2">
      <c r="B18" s="1" t="s">
        <v>81</v>
      </c>
      <c r="C18" s="52">
        <v>41274</v>
      </c>
      <c r="D18" s="54">
        <v>9.0350000000000001</v>
      </c>
      <c r="E18" s="57">
        <v>-0.90602700000000003</v>
      </c>
      <c r="F18" s="57">
        <v>-1.325043</v>
      </c>
      <c r="G18" s="57">
        <v>-0.44738499999999998</v>
      </c>
      <c r="H18" s="57">
        <v>-1.320389</v>
      </c>
      <c r="I18" s="57">
        <v>-0.81261799999999995</v>
      </c>
      <c r="J18" s="57">
        <v>-0.52154500000000004</v>
      </c>
    </row>
    <row r="19" spans="2:10" x14ac:dyDescent="0.2">
      <c r="B19" s="1" t="s">
        <v>82</v>
      </c>
      <c r="C19" s="52">
        <v>41639</v>
      </c>
      <c r="D19" s="54">
        <v>1.1479999999999999</v>
      </c>
      <c r="E19" s="57">
        <v>-0.89342900000000003</v>
      </c>
      <c r="F19" s="57">
        <v>-1.2023710000000001</v>
      </c>
      <c r="G19" s="57">
        <v>-0.43154399999999998</v>
      </c>
      <c r="H19" s="57">
        <v>-1.138441</v>
      </c>
      <c r="I19" s="57">
        <v>-0.69340199999999996</v>
      </c>
      <c r="J19" s="57">
        <v>-0.47296700000000003</v>
      </c>
    </row>
    <row r="20" spans="2:10" x14ac:dyDescent="0.2">
      <c r="B20" s="1" t="s">
        <v>83</v>
      </c>
      <c r="C20" s="52">
        <v>42004</v>
      </c>
      <c r="D20" s="54">
        <v>5.2530000000000001</v>
      </c>
      <c r="E20" s="57">
        <v>-0.81346099999999999</v>
      </c>
      <c r="F20" s="57">
        <v>-1.1905349999999999</v>
      </c>
      <c r="G20" s="57">
        <v>-0.33986499999999997</v>
      </c>
      <c r="H20" s="57">
        <v>-1.3018890000000001</v>
      </c>
      <c r="I20" s="57">
        <v>-0.80465100000000001</v>
      </c>
      <c r="J20" s="57">
        <v>-0.61311800000000005</v>
      </c>
    </row>
    <row r="21" spans="2:10" x14ac:dyDescent="0.2">
      <c r="B21" s="1" t="s">
        <v>84</v>
      </c>
      <c r="C21" s="52">
        <v>42369</v>
      </c>
      <c r="D21" s="54">
        <v>4.3620000000000001</v>
      </c>
      <c r="E21" s="57">
        <v>-0.84763200000000005</v>
      </c>
      <c r="F21" s="57">
        <v>-1.090787</v>
      </c>
      <c r="G21" s="57">
        <v>-0.410829</v>
      </c>
      <c r="H21" s="57">
        <v>-1.2569060000000001</v>
      </c>
      <c r="I21" s="57">
        <v>-0.94196800000000003</v>
      </c>
      <c r="J21" s="57">
        <v>-0.639463</v>
      </c>
    </row>
    <row r="22" spans="2:10" x14ac:dyDescent="0.2">
      <c r="B22" s="1" t="s">
        <v>85</v>
      </c>
      <c r="C22" s="52">
        <v>42735</v>
      </c>
      <c r="D22" s="54">
        <v>6.9569999999999999</v>
      </c>
      <c r="E22" s="57">
        <v>-0.861599</v>
      </c>
      <c r="F22" s="57">
        <v>-1.099742</v>
      </c>
      <c r="G22" s="57">
        <v>-0.46470899999999998</v>
      </c>
      <c r="H22" s="57">
        <v>-1.24143</v>
      </c>
      <c r="I22" s="57">
        <v>-0.916659</v>
      </c>
      <c r="J22" s="57">
        <v>-0.67370099999999999</v>
      </c>
    </row>
    <row r="23" spans="2:10" x14ac:dyDescent="0.2">
      <c r="B23" s="1" t="s">
        <v>86</v>
      </c>
      <c r="C23" s="52">
        <v>43100</v>
      </c>
      <c r="D23" s="54">
        <v>4.9329999999999998</v>
      </c>
      <c r="E23" s="57">
        <v>-0.90311399999999997</v>
      </c>
      <c r="F23" s="57">
        <v>-0.91961400000000004</v>
      </c>
      <c r="G23" s="57">
        <v>-0.53702399999999995</v>
      </c>
      <c r="H23" s="57">
        <v>-1.2794989999999999</v>
      </c>
      <c r="I23" s="57">
        <v>-0.92501299999999997</v>
      </c>
      <c r="J23" s="57">
        <v>-0.59889599999999998</v>
      </c>
    </row>
    <row r="24" spans="2:10" x14ac:dyDescent="0.2">
      <c r="B24" s="1" t="s">
        <v>87</v>
      </c>
      <c r="C24" s="52">
        <v>43465</v>
      </c>
      <c r="D24" s="54">
        <v>2.702</v>
      </c>
      <c r="E24" s="57">
        <v>-0.99526300000000001</v>
      </c>
      <c r="F24" s="57">
        <v>-0.84210799999999997</v>
      </c>
      <c r="G24" s="57">
        <v>-0.48853600000000003</v>
      </c>
      <c r="H24" s="57">
        <v>-1.3469009999999999</v>
      </c>
      <c r="I24" s="57">
        <v>-0.806979</v>
      </c>
      <c r="J24" s="57">
        <v>-0.65890400000000005</v>
      </c>
    </row>
    <row r="25" spans="2:10" x14ac:dyDescent="0.2">
      <c r="B25" s="1" t="s">
        <v>88</v>
      </c>
      <c r="C25" s="52">
        <v>43830</v>
      </c>
      <c r="D25" s="54">
        <v>2.4340000000000002</v>
      </c>
      <c r="E25" s="57">
        <v>-1.0534600000000001</v>
      </c>
      <c r="F25" s="57">
        <v>-1.0558540000000001</v>
      </c>
      <c r="G25" s="57">
        <v>-0.56792100000000001</v>
      </c>
      <c r="H25" s="57">
        <v>-1.3883129999999999</v>
      </c>
      <c r="I25" s="57">
        <v>-0.86103399999999997</v>
      </c>
      <c r="J25" s="57">
        <v>-0.65617000000000003</v>
      </c>
    </row>
    <row r="26" spans="2:10" x14ac:dyDescent="0.2">
      <c r="B26" s="1" t="s">
        <v>89</v>
      </c>
      <c r="C26" s="52">
        <v>44196</v>
      </c>
      <c r="D26" s="54">
        <v>3.516</v>
      </c>
      <c r="E26" s="57">
        <v>-1.0885089999999999</v>
      </c>
      <c r="F26" s="57">
        <v>-0.84782000000000002</v>
      </c>
      <c r="G26" s="57">
        <v>-0.57364300000000001</v>
      </c>
      <c r="H26" s="57">
        <v>-1.3552999999999999</v>
      </c>
      <c r="I26" s="57">
        <v>-0.79802799999999996</v>
      </c>
      <c r="J26" s="57">
        <v>-0.66682699999999995</v>
      </c>
    </row>
    <row r="27" spans="2:10" x14ac:dyDescent="0.2">
      <c r="B27" s="1" t="s">
        <v>90</v>
      </c>
      <c r="C27" s="52">
        <v>44561</v>
      </c>
      <c r="D27" s="54">
        <v>8.4849999999999994</v>
      </c>
      <c r="E27" s="57">
        <v>-1.013779</v>
      </c>
      <c r="F27" s="57">
        <v>-0.99245700000000003</v>
      </c>
      <c r="G27" s="57">
        <v>-0.65274600000000005</v>
      </c>
      <c r="H27" s="57">
        <v>-1.1819630000000001</v>
      </c>
      <c r="I27" s="57">
        <v>-0.83302299999999996</v>
      </c>
      <c r="J27" s="57">
        <v>-0.635961</v>
      </c>
    </row>
    <row r="28" spans="2:10" x14ac:dyDescent="0.2">
      <c r="B28" s="1" t="s">
        <v>91</v>
      </c>
      <c r="C28" s="52">
        <v>44926</v>
      </c>
      <c r="D28" s="54">
        <v>9.2949999999999999</v>
      </c>
      <c r="E28" s="57">
        <v>-1.011919</v>
      </c>
      <c r="F28" s="57">
        <v>-0.65065200000000001</v>
      </c>
      <c r="G28" s="57">
        <v>-0.51349900000000004</v>
      </c>
      <c r="H28" s="57">
        <v>-1.0635730000000001</v>
      </c>
      <c r="I28" s="57">
        <v>-0.83326</v>
      </c>
      <c r="J28" s="57">
        <v>-0.63804099999999997</v>
      </c>
    </row>
    <row r="29" spans="2:10" x14ac:dyDescent="0.2">
      <c r="B29" s="1" t="s">
        <v>92</v>
      </c>
      <c r="C29" s="52">
        <v>45291</v>
      </c>
      <c r="D29" s="54">
        <v>7.8380000000000001</v>
      </c>
      <c r="E29" s="57">
        <v>-0.97988399999999998</v>
      </c>
      <c r="F29" s="57">
        <v>-0.57788499999999998</v>
      </c>
      <c r="G29" s="57">
        <v>-0.67013500000000004</v>
      </c>
      <c r="H29" s="57">
        <v>-0.94808700000000001</v>
      </c>
      <c r="I29" s="57">
        <v>-0.67836399999999997</v>
      </c>
      <c r="J29" s="57">
        <v>-0.58930800000000005</v>
      </c>
    </row>
    <row r="30" spans="2:10" x14ac:dyDescent="0.2">
      <c r="B30" s="1" t="s">
        <v>93</v>
      </c>
      <c r="C30" s="52">
        <v>45657</v>
      </c>
      <c r="D30" s="54">
        <v>2.984</v>
      </c>
    </row>
    <row r="31" spans="2:10" x14ac:dyDescent="0.2">
      <c r="B31" s="1" t="s">
        <v>94</v>
      </c>
      <c r="C31" s="52">
        <v>46022</v>
      </c>
      <c r="D31" s="54">
        <v>3.8170000000000002</v>
      </c>
    </row>
    <row r="32" spans="2:10" x14ac:dyDescent="0.2">
      <c r="B32" s="1" t="s">
        <v>95</v>
      </c>
      <c r="C32" s="52">
        <v>46387</v>
      </c>
      <c r="D32" s="54">
        <v>3.7559999999999998</v>
      </c>
    </row>
    <row r="33" spans="2:4" x14ac:dyDescent="0.2">
      <c r="B33" s="1" t="s">
        <v>96</v>
      </c>
      <c r="C33" s="52">
        <v>46752</v>
      </c>
      <c r="D33" s="54">
        <v>3.343</v>
      </c>
    </row>
    <row r="34" spans="2:4" x14ac:dyDescent="0.2">
      <c r="B34" s="1" t="s">
        <v>97</v>
      </c>
      <c r="C34" s="52">
        <v>47118</v>
      </c>
      <c r="D34" s="54">
        <v>3.052</v>
      </c>
    </row>
    <row r="35" spans="2:4" x14ac:dyDescent="0.2">
      <c r="B35" s="1" t="s">
        <v>98</v>
      </c>
      <c r="C35" s="52">
        <v>47483</v>
      </c>
      <c r="D35" s="54">
        <v>3.3239999999999998</v>
      </c>
    </row>
    <row r="36" spans="2:4" x14ac:dyDescent="0.2">
      <c r="B36" s="1" t="s">
        <v>74</v>
      </c>
      <c r="C36" s="52">
        <v>47848</v>
      </c>
      <c r="D36" s="54">
        <v>3.2330000000000001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B2:O36"/>
  <sheetViews>
    <sheetView workbookViewId="0">
      <selection activeCell="D4" sqref="D4:G4"/>
    </sheetView>
  </sheetViews>
  <sheetFormatPr defaultRowHeight="10.8" x14ac:dyDescent="0.2"/>
  <cols>
    <col min="1" max="3" width="8.88671875" style="1"/>
    <col min="4" max="7" width="12.77734375" style="1" customWidth="1"/>
    <col min="8" max="16384" width="8.88671875" style="1"/>
  </cols>
  <sheetData>
    <row r="2" spans="2:15" ht="43.2" x14ac:dyDescent="0.2">
      <c r="D2" s="58" t="s">
        <v>47</v>
      </c>
      <c r="E2" s="58" t="s">
        <v>48</v>
      </c>
      <c r="F2" s="58" t="s">
        <v>49</v>
      </c>
      <c r="G2" s="65" t="s">
        <v>50</v>
      </c>
    </row>
    <row r="3" spans="2:15" x14ac:dyDescent="0.2">
      <c r="B3" s="56">
        <v>2025</v>
      </c>
      <c r="C3" s="55">
        <f>C31</f>
        <v>46022</v>
      </c>
      <c r="D3" s="61">
        <f>AVERAGE(D27:D35)</f>
        <v>-9.4409999999999989</v>
      </c>
      <c r="E3" s="1">
        <f>VLOOKUP($C$3,$C$8:$G$61,3,FALSE)</f>
        <v>23.981000000000002</v>
      </c>
      <c r="F3" s="54">
        <f>VLOOKUP($C$3,$C$8:$G$61,4,FALSE)</f>
        <v>6.8470872774279687</v>
      </c>
      <c r="G3" s="54">
        <f>VLOOKUP($C$3,$C$8:$G$61,5,FALSE)</f>
        <v>57.798000000000002</v>
      </c>
    </row>
    <row r="4" spans="2:15" x14ac:dyDescent="0.2">
      <c r="C4" s="66" t="s">
        <v>157</v>
      </c>
      <c r="D4" s="53">
        <f>(D3-D5)/D6</f>
        <v>-1.7365665660530882</v>
      </c>
      <c r="E4" s="67">
        <f t="shared" ref="E4" si="0">(E3-E5)/E6</f>
        <v>-0.45241942869970747</v>
      </c>
      <c r="F4" s="68">
        <f>(F3-F5)/F6*-1</f>
        <v>8.9087895025689562E-2</v>
      </c>
      <c r="G4" s="68">
        <f>(G3-G5)/G6*-1</f>
        <v>6.6354096586144348E-3</v>
      </c>
    </row>
    <row r="5" spans="2:15" x14ac:dyDescent="0.2">
      <c r="C5" s="59" t="s">
        <v>160</v>
      </c>
      <c r="D5" s="54">
        <v>-2.5113833674559021</v>
      </c>
      <c r="E5" s="54">
        <v>29.433704097116841</v>
      </c>
      <c r="F5" s="54">
        <v>7.7276054700799843</v>
      </c>
      <c r="G5" s="54">
        <v>58.0362557966616</v>
      </c>
    </row>
    <row r="6" spans="2:15" x14ac:dyDescent="0.2">
      <c r="C6" s="59" t="s">
        <v>161</v>
      </c>
      <c r="D6" s="54">
        <v>3.990412327408734</v>
      </c>
      <c r="E6" s="54">
        <v>12.0523208138704</v>
      </c>
      <c r="F6" s="54">
        <v>9.8837018474632004</v>
      </c>
      <c r="G6" s="54">
        <v>35.906719994639907</v>
      </c>
    </row>
    <row r="7" spans="2:15" x14ac:dyDescent="0.2">
      <c r="C7" s="59"/>
    </row>
    <row r="8" spans="2:15" x14ac:dyDescent="0.2">
      <c r="B8" s="51" t="s">
        <v>60</v>
      </c>
      <c r="C8" s="51" t="s">
        <v>61</v>
      </c>
      <c r="D8" s="1" t="s">
        <v>116</v>
      </c>
      <c r="E8" s="1" t="s">
        <v>117</v>
      </c>
      <c r="F8" s="1" t="s">
        <v>134</v>
      </c>
      <c r="G8" s="1" t="s">
        <v>119</v>
      </c>
      <c r="M8" s="1" t="s">
        <v>118</v>
      </c>
      <c r="N8" s="1" t="s">
        <v>125</v>
      </c>
      <c r="O8" s="1" t="s">
        <v>126</v>
      </c>
    </row>
    <row r="9" spans="2:15" x14ac:dyDescent="0.2">
      <c r="B9" s="1" t="s">
        <v>69</v>
      </c>
      <c r="D9" s="1" t="s">
        <v>121</v>
      </c>
      <c r="E9" s="1" t="s">
        <v>122</v>
      </c>
      <c r="F9" s="1" t="s">
        <v>133</v>
      </c>
      <c r="G9" s="1" t="s">
        <v>124</v>
      </c>
    </row>
    <row r="10" spans="2:15" x14ac:dyDescent="0.2">
      <c r="B10" s="1" t="s">
        <v>68</v>
      </c>
      <c r="D10" s="1" t="s">
        <v>120</v>
      </c>
      <c r="E10" s="1" t="s">
        <v>120</v>
      </c>
      <c r="F10" s="1" t="s">
        <v>132</v>
      </c>
      <c r="G10" s="1" t="s">
        <v>123</v>
      </c>
    </row>
    <row r="11" spans="2:15" x14ac:dyDescent="0.2">
      <c r="B11" s="1" t="s">
        <v>67</v>
      </c>
      <c r="D11" s="1" t="s">
        <v>74</v>
      </c>
      <c r="E11" s="1" t="s">
        <v>74</v>
      </c>
      <c r="F11" s="1" t="s">
        <v>131</v>
      </c>
      <c r="G11" s="1" t="s">
        <v>74</v>
      </c>
    </row>
    <row r="12" spans="2:15" x14ac:dyDescent="0.2">
      <c r="B12" s="1" t="s">
        <v>66</v>
      </c>
      <c r="D12" s="1" t="s">
        <v>73</v>
      </c>
      <c r="E12" s="1" t="s">
        <v>73</v>
      </c>
      <c r="F12" s="1" t="s">
        <v>130</v>
      </c>
      <c r="G12" s="1" t="s">
        <v>73</v>
      </c>
    </row>
    <row r="13" spans="2:15" x14ac:dyDescent="0.2">
      <c r="B13" s="1" t="s">
        <v>65</v>
      </c>
      <c r="D13" s="1" t="s">
        <v>72</v>
      </c>
      <c r="E13" s="1" t="s">
        <v>72</v>
      </c>
      <c r="F13" s="1" t="s">
        <v>129</v>
      </c>
      <c r="G13" s="1" t="s">
        <v>72</v>
      </c>
    </row>
    <row r="14" spans="2:15" x14ac:dyDescent="0.2">
      <c r="B14" s="1" t="s">
        <v>64</v>
      </c>
      <c r="D14" s="1" t="s">
        <v>71</v>
      </c>
      <c r="E14" s="1" t="s">
        <v>71</v>
      </c>
      <c r="F14" s="1" t="s">
        <v>128</v>
      </c>
      <c r="G14" s="1" t="s">
        <v>71</v>
      </c>
    </row>
    <row r="15" spans="2:15" x14ac:dyDescent="0.2">
      <c r="B15" s="1" t="s">
        <v>63</v>
      </c>
      <c r="D15" s="1" t="s">
        <v>70</v>
      </c>
      <c r="E15" s="1" t="s">
        <v>70</v>
      </c>
      <c r="F15" s="1" t="s">
        <v>127</v>
      </c>
      <c r="G15" s="1" t="s">
        <v>70</v>
      </c>
    </row>
    <row r="16" spans="2:15" x14ac:dyDescent="0.2">
      <c r="B16" s="1" t="s">
        <v>62</v>
      </c>
      <c r="C16" s="52">
        <v>40543</v>
      </c>
      <c r="D16" s="54">
        <v>-1.347</v>
      </c>
      <c r="E16" s="54">
        <v>33.741999999999997</v>
      </c>
      <c r="F16" s="54">
        <v>0.74388003082212051</v>
      </c>
      <c r="G16" s="54">
        <v>9.5129999999999999</v>
      </c>
    </row>
    <row r="17" spans="2:7" x14ac:dyDescent="0.2">
      <c r="B17" s="1" t="s">
        <v>80</v>
      </c>
      <c r="C17" s="52">
        <v>40908</v>
      </c>
      <c r="D17" s="54">
        <v>-1.0580000000000001</v>
      </c>
      <c r="E17" s="54">
        <v>36.661999999999999</v>
      </c>
      <c r="F17" s="54">
        <v>0.64371829141890813</v>
      </c>
      <c r="G17" s="54">
        <v>8.4779999999999998</v>
      </c>
    </row>
    <row r="18" spans="2:7" x14ac:dyDescent="0.2">
      <c r="B18" s="1" t="s">
        <v>81</v>
      </c>
      <c r="C18" s="52">
        <v>41274</v>
      </c>
      <c r="D18" s="54">
        <v>-4.0359999999999996</v>
      </c>
      <c r="E18" s="54">
        <v>35.994999999999997</v>
      </c>
      <c r="F18" s="54">
        <v>0.66120294485345066</v>
      </c>
      <c r="G18" s="54">
        <v>8.5830000000000002</v>
      </c>
    </row>
    <row r="19" spans="2:7" x14ac:dyDescent="0.2">
      <c r="B19" s="1" t="s">
        <v>82</v>
      </c>
      <c r="C19" s="52">
        <v>41639</v>
      </c>
      <c r="D19" s="54">
        <v>-0.78800000000000003</v>
      </c>
      <c r="E19" s="54">
        <v>32.677999999999997</v>
      </c>
      <c r="F19" s="54">
        <v>0.74055939775996082</v>
      </c>
      <c r="G19" s="54">
        <v>6.4779999999999998</v>
      </c>
    </row>
    <row r="20" spans="2:7" x14ac:dyDescent="0.2">
      <c r="B20" s="1" t="s">
        <v>83</v>
      </c>
      <c r="C20" s="52">
        <v>42004</v>
      </c>
      <c r="D20" s="54">
        <v>-7.1449999999999996</v>
      </c>
      <c r="E20" s="54">
        <v>29.802</v>
      </c>
      <c r="F20" s="54">
        <v>0.65767398161197144</v>
      </c>
      <c r="G20" s="54">
        <v>6.8529999999999998</v>
      </c>
    </row>
    <row r="21" spans="2:7" x14ac:dyDescent="0.2">
      <c r="B21" s="1" t="s">
        <v>84</v>
      </c>
      <c r="C21" s="52">
        <v>42369</v>
      </c>
      <c r="D21" s="54">
        <v>-13.879</v>
      </c>
      <c r="E21" s="54">
        <v>27.039000000000001</v>
      </c>
      <c r="F21" s="54">
        <v>0.83582972743074468</v>
      </c>
      <c r="G21" s="54">
        <v>7.7309999999999999</v>
      </c>
    </row>
    <row r="22" spans="2:7" x14ac:dyDescent="0.2">
      <c r="B22" s="1" t="s">
        <v>85</v>
      </c>
      <c r="C22" s="52">
        <v>42735</v>
      </c>
      <c r="D22" s="54">
        <v>-11.847</v>
      </c>
      <c r="E22" s="54">
        <v>25.332000000000001</v>
      </c>
      <c r="F22" s="54">
        <v>0.93557555660824299</v>
      </c>
      <c r="G22" s="54">
        <v>18.094000000000001</v>
      </c>
    </row>
    <row r="23" spans="2:7" x14ac:dyDescent="0.2">
      <c r="B23" s="1" t="s">
        <v>86</v>
      </c>
      <c r="C23" s="52">
        <v>43100</v>
      </c>
      <c r="D23" s="54">
        <v>-7.5469999999999997</v>
      </c>
      <c r="E23" s="54">
        <v>28.702000000000002</v>
      </c>
      <c r="F23" s="54">
        <v>2.794230367221795</v>
      </c>
      <c r="G23" s="54">
        <v>24.015000000000001</v>
      </c>
    </row>
    <row r="24" spans="2:7" x14ac:dyDescent="0.2">
      <c r="B24" s="1" t="s">
        <v>87</v>
      </c>
      <c r="C24" s="52">
        <v>43465</v>
      </c>
      <c r="D24" s="54">
        <v>-6.1539999999999999</v>
      </c>
      <c r="E24" s="54">
        <v>30.096</v>
      </c>
      <c r="F24" s="54">
        <v>1.4918926103136625</v>
      </c>
      <c r="G24" s="54">
        <v>34.493000000000002</v>
      </c>
    </row>
    <row r="25" spans="2:7" x14ac:dyDescent="0.2">
      <c r="B25" s="1" t="s">
        <v>88</v>
      </c>
      <c r="C25" s="52">
        <v>43830</v>
      </c>
      <c r="D25" s="54">
        <v>-8.5090000000000003</v>
      </c>
      <c r="E25" s="54">
        <v>28.591000000000001</v>
      </c>
      <c r="F25" s="54">
        <v>1.7278164457346707</v>
      </c>
      <c r="G25" s="54">
        <v>40.881999999999998</v>
      </c>
    </row>
    <row r="26" spans="2:7" x14ac:dyDescent="0.2">
      <c r="B26" s="1" t="s">
        <v>89</v>
      </c>
      <c r="C26" s="52">
        <v>44196</v>
      </c>
      <c r="D26" s="54">
        <v>-10.518000000000001</v>
      </c>
      <c r="E26" s="54">
        <v>26.986999999999998</v>
      </c>
      <c r="F26" s="54">
        <v>3.0422055063549172</v>
      </c>
      <c r="G26" s="54">
        <v>45.966999999999999</v>
      </c>
    </row>
    <row r="27" spans="2:7" x14ac:dyDescent="0.2">
      <c r="B27" s="1" t="s">
        <v>90</v>
      </c>
      <c r="C27" s="52">
        <v>44561</v>
      </c>
      <c r="D27" s="54">
        <v>-6.3170000000000002</v>
      </c>
      <c r="E27" s="54">
        <v>26.228999999999999</v>
      </c>
      <c r="F27" s="54">
        <v>2.1846048267185192</v>
      </c>
      <c r="G27" s="54">
        <v>55.145000000000003</v>
      </c>
    </row>
    <row r="28" spans="2:7" x14ac:dyDescent="0.2">
      <c r="B28" s="1" t="s">
        <v>91</v>
      </c>
      <c r="C28" s="52">
        <v>44926</v>
      </c>
      <c r="D28" s="54">
        <v>-2.9620000000000002</v>
      </c>
      <c r="E28" s="54">
        <v>29.725999999999999</v>
      </c>
      <c r="F28" s="54">
        <v>3.8383906344614154</v>
      </c>
      <c r="G28" s="54">
        <v>48.067999999999998</v>
      </c>
    </row>
    <row r="29" spans="2:7" x14ac:dyDescent="0.2">
      <c r="B29" s="1" t="s">
        <v>92</v>
      </c>
      <c r="C29" s="52">
        <v>45291</v>
      </c>
      <c r="D29" s="54">
        <v>-5.524</v>
      </c>
      <c r="E29" s="54">
        <v>31.913</v>
      </c>
      <c r="F29" s="54">
        <v>3.6850186444395709</v>
      </c>
      <c r="G29" s="54">
        <v>47.712000000000003</v>
      </c>
    </row>
    <row r="30" spans="2:7" x14ac:dyDescent="0.2">
      <c r="B30" s="1" t="s">
        <v>93</v>
      </c>
      <c r="C30" s="52">
        <v>45657</v>
      </c>
      <c r="D30" s="54">
        <v>-12.243</v>
      </c>
      <c r="E30" s="54">
        <v>25.654</v>
      </c>
      <c r="F30" s="54">
        <v>6.7279956342090941</v>
      </c>
      <c r="G30" s="54">
        <v>46.201999999999998</v>
      </c>
    </row>
    <row r="31" spans="2:7" x14ac:dyDescent="0.2">
      <c r="B31" s="1" t="s">
        <v>94</v>
      </c>
      <c r="C31" s="52">
        <v>46022</v>
      </c>
      <c r="D31" s="54">
        <v>-14.38</v>
      </c>
      <c r="E31" s="54">
        <v>23.981000000000002</v>
      </c>
      <c r="F31" s="54">
        <v>6.8470872774279687</v>
      </c>
      <c r="G31" s="54">
        <v>57.798000000000002</v>
      </c>
    </row>
    <row r="32" spans="2:7" x14ac:dyDescent="0.2">
      <c r="B32" s="1" t="s">
        <v>95</v>
      </c>
      <c r="C32" s="52">
        <v>46387</v>
      </c>
      <c r="D32" s="54">
        <v>-13.101000000000001</v>
      </c>
      <c r="E32" s="54">
        <v>24.135999999999999</v>
      </c>
      <c r="F32" s="54">
        <v>7.350016572754396</v>
      </c>
      <c r="G32" s="54">
        <v>66.95</v>
      </c>
    </row>
    <row r="33" spans="2:11" x14ac:dyDescent="0.2">
      <c r="B33" s="1" t="s">
        <v>96</v>
      </c>
      <c r="C33" s="52">
        <v>46752</v>
      </c>
      <c r="D33" s="54">
        <v>-11.557</v>
      </c>
      <c r="E33" s="54">
        <v>24.684999999999999</v>
      </c>
      <c r="F33" s="54">
        <v>7.9359935183309691</v>
      </c>
      <c r="G33" s="54">
        <v>73.492000000000004</v>
      </c>
    </row>
    <row r="34" spans="2:11" x14ac:dyDescent="0.2">
      <c r="B34" s="1" t="s">
        <v>97</v>
      </c>
      <c r="C34" s="52">
        <v>47118</v>
      </c>
      <c r="D34" s="54">
        <v>-9.8030000000000008</v>
      </c>
      <c r="E34" s="54">
        <v>25.21</v>
      </c>
      <c r="F34" s="54">
        <v>8.1792939309797745</v>
      </c>
      <c r="G34" s="54">
        <v>77.825000000000003</v>
      </c>
    </row>
    <row r="35" spans="2:11" x14ac:dyDescent="0.2">
      <c r="B35" s="1" t="s">
        <v>98</v>
      </c>
      <c r="C35" s="52">
        <v>47483</v>
      </c>
      <c r="D35" s="54">
        <v>-9.0820000000000007</v>
      </c>
      <c r="E35" s="54">
        <v>25.31</v>
      </c>
      <c r="F35" s="54">
        <v>7.9968391939944716</v>
      </c>
      <c r="G35" s="54">
        <v>81.262</v>
      </c>
    </row>
    <row r="36" spans="2:11" x14ac:dyDescent="0.2">
      <c r="B36" s="1" t="s">
        <v>74</v>
      </c>
      <c r="C36" s="52">
        <v>47848</v>
      </c>
      <c r="D36" s="54">
        <v>-9.077</v>
      </c>
      <c r="E36" s="54">
        <v>25.213999999999999</v>
      </c>
      <c r="F36" s="54">
        <v>8.1383358451653827</v>
      </c>
      <c r="G36" s="54">
        <v>84.432000000000002</v>
      </c>
      <c r="K36" s="54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B2:F56"/>
  <sheetViews>
    <sheetView workbookViewId="0">
      <selection activeCell="E4" sqref="E4:F4"/>
    </sheetView>
  </sheetViews>
  <sheetFormatPr defaultRowHeight="10.8" x14ac:dyDescent="0.2"/>
  <cols>
    <col min="1" max="3" width="8.88671875" style="1"/>
    <col min="4" max="6" width="12.77734375" style="1" customWidth="1"/>
    <col min="7" max="16384" width="8.88671875" style="1"/>
  </cols>
  <sheetData>
    <row r="2" spans="2:6" ht="54" x14ac:dyDescent="0.2">
      <c r="D2" s="60" t="s">
        <v>51</v>
      </c>
      <c r="E2" s="60" t="s">
        <v>53</v>
      </c>
      <c r="F2" s="60" t="s">
        <v>54</v>
      </c>
    </row>
    <row r="3" spans="2:6" x14ac:dyDescent="0.2">
      <c r="B3" s="56">
        <v>2025</v>
      </c>
      <c r="C3" s="55">
        <f>C31</f>
        <v>46022</v>
      </c>
      <c r="D3" s="61">
        <f>AVERAGE(D27:D35)</f>
        <v>-1.1268888888888888</v>
      </c>
      <c r="E3" s="54">
        <f>VLOOKUP($C$3,$C$8:$F$71,3,FALSE)</f>
        <v>30.877858968395678</v>
      </c>
      <c r="F3" s="54">
        <f>VLOOKUP($C$3,$C$8:$F$71,4,FALSE)</f>
        <v>16.328367499999999</v>
      </c>
    </row>
    <row r="4" spans="2:6" x14ac:dyDescent="0.2">
      <c r="C4" s="66" t="s">
        <v>157</v>
      </c>
      <c r="D4" s="53">
        <f>(D3-D5)/D6</f>
        <v>5.3135139816944198E-2</v>
      </c>
      <c r="E4" s="68">
        <f>(LN(E3)-E5)/E6</f>
        <v>0.74555398014836494</v>
      </c>
      <c r="F4" s="68">
        <f>(LN(F3)-F5)/F6</f>
        <v>0.95210373612915344</v>
      </c>
    </row>
    <row r="5" spans="2:6" x14ac:dyDescent="0.2">
      <c r="C5" s="59" t="s">
        <v>160</v>
      </c>
      <c r="D5" s="54">
        <v>-1.537806233390338</v>
      </c>
      <c r="E5" s="54">
        <v>2.2583405555592431</v>
      </c>
      <c r="F5" s="54">
        <v>1.305616484731154</v>
      </c>
    </row>
    <row r="6" spans="2:6" x14ac:dyDescent="0.2">
      <c r="C6" s="59" t="s">
        <v>161</v>
      </c>
      <c r="D6" s="54">
        <v>7.7334386606885754</v>
      </c>
      <c r="E6" s="54">
        <v>1.571581487681746</v>
      </c>
      <c r="F6" s="54">
        <v>1.562106513644318</v>
      </c>
    </row>
    <row r="7" spans="2:6" x14ac:dyDescent="0.2">
      <c r="C7" s="59"/>
    </row>
    <row r="8" spans="2:6" x14ac:dyDescent="0.2">
      <c r="B8" s="51" t="s">
        <v>60</v>
      </c>
      <c r="C8" s="51" t="s">
        <v>61</v>
      </c>
      <c r="D8" s="1" t="s">
        <v>135</v>
      </c>
      <c r="E8" s="78" t="s">
        <v>194</v>
      </c>
      <c r="F8" s="78" t="s">
        <v>188</v>
      </c>
    </row>
    <row r="9" spans="2:6" x14ac:dyDescent="0.2">
      <c r="B9" s="1" t="s">
        <v>69</v>
      </c>
      <c r="D9" s="1" t="s">
        <v>187</v>
      </c>
      <c r="E9" s="1" t="s">
        <v>201</v>
      </c>
      <c r="F9" s="1" t="s">
        <v>193</v>
      </c>
    </row>
    <row r="10" spans="2:6" x14ac:dyDescent="0.2">
      <c r="B10" s="1" t="s">
        <v>68</v>
      </c>
      <c r="D10" s="1" t="s">
        <v>75</v>
      </c>
      <c r="E10" s="1" t="s">
        <v>200</v>
      </c>
      <c r="F10" s="1" t="s">
        <v>192</v>
      </c>
    </row>
    <row r="11" spans="2:6" x14ac:dyDescent="0.2">
      <c r="B11" s="1" t="s">
        <v>67</v>
      </c>
      <c r="D11" s="1" t="s">
        <v>74</v>
      </c>
      <c r="E11" s="1" t="s">
        <v>199</v>
      </c>
      <c r="F11" s="1" t="s">
        <v>191</v>
      </c>
    </row>
    <row r="12" spans="2:6" x14ac:dyDescent="0.2">
      <c r="B12" s="1" t="s">
        <v>66</v>
      </c>
      <c r="D12" s="1" t="s">
        <v>73</v>
      </c>
      <c r="E12" s="1" t="s">
        <v>198</v>
      </c>
      <c r="F12" s="1" t="s">
        <v>136</v>
      </c>
    </row>
    <row r="13" spans="2:6" x14ac:dyDescent="0.2">
      <c r="B13" s="1" t="s">
        <v>65</v>
      </c>
      <c r="D13" s="1" t="s">
        <v>72</v>
      </c>
      <c r="E13" s="1" t="s">
        <v>197</v>
      </c>
      <c r="F13" s="1" t="s">
        <v>190</v>
      </c>
    </row>
    <row r="14" spans="2:6" x14ac:dyDescent="0.2">
      <c r="B14" s="1" t="s">
        <v>64</v>
      </c>
      <c r="D14" s="1" t="s">
        <v>186</v>
      </c>
      <c r="E14" s="1" t="s">
        <v>196</v>
      </c>
      <c r="F14" s="1" t="s">
        <v>189</v>
      </c>
    </row>
    <row r="15" spans="2:6" x14ac:dyDescent="0.2">
      <c r="B15" s="1" t="s">
        <v>63</v>
      </c>
      <c r="D15" s="1" t="s">
        <v>70</v>
      </c>
      <c r="E15" s="1" t="s">
        <v>195</v>
      </c>
      <c r="F15" s="1" t="s">
        <v>70</v>
      </c>
    </row>
    <row r="16" spans="2:6" x14ac:dyDescent="0.2">
      <c r="B16" s="1" t="s">
        <v>62</v>
      </c>
      <c r="C16" s="52">
        <v>40543</v>
      </c>
      <c r="D16" s="54">
        <v>6.8380000000000001</v>
      </c>
      <c r="E16" s="54">
        <v>100.87247531139893</v>
      </c>
      <c r="F16" s="79">
        <v>48.730670000000003</v>
      </c>
    </row>
    <row r="17" spans="2:6" x14ac:dyDescent="0.2">
      <c r="B17" s="1" t="s">
        <v>80</v>
      </c>
      <c r="C17" s="52">
        <v>40908</v>
      </c>
      <c r="D17" s="54">
        <v>9.07</v>
      </c>
      <c r="E17" s="54">
        <v>91.401759824017603</v>
      </c>
      <c r="F17" s="79">
        <v>48.133802500000002</v>
      </c>
    </row>
    <row r="18" spans="2:6" x14ac:dyDescent="0.2">
      <c r="B18" s="1" t="s">
        <v>81</v>
      </c>
      <c r="C18" s="52">
        <v>41274</v>
      </c>
      <c r="D18" s="54">
        <v>5.4109999999999996</v>
      </c>
      <c r="E18" s="54">
        <v>91.50388167933454</v>
      </c>
      <c r="F18" s="79">
        <v>46.884024999999994</v>
      </c>
    </row>
    <row r="19" spans="2:6" x14ac:dyDescent="0.2">
      <c r="B19" s="1" t="s">
        <v>82</v>
      </c>
      <c r="C19" s="52">
        <v>41639</v>
      </c>
      <c r="D19" s="54">
        <v>0.36299999999999999</v>
      </c>
      <c r="E19" s="54">
        <v>92.828347357631529</v>
      </c>
      <c r="F19" s="79">
        <v>42.1297675</v>
      </c>
    </row>
    <row r="20" spans="2:6" x14ac:dyDescent="0.2">
      <c r="B20" s="1" t="s">
        <v>83</v>
      </c>
      <c r="C20" s="52">
        <v>42004</v>
      </c>
      <c r="D20" s="54">
        <v>-3.9489999999999998</v>
      </c>
      <c r="E20" s="54">
        <v>84.008091296010477</v>
      </c>
      <c r="F20" s="79">
        <v>37.988520000000001</v>
      </c>
    </row>
    <row r="21" spans="2:6" x14ac:dyDescent="0.2">
      <c r="B21" s="1" t="s">
        <v>84</v>
      </c>
      <c r="C21" s="52">
        <v>42369</v>
      </c>
      <c r="D21" s="54">
        <v>-14.555</v>
      </c>
      <c r="E21" s="54">
        <v>87.166147524686849</v>
      </c>
      <c r="F21" s="79">
        <v>35.237447500000002</v>
      </c>
    </row>
    <row r="22" spans="2:6" x14ac:dyDescent="0.2">
      <c r="B22" s="1" t="s">
        <v>85</v>
      </c>
      <c r="C22" s="52">
        <v>42735</v>
      </c>
      <c r="D22" s="54">
        <v>-14.645</v>
      </c>
      <c r="E22" s="54">
        <v>71.478998212879759</v>
      </c>
      <c r="F22" s="79">
        <v>30.543227499999997</v>
      </c>
    </row>
    <row r="23" spans="2:6" x14ac:dyDescent="0.2">
      <c r="B23" s="1" t="s">
        <v>86</v>
      </c>
      <c r="C23" s="52">
        <v>43100</v>
      </c>
      <c r="D23" s="54">
        <v>-11.753</v>
      </c>
      <c r="E23" s="54">
        <v>58.315550510783197</v>
      </c>
      <c r="F23" s="79">
        <v>25.504825</v>
      </c>
    </row>
    <row r="24" spans="2:6" x14ac:dyDescent="0.2">
      <c r="B24" s="1" t="s">
        <v>87</v>
      </c>
      <c r="C24" s="52">
        <v>43465</v>
      </c>
      <c r="D24" s="54">
        <v>-8.68</v>
      </c>
      <c r="E24" s="54">
        <v>45.735940483995094</v>
      </c>
      <c r="F24" s="79">
        <v>21.731862500000002</v>
      </c>
    </row>
    <row r="25" spans="2:6" x14ac:dyDescent="0.2">
      <c r="B25" s="1" t="s">
        <v>88</v>
      </c>
      <c r="C25" s="52">
        <v>43830</v>
      </c>
      <c r="D25" s="54">
        <v>-8.7460000000000004</v>
      </c>
      <c r="E25" s="54">
        <v>36.85063574123236</v>
      </c>
      <c r="F25" s="79">
        <v>18.4192675</v>
      </c>
    </row>
    <row r="26" spans="2:6" x14ac:dyDescent="0.2">
      <c r="B26" s="1" t="s">
        <v>89</v>
      </c>
      <c r="C26" s="52">
        <v>44196</v>
      </c>
      <c r="D26" s="54">
        <v>-11.337999999999999</v>
      </c>
      <c r="E26" s="54">
        <v>33.539699747502475</v>
      </c>
      <c r="F26" s="79">
        <v>18.262617499999998</v>
      </c>
    </row>
    <row r="27" spans="2:6" x14ac:dyDescent="0.2">
      <c r="B27" s="1" t="s">
        <v>90</v>
      </c>
      <c r="C27" s="52">
        <v>44561</v>
      </c>
      <c r="D27" s="54">
        <v>-2.4279999999999999</v>
      </c>
      <c r="E27" s="54">
        <v>28.172725771228276</v>
      </c>
      <c r="F27" s="79">
        <v>14.480474999999998</v>
      </c>
    </row>
    <row r="28" spans="2:6" x14ac:dyDescent="0.2">
      <c r="B28" s="1" t="s">
        <v>91</v>
      </c>
      <c r="C28" s="52">
        <v>44926</v>
      </c>
      <c r="D28" s="54">
        <v>8.4480000000000004</v>
      </c>
      <c r="E28" s="54">
        <v>31.661555503133364</v>
      </c>
      <c r="F28" s="79">
        <v>16.235330000000001</v>
      </c>
    </row>
    <row r="29" spans="2:6" x14ac:dyDescent="0.2">
      <c r="B29" s="1" t="s">
        <v>92</v>
      </c>
      <c r="C29" s="52">
        <v>45291</v>
      </c>
      <c r="D29" s="54">
        <v>2.41</v>
      </c>
      <c r="E29" s="54">
        <v>33.474594584211715</v>
      </c>
      <c r="F29" s="79">
        <v>19.236640000000001</v>
      </c>
    </row>
    <row r="30" spans="2:6" x14ac:dyDescent="0.2">
      <c r="B30" s="1" t="s">
        <v>93</v>
      </c>
      <c r="C30" s="52">
        <v>45657</v>
      </c>
      <c r="D30" s="54">
        <v>-1.073</v>
      </c>
      <c r="E30" s="54">
        <v>33.410601845072485</v>
      </c>
      <c r="F30" s="79">
        <v>18.092287500000001</v>
      </c>
    </row>
    <row r="31" spans="2:6" x14ac:dyDescent="0.2">
      <c r="B31" s="1" t="s">
        <v>94</v>
      </c>
      <c r="C31" s="52">
        <v>46022</v>
      </c>
      <c r="D31" s="54">
        <v>-3.6789999999999998</v>
      </c>
      <c r="E31" s="54">
        <v>30.877858968395678</v>
      </c>
      <c r="F31" s="79">
        <v>16.328367499999999</v>
      </c>
    </row>
    <row r="32" spans="2:6" x14ac:dyDescent="0.2">
      <c r="B32" s="1" t="s">
        <v>95</v>
      </c>
      <c r="C32" s="52">
        <v>46387</v>
      </c>
      <c r="D32" s="54">
        <v>-3.8319999999999999</v>
      </c>
      <c r="E32" s="54">
        <v>31.114387251387722</v>
      </c>
      <c r="F32" s="79">
        <v>15.606127499999999</v>
      </c>
    </row>
    <row r="33" spans="2:6" x14ac:dyDescent="0.2">
      <c r="B33" s="1" t="s">
        <v>96</v>
      </c>
      <c r="C33" s="52">
        <v>46752</v>
      </c>
      <c r="D33" s="54">
        <v>-3.5289999999999999</v>
      </c>
      <c r="E33" s="54">
        <v>30.560415069263406</v>
      </c>
      <c r="F33" s="79">
        <v>15.0133375</v>
      </c>
    </row>
    <row r="34" spans="2:6" x14ac:dyDescent="0.2">
      <c r="B34" s="1" t="s">
        <v>97</v>
      </c>
      <c r="C34" s="52">
        <v>47118</v>
      </c>
      <c r="D34" s="54">
        <v>-3.4569999999999999</v>
      </c>
      <c r="E34" s="54">
        <v>29.709148774943166</v>
      </c>
      <c r="F34" s="79">
        <v>14.4234075</v>
      </c>
    </row>
    <row r="35" spans="2:6" x14ac:dyDescent="0.2">
      <c r="B35" s="1" t="s">
        <v>98</v>
      </c>
      <c r="C35" s="52">
        <v>47483</v>
      </c>
      <c r="D35" s="54">
        <v>-3.0019999999999998</v>
      </c>
      <c r="E35" s="54">
        <v>28.800810740821898</v>
      </c>
      <c r="F35" s="79">
        <v>13.829989999999999</v>
      </c>
    </row>
    <row r="36" spans="2:6" x14ac:dyDescent="0.2">
      <c r="B36" s="1" t="s">
        <v>74</v>
      </c>
      <c r="C36" s="52">
        <v>47848</v>
      </c>
      <c r="D36" s="54">
        <v>-2.7269999999999999</v>
      </c>
      <c r="E36" s="54">
        <v>27.928078827412762</v>
      </c>
      <c r="F36" s="79">
        <v>13.252585</v>
      </c>
    </row>
    <row r="37" spans="2:6" x14ac:dyDescent="0.2">
      <c r="B37" s="1" t="s">
        <v>138</v>
      </c>
      <c r="C37" s="52">
        <v>48213</v>
      </c>
      <c r="E37" s="54">
        <v>26.625223937488091</v>
      </c>
      <c r="F37" s="79">
        <v>12.687719999999999</v>
      </c>
    </row>
    <row r="38" spans="2:6" x14ac:dyDescent="0.2">
      <c r="B38" s="1" t="s">
        <v>139</v>
      </c>
      <c r="C38" s="52">
        <v>48579</v>
      </c>
      <c r="E38" s="54">
        <v>25.187836610362325</v>
      </c>
      <c r="F38" s="79">
        <v>12.132400000000001</v>
      </c>
    </row>
    <row r="39" spans="2:6" x14ac:dyDescent="0.2">
      <c r="B39" s="1" t="s">
        <v>140</v>
      </c>
      <c r="C39" s="52">
        <v>48944</v>
      </c>
      <c r="E39" s="54">
        <v>23.813541284889805</v>
      </c>
      <c r="F39" s="79">
        <v>11.5948875</v>
      </c>
    </row>
    <row r="40" spans="2:6" x14ac:dyDescent="0.2">
      <c r="B40" s="1" t="s">
        <v>141</v>
      </c>
      <c r="C40" s="52">
        <v>49309</v>
      </c>
      <c r="E40" s="54">
        <v>22.488603401779457</v>
      </c>
      <c r="F40" s="79">
        <v>11.078167499999999</v>
      </c>
    </row>
    <row r="41" spans="2:6" x14ac:dyDescent="0.2">
      <c r="B41" s="1" t="s">
        <v>142</v>
      </c>
      <c r="C41" s="52">
        <v>49674</v>
      </c>
      <c r="E41" s="54">
        <v>21.206241508602577</v>
      </c>
      <c r="F41" s="79">
        <v>10.5833525</v>
      </c>
    </row>
    <row r="42" spans="2:6" x14ac:dyDescent="0.2">
      <c r="B42" s="1" t="s">
        <v>143</v>
      </c>
      <c r="C42" s="52">
        <v>50040</v>
      </c>
      <c r="E42" s="54">
        <v>19.989429250052911</v>
      </c>
      <c r="F42" s="79">
        <v>10.112253500000001</v>
      </c>
    </row>
    <row r="43" spans="2:6" x14ac:dyDescent="0.2">
      <c r="B43" s="1" t="s">
        <v>144</v>
      </c>
      <c r="C43" s="52">
        <v>50405</v>
      </c>
      <c r="E43" s="54">
        <v>18.827243200114413</v>
      </c>
      <c r="F43" s="79">
        <v>9.6620179999999998</v>
      </c>
    </row>
    <row r="44" spans="2:6" x14ac:dyDescent="0.2">
      <c r="B44" s="1" t="s">
        <v>145</v>
      </c>
      <c r="C44" s="52">
        <v>50770</v>
      </c>
      <c r="E44" s="54">
        <v>17.724177182255758</v>
      </c>
      <c r="F44" s="79">
        <v>9.2294097500000003</v>
      </c>
    </row>
    <row r="45" spans="2:6" x14ac:dyDescent="0.2">
      <c r="B45" s="1" t="s">
        <v>146</v>
      </c>
      <c r="C45" s="52">
        <v>51135</v>
      </c>
      <c r="E45" s="54">
        <v>16.684676336148101</v>
      </c>
      <c r="F45" s="79">
        <v>8.8131722500000009</v>
      </c>
    </row>
    <row r="46" spans="2:6" x14ac:dyDescent="0.2">
      <c r="B46" s="1" t="s">
        <v>147</v>
      </c>
      <c r="C46" s="52">
        <v>51501</v>
      </c>
      <c r="E46" s="54">
        <v>15.681207048106122</v>
      </c>
      <c r="F46" s="79">
        <v>8.4121465000000004</v>
      </c>
    </row>
    <row r="47" spans="2:6" x14ac:dyDescent="0.2">
      <c r="B47" s="1" t="s">
        <v>148</v>
      </c>
      <c r="C47" s="52">
        <v>51866</v>
      </c>
      <c r="E47" s="54">
        <v>14.740266422914416</v>
      </c>
      <c r="F47" s="79">
        <v>8.0260700000000007</v>
      </c>
    </row>
    <row r="48" spans="2:6" x14ac:dyDescent="0.2">
      <c r="B48" s="1" t="s">
        <v>149</v>
      </c>
      <c r="C48" s="52">
        <v>52231</v>
      </c>
      <c r="E48" s="54">
        <v>13.845693324991107</v>
      </c>
      <c r="F48" s="79">
        <v>7.6549449999999997</v>
      </c>
    </row>
    <row r="49" spans="2:6" x14ac:dyDescent="0.2">
      <c r="B49" s="1" t="s">
        <v>150</v>
      </c>
      <c r="C49" s="52">
        <v>52596</v>
      </c>
      <c r="E49" s="54">
        <v>12.996383688049692</v>
      </c>
      <c r="F49" s="79">
        <v>7.2985307499999994</v>
      </c>
    </row>
    <row r="50" spans="2:6" x14ac:dyDescent="0.2">
      <c r="B50" s="1" t="s">
        <v>151</v>
      </c>
      <c r="C50" s="52">
        <v>52962</v>
      </c>
      <c r="E50" s="54">
        <v>12.203094848605566</v>
      </c>
      <c r="F50" s="79">
        <v>6.9563762499999999</v>
      </c>
    </row>
    <row r="51" spans="2:6" x14ac:dyDescent="0.2">
      <c r="B51" s="1" t="s">
        <v>152</v>
      </c>
      <c r="C51" s="52">
        <v>53327</v>
      </c>
      <c r="E51" s="54">
        <v>11.453012878424095</v>
      </c>
      <c r="F51" s="79">
        <v>6.62790575</v>
      </c>
    </row>
    <row r="52" spans="2:6" x14ac:dyDescent="0.2">
      <c r="B52" s="1" t="s">
        <v>153</v>
      </c>
      <c r="C52" s="52">
        <v>53692</v>
      </c>
      <c r="E52" s="54">
        <v>10.741611664747893</v>
      </c>
      <c r="F52" s="79">
        <v>6.3125382499999994</v>
      </c>
    </row>
    <row r="53" spans="2:6" x14ac:dyDescent="0.2">
      <c r="B53" s="1" t="s">
        <v>154</v>
      </c>
      <c r="C53" s="52">
        <v>54057</v>
      </c>
      <c r="E53" s="54">
        <v>10.069464312509378</v>
      </c>
      <c r="F53" s="79">
        <v>6.0097325000000001</v>
      </c>
    </row>
    <row r="54" spans="2:6" x14ac:dyDescent="0.2">
      <c r="B54" s="1" t="s">
        <v>155</v>
      </c>
      <c r="C54" s="52">
        <v>54423</v>
      </c>
      <c r="E54" s="54">
        <v>9.4346511566475115</v>
      </c>
      <c r="F54" s="79">
        <v>5.7189624999999999</v>
      </c>
    </row>
    <row r="55" spans="2:6" x14ac:dyDescent="0.2">
      <c r="B55" s="1" t="s">
        <v>156</v>
      </c>
      <c r="C55" s="52">
        <v>54788</v>
      </c>
      <c r="E55" s="54">
        <v>8.8352143792779003</v>
      </c>
      <c r="F55" s="79">
        <v>5.4397667499999995</v>
      </c>
    </row>
    <row r="56" spans="2:6" x14ac:dyDescent="0.2">
      <c r="B56" s="1" t="s">
        <v>137</v>
      </c>
      <c r="C56" s="52">
        <v>55153</v>
      </c>
      <c r="E56" s="54">
        <v>8.2693668990812679</v>
      </c>
      <c r="F56" s="79">
        <v>5.1716507500000004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main</vt:lpstr>
      <vt:lpstr>supplementary</vt:lpstr>
      <vt:lpstr>rating_scale</vt:lpstr>
      <vt:lpstr>real_economy</vt:lpstr>
      <vt:lpstr>monetary_&amp;_institution</vt:lpstr>
      <vt:lpstr>fiscal</vt:lpstr>
      <vt:lpstr>external</vt:lpstr>
      <vt:lpstr>_DLX1.INC</vt:lpstr>
      <vt:lpstr>_DLX2.INC</vt:lpstr>
      <vt:lpstr>_DLX3.INC</vt:lpstr>
      <vt:lpstr>_DLX4.INC</vt:lpstr>
    </vt:vector>
  </TitlesOfParts>
  <Company>Loomis Sayles &amp;amp;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Kaimin Khaw</dc:creator>
  <cp:lastModifiedBy>Kaimin Khaw</cp:lastModifiedBy>
  <dcterms:created xsi:type="dcterms:W3CDTF">2025-10-09T06:43:39Z</dcterms:created>
  <dcterms:modified xsi:type="dcterms:W3CDTF">2025-10-16T07:25:46Z</dcterms:modified>
</cp:coreProperties>
</file>